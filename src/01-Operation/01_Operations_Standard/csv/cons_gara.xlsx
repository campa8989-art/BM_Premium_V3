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manutencoop-my.sharepoint.com/personal/mpeta_manutencoop_it/Documents/Desktop/ASST FBF Sacco/"/>
    </mc:Choice>
  </mc:AlternateContent>
  <xr:revisionPtr revIDLastSave="86" documentId="11_5EDCE03A143F5F8AE9CF636780CB53955C0DF345" xr6:coauthVersionLast="47" xr6:coauthVersionMax="47" xr10:uidLastSave="{E10C579C-230D-4A60-B457-F4C0F5A04C9A}"/>
  <bookViews>
    <workbookView xWindow="-108" yWindow="-108" windowWidth="23256" windowHeight="12456" tabRatio="500" firstSheet="2" activeTab="2" xr2:uid="{00000000-000D-0000-FFFF-FFFF00000000}"/>
  </bookViews>
  <sheets>
    <sheet name="Riscontro_Solleciti_2022" sheetId="1" state="hidden" r:id="rId1"/>
    <sheet name="PIVOT" sheetId="2" state="hidden" r:id="rId2"/>
    <sheet name="Consistenze" sheetId="3" r:id="rId3"/>
    <sheet name="Valori_a_BA_Singoli_enti" sheetId="4" state="hidden" r:id="rId4"/>
    <sheet name="Estrazione_FOL" sheetId="5" state="hidden" r:id="rId5"/>
  </sheets>
  <definedNames>
    <definedName name="_xlnm._FilterDatabase" localSheetId="2" hidden="1">Consistenze!$A$4:$AMI$34</definedName>
  </definedNames>
  <calcPr calcId="191029"/>
  <pivotCaches>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N5" i="3" l="1"/>
  <c r="AP5" i="3"/>
  <c r="U139" i="4"/>
  <c r="V138" i="4"/>
  <c r="R138" i="4"/>
  <c r="V137" i="4"/>
  <c r="R137" i="4"/>
  <c r="V136" i="4"/>
  <c r="R136" i="4"/>
  <c r="V135" i="4"/>
  <c r="R135" i="4"/>
  <c r="V134" i="4"/>
  <c r="R134" i="4"/>
  <c r="V133" i="4"/>
  <c r="R133" i="4"/>
  <c r="V132" i="4"/>
  <c r="R132" i="4"/>
  <c r="V131" i="4"/>
  <c r="R131" i="4"/>
  <c r="V130" i="4"/>
  <c r="R130" i="4"/>
  <c r="R128" i="4"/>
  <c r="V127" i="4"/>
  <c r="R127" i="4"/>
  <c r="V126" i="4"/>
  <c r="R126" i="4"/>
  <c r="V125" i="4"/>
  <c r="R125" i="4"/>
  <c r="V124" i="4"/>
  <c r="R124" i="4"/>
  <c r="V123" i="4"/>
  <c r="R123" i="4"/>
  <c r="V122" i="4"/>
  <c r="R122" i="4"/>
  <c r="V121" i="4"/>
  <c r="R121" i="4"/>
  <c r="V120" i="4"/>
  <c r="R120" i="4"/>
  <c r="V119" i="4"/>
  <c r="R119" i="4"/>
  <c r="V118" i="4"/>
  <c r="R118" i="4"/>
  <c r="V117" i="4"/>
  <c r="R117" i="4"/>
  <c r="V116" i="4"/>
  <c r="R116" i="4"/>
  <c r="V115" i="4"/>
  <c r="R115" i="4"/>
  <c r="V114" i="4"/>
  <c r="R114" i="4"/>
  <c r="V113" i="4"/>
  <c r="R113" i="4"/>
  <c r="V112" i="4"/>
  <c r="R112" i="4"/>
  <c r="V111" i="4"/>
  <c r="R111" i="4"/>
  <c r="V110" i="4"/>
  <c r="R110" i="4"/>
  <c r="V109" i="4"/>
  <c r="R109" i="4"/>
  <c r="V108" i="4"/>
  <c r="R108" i="4"/>
  <c r="V107" i="4"/>
  <c r="R107" i="4"/>
  <c r="V106" i="4"/>
  <c r="R106" i="4"/>
  <c r="V105" i="4"/>
  <c r="R105" i="4"/>
  <c r="V104" i="4"/>
  <c r="R104" i="4"/>
  <c r="V103" i="4"/>
  <c r="R103" i="4"/>
  <c r="V102" i="4"/>
  <c r="R102" i="4"/>
  <c r="V101" i="4"/>
  <c r="R101" i="4"/>
  <c r="V100" i="4"/>
  <c r="R100" i="4"/>
  <c r="V99" i="4"/>
  <c r="R99" i="4"/>
  <c r="V98" i="4"/>
  <c r="R98" i="4"/>
  <c r="V97" i="4"/>
  <c r="R97" i="4"/>
  <c r="V96" i="4"/>
  <c r="R96" i="4"/>
  <c r="V95" i="4"/>
  <c r="R95" i="4"/>
  <c r="V94" i="4"/>
  <c r="R94" i="4"/>
  <c r="V93" i="4"/>
  <c r="R93" i="4"/>
  <c r="V92" i="4"/>
  <c r="R92" i="4"/>
  <c r="V91" i="4"/>
  <c r="R91" i="4"/>
  <c r="V90" i="4"/>
  <c r="R90" i="4"/>
  <c r="V89" i="4"/>
  <c r="R89" i="4"/>
  <c r="V88" i="4"/>
  <c r="R88" i="4"/>
  <c r="V87" i="4"/>
  <c r="R87" i="4"/>
  <c r="V86" i="4"/>
  <c r="R86" i="4"/>
  <c r="V85" i="4"/>
  <c r="R85" i="4"/>
  <c r="V84" i="4"/>
  <c r="R84" i="4"/>
  <c r="V83" i="4"/>
  <c r="R83" i="4"/>
  <c r="V82" i="4"/>
  <c r="R82" i="4"/>
  <c r="V81" i="4"/>
  <c r="R81" i="4"/>
  <c r="V80" i="4"/>
  <c r="R80" i="4"/>
  <c r="V79" i="4"/>
  <c r="R79" i="4"/>
  <c r="V78" i="4"/>
  <c r="R78" i="4"/>
  <c r="V77" i="4"/>
  <c r="R77" i="4"/>
  <c r="V76" i="4"/>
  <c r="R76" i="4"/>
  <c r="V75" i="4"/>
  <c r="R75" i="4"/>
  <c r="V74" i="4"/>
  <c r="R74" i="4"/>
  <c r="V73" i="4"/>
  <c r="R73" i="4"/>
  <c r="V72" i="4"/>
  <c r="R72" i="4"/>
  <c r="V71" i="4"/>
  <c r="R71" i="4"/>
  <c r="V70" i="4"/>
  <c r="R70" i="4"/>
  <c r="V69" i="4"/>
  <c r="R69" i="4"/>
  <c r="V68" i="4"/>
  <c r="R68" i="4"/>
  <c r="V67" i="4"/>
  <c r="R67" i="4"/>
  <c r="V66" i="4"/>
  <c r="R66" i="4"/>
  <c r="V65" i="4"/>
  <c r="R65" i="4"/>
  <c r="V64" i="4"/>
  <c r="R64" i="4"/>
  <c r="V63" i="4"/>
  <c r="R63" i="4"/>
  <c r="V62" i="4"/>
  <c r="R62" i="4"/>
  <c r="V61" i="4"/>
  <c r="R61" i="4"/>
  <c r="V60" i="4"/>
  <c r="R60" i="4"/>
  <c r="V59" i="4"/>
  <c r="R59" i="4"/>
  <c r="V58" i="4"/>
  <c r="R58" i="4"/>
  <c r="V57" i="4"/>
  <c r="R57" i="4"/>
  <c r="V56" i="4"/>
  <c r="R56" i="4"/>
  <c r="V55" i="4"/>
  <c r="R55" i="4"/>
  <c r="V54" i="4"/>
  <c r="R54" i="4"/>
  <c r="V53" i="4"/>
  <c r="R53" i="4"/>
  <c r="V52" i="4"/>
  <c r="R52" i="4"/>
  <c r="V51" i="4"/>
  <c r="R51" i="4"/>
  <c r="V50" i="4"/>
  <c r="R50" i="4"/>
  <c r="V49" i="4"/>
  <c r="R49" i="4"/>
  <c r="V48" i="4"/>
  <c r="R48" i="4"/>
  <c r="V47" i="4"/>
  <c r="R47" i="4"/>
  <c r="V46" i="4"/>
  <c r="R46" i="4"/>
  <c r="V45" i="4"/>
  <c r="R45" i="4"/>
  <c r="V44" i="4"/>
  <c r="R44" i="4"/>
  <c r="V43" i="4"/>
  <c r="R43" i="4"/>
  <c r="V42" i="4"/>
  <c r="R42" i="4"/>
  <c r="V41" i="4"/>
  <c r="R41" i="4"/>
  <c r="V40" i="4"/>
  <c r="R40" i="4"/>
  <c r="V39" i="4"/>
  <c r="R39" i="4"/>
  <c r="V38" i="4"/>
  <c r="R38" i="4"/>
  <c r="V37" i="4"/>
  <c r="R37" i="4"/>
  <c r="V36" i="4"/>
  <c r="R36" i="4"/>
  <c r="V35" i="4"/>
  <c r="R35" i="4"/>
  <c r="AF34" i="4"/>
  <c r="AF139" i="4" s="1"/>
  <c r="V34" i="4"/>
  <c r="R34" i="4"/>
  <c r="V33" i="4"/>
  <c r="R33" i="4"/>
  <c r="V32" i="4"/>
  <c r="R32" i="4"/>
  <c r="V31" i="4"/>
  <c r="R31" i="4"/>
  <c r="V30" i="4"/>
  <c r="R30" i="4"/>
  <c r="V29" i="4"/>
  <c r="R29" i="4"/>
  <c r="V28" i="4"/>
  <c r="R28" i="4"/>
  <c r="V27" i="4"/>
  <c r="R27" i="4"/>
  <c r="V26" i="4"/>
  <c r="R26" i="4"/>
  <c r="V25" i="4"/>
  <c r="R25" i="4"/>
  <c r="V24" i="4"/>
  <c r="R24" i="4"/>
  <c r="V23" i="4"/>
  <c r="R23" i="4"/>
  <c r="V22" i="4"/>
  <c r="R22" i="4"/>
  <c r="V21" i="4"/>
  <c r="R21" i="4"/>
  <c r="V20" i="4"/>
  <c r="R20" i="4"/>
  <c r="V19" i="4"/>
  <c r="R19" i="4"/>
  <c r="V18" i="4"/>
  <c r="R18" i="4"/>
  <c r="V17" i="4"/>
  <c r="R17" i="4"/>
  <c r="V16" i="4"/>
  <c r="R16" i="4"/>
  <c r="V15" i="4"/>
  <c r="R15" i="4"/>
  <c r="V14" i="4"/>
  <c r="R14" i="4"/>
  <c r="V13" i="4"/>
  <c r="R13" i="4"/>
  <c r="V12" i="4"/>
  <c r="R12" i="4"/>
  <c r="V11" i="4"/>
  <c r="R11" i="4"/>
  <c r="V10" i="4"/>
  <c r="R10" i="4"/>
  <c r="V9" i="4"/>
  <c r="R9" i="4"/>
  <c r="V8" i="4"/>
  <c r="V129" i="4" s="1"/>
  <c r="R8" i="4"/>
  <c r="R129" i="4" s="1"/>
  <c r="V7" i="4"/>
  <c r="R7" i="4"/>
  <c r="V6" i="4"/>
  <c r="R6" i="4"/>
  <c r="V5" i="4"/>
  <c r="R5" i="4"/>
  <c r="AN32" i="3"/>
  <c r="AP31" i="3" s="1"/>
  <c r="AN31" i="3"/>
  <c r="AN30" i="3"/>
  <c r="AP30" i="3" s="1"/>
  <c r="AN29" i="3"/>
  <c r="AP29" i="3" s="1"/>
  <c r="AN28" i="3"/>
  <c r="AP28" i="3" s="1"/>
  <c r="AN27" i="3"/>
  <c r="AP27" i="3" s="1"/>
  <c r="AN26" i="3"/>
  <c r="AP26" i="3" s="1"/>
  <c r="AN25" i="3"/>
  <c r="AP25" i="3" s="1"/>
  <c r="AN24" i="3"/>
  <c r="AP24" i="3" s="1"/>
  <c r="AN23" i="3"/>
  <c r="AP23" i="3" s="1"/>
  <c r="AN22" i="3"/>
  <c r="AP22" i="3" s="1"/>
  <c r="AN21" i="3"/>
  <c r="AP21" i="3" s="1"/>
  <c r="AN20" i="3"/>
  <c r="AP20" i="3" s="1"/>
  <c r="AN19" i="3"/>
  <c r="AP19" i="3" s="1"/>
  <c r="AN18" i="3"/>
  <c r="AP18" i="3" s="1"/>
  <c r="AN17" i="3"/>
  <c r="AP17" i="3" s="1"/>
  <c r="AN16" i="3"/>
  <c r="AP16" i="3" s="1"/>
  <c r="AN15" i="3"/>
  <c r="AP15" i="3" s="1"/>
  <c r="AN14" i="3"/>
  <c r="AP14" i="3" s="1"/>
  <c r="AN13" i="3"/>
  <c r="AP13" i="3" s="1"/>
  <c r="AN12" i="3"/>
  <c r="AP12" i="3" s="1"/>
  <c r="AN11" i="3"/>
  <c r="AP11" i="3" s="1"/>
  <c r="AN10" i="3"/>
  <c r="AP10" i="3" s="1"/>
  <c r="AN9" i="3"/>
  <c r="AP9" i="3" s="1"/>
  <c r="AN8" i="3"/>
  <c r="AP8" i="3" s="1"/>
  <c r="AN7" i="3"/>
  <c r="AP7" i="3" s="1"/>
  <c r="AN6" i="3"/>
  <c r="AP6" i="3" s="1"/>
  <c r="V139" i="4" l="1"/>
  <c r="R139" i="4"/>
</calcChain>
</file>

<file path=xl/sharedStrings.xml><?xml version="1.0" encoding="utf-8"?>
<sst xmlns="http://schemas.openxmlformats.org/spreadsheetml/2006/main" count="1625" uniqueCount="581">
  <si>
    <t>Ente</t>
  </si>
  <si>
    <t>Primo Riscontro</t>
  </si>
  <si>
    <t>Secondo riscontro</t>
  </si>
  <si>
    <t>Esito Secondo riscontro</t>
  </si>
  <si>
    <t>Integrazioni inviate</t>
  </si>
  <si>
    <r>
      <rPr>
        <b/>
        <i/>
        <sz val="9"/>
        <color rgb="FF000000"/>
        <rFont val="Calibri"/>
        <family val="2"/>
        <charset val="1"/>
      </rPr>
      <t>Prezzo pagato per verifiche ordinarie periodiche biennali di sicurezza di impianti ascensori (</t>
    </r>
    <r>
      <rPr>
        <b/>
        <sz val="9"/>
        <color rgb="FF000000"/>
        <rFont val="Calibri"/>
        <family val="2"/>
        <charset val="1"/>
      </rPr>
      <t>€/cad)</t>
    </r>
  </si>
  <si>
    <t>Prezzo pagato per verifiche straordinarie periodiche biennali di sicurezza di impianti ascensori (€/cad)</t>
  </si>
  <si>
    <t>ASST del Garda</t>
  </si>
  <si>
    <t>SI</t>
  </si>
  <si>
    <t>Tutte le info inviate, DUVRI compreso</t>
  </si>
  <si>
    <t>Ha inviato file periodicità e file dati quantitativi aggiornato</t>
  </si>
  <si>
    <t>ASST di Bergamo Est</t>
  </si>
  <si>
    <t>Ha inviato file dati quantitativi aggiornato, ha confermato modifiche effettuate su file periodicità ed ha inviato DUVRI</t>
  </si>
  <si>
    <r>
      <rPr>
        <sz val="9"/>
        <color rgb="FF000000"/>
        <rFont val="Calibri"/>
        <family val="2"/>
        <charset val="1"/>
      </rPr>
      <t xml:space="preserve">71. Verifica periodica e straordinaria di ascensori/montacarichi/piattaforme elevatrici per disabili fino a 5 fermate </t>
    </r>
    <r>
      <rPr>
        <b/>
        <sz val="9"/>
        <color rgb="FF000000"/>
        <rFont val="Calibri"/>
        <family val="2"/>
        <charset val="1"/>
      </rPr>
      <t xml:space="preserve">€ 117,33
</t>
    </r>
    <r>
      <rPr>
        <sz val="9"/>
        <color rgb="FF000000"/>
        <rFont val="Calibri"/>
        <family val="2"/>
        <charset val="1"/>
      </rPr>
      <t xml:space="preserve">72. Verifica periodica e straordinaria di ascensori/montacarichi/piattaforme elevatrici per disabili per ogni fermata in più oltre la 5a </t>
    </r>
    <r>
      <rPr>
        <b/>
        <sz val="9"/>
        <color rgb="FF000000"/>
        <rFont val="Calibri"/>
        <family val="2"/>
        <charset val="1"/>
      </rPr>
      <t>€ 12,35</t>
    </r>
  </si>
  <si>
    <t>ASST di Lecco</t>
  </si>
  <si>
    <t>Ha inviato file periodicità e file dati quantitativi aggiornato + DUVRI. Ha comunicato inoltre che ha intenzione di effettuare una gara di Partenariato Pubblico Privato relativamente agli ambiti B) e D) esclusivamente per le seguenti strutture:
- Presidio Ospedaliero “San Leopoldo Mandic
- CPS-NPI di via Parini
- CRA di Cernusco Lombardone
Si riserva di NON aderire alla futura gara ARIA di Facility Management esclusivamente per tali Strutture e per tali ambiti ove il PPP fosse attivato</t>
  </si>
  <si>
    <t>ASST Ovest Milanese</t>
  </si>
  <si>
    <t>Tutte le info inviate, DUVRI compreso (non ha inviato info relative a dati sul personale perché ha comunicato che non è previsto l'impiego di personale dell'ASST)</t>
  </si>
  <si>
    <t>Ha inviato DUVRI ed ha comunicato che per quanto riguarda il servizio in questione non è previsto l'impiego di personale dell'ASST Ovest Milanese (in analogia al contratto tuttora in essere)</t>
  </si>
  <si>
    <t>ATS dell'Insubria</t>
  </si>
  <si>
    <t>Ha inviato file periodicità e file dati quantitativi aggiornato, in attesa di invio DUVRI</t>
  </si>
  <si>
    <t>-</t>
  </si>
  <si>
    <t>ATS della Val Padana</t>
  </si>
  <si>
    <t>Ente comunica che possono stimare il numero di persone impegnate nelle proprie sedi, ma non hanno contezza dei contratti, che dovrebbe però essere gli stessi delle altre ATS/ASST che hanno aderito alle stesse convenzioni ARIA ( Edile, Clima, Idrico, Antincendio, Elettrico).</t>
  </si>
  <si>
    <t>ATS di Bergamo</t>
  </si>
  <si>
    <t>Ha inviato DUVRI</t>
  </si>
  <si>
    <t>ATS della Brianza</t>
  </si>
  <si>
    <t>Ha inviato il file dati quantitativi, il file delle periodicità non è stato inviato poiché non ha osservazioni da riportare in merito</t>
  </si>
  <si>
    <t>ATS di Brescia</t>
  </si>
  <si>
    <t>La verifica attualmente è effettuata da tecnici interni al servizio impiantistica della ATS. Pertanto, non è possibile indicare un prezzo per tale verifica</t>
  </si>
  <si>
    <t>ASST della Valtellina e dell'Alto Lario</t>
  </si>
  <si>
    <t>NO</t>
  </si>
  <si>
    <t>In attesa riscontro + DUVRI</t>
  </si>
  <si>
    <t>ASST di Mantova</t>
  </si>
  <si>
    <t>ASST Valcamonica</t>
  </si>
  <si>
    <t>Ente non interessato ad aderire alla gara</t>
  </si>
  <si>
    <t>Colonna B</t>
  </si>
  <si>
    <t>Totale Risultato</t>
  </si>
  <si>
    <t>Consistenze</t>
  </si>
  <si>
    <t>Via A. Doria 52</t>
  </si>
  <si>
    <t>Via Don Orione 2</t>
  </si>
  <si>
    <t>Via Farini 9</t>
  </si>
  <si>
    <t>Via Rugabella 4/6</t>
  </si>
  <si>
    <t>Via A. Sassi 4</t>
  </si>
  <si>
    <t>V.le Jenner 44</t>
  </si>
  <si>
    <t>Via Livigno 3</t>
  </si>
  <si>
    <t>Via Calvairate 1</t>
  </si>
  <si>
    <t>Via Polesine 6</t>
  </si>
  <si>
    <t>Via Adriano 99 e 107</t>
  </si>
  <si>
    <t>POT Bollate</t>
  </si>
  <si>
    <t>Legnano</t>
  </si>
  <si>
    <t>viale Piceno 60</t>
  </si>
  <si>
    <t>via Clericetti 22</t>
  </si>
  <si>
    <t>via Don Bosco 14</t>
  </si>
  <si>
    <t>via Fantoli 7 
Poliamb.</t>
  </si>
  <si>
    <t>via Monte Palombino 4</t>
  </si>
  <si>
    <t>via Quarenghi 21</t>
  </si>
  <si>
    <t>via Aldini 72</t>
  </si>
  <si>
    <t>via Perini 22</t>
  </si>
  <si>
    <t>via Cilea 146A</t>
  </si>
  <si>
    <t>via R. Sanzio 9</t>
  </si>
  <si>
    <t>via Statuto 5</t>
  </si>
  <si>
    <t>via S. Erlemblado 4d</t>
  </si>
  <si>
    <t>via Padova 118</t>
  </si>
  <si>
    <t>L.go Volontari del Sangue 1</t>
  </si>
  <si>
    <t>C.so Plebisciti 4</t>
  </si>
  <si>
    <t>via Serlio 8</t>
  </si>
  <si>
    <t>via Fantoli 7
Consultorio</t>
  </si>
  <si>
    <t>viale Puglie 33</t>
  </si>
  <si>
    <t>via Natta 19</t>
  </si>
  <si>
    <t>via Oglio 18</t>
  </si>
  <si>
    <t>ID Servizio</t>
  </si>
  <si>
    <t>Codice</t>
  </si>
  <si>
    <t>Tipologia Servizio</t>
  </si>
  <si>
    <t>Servizio</t>
  </si>
  <si>
    <t>Unità di misura</t>
  </si>
  <si>
    <t>ID presidio 1</t>
  </si>
  <si>
    <t>ID presidio 2</t>
  </si>
  <si>
    <t>ID presidio 3</t>
  </si>
  <si>
    <t>ID presidio 4</t>
  </si>
  <si>
    <t>ID presidio 5</t>
  </si>
  <si>
    <t>ID presidio 7</t>
  </si>
  <si>
    <t>ID presidio 8</t>
  </si>
  <si>
    <t>ID presidio 9</t>
  </si>
  <si>
    <t>ID presidio 10</t>
  </si>
  <si>
    <t>ID presidio 11</t>
  </si>
  <si>
    <t>ID presidio 12</t>
  </si>
  <si>
    <t>ID presidio 13</t>
  </si>
  <si>
    <t>ID presidio 14</t>
  </si>
  <si>
    <t>ID presidio 15</t>
  </si>
  <si>
    <t>ID presidio 16</t>
  </si>
  <si>
    <t>ID presidio 17</t>
  </si>
  <si>
    <t>ID presidio 18</t>
  </si>
  <si>
    <t>ID presidio 19</t>
  </si>
  <si>
    <t>ID presidio 20</t>
  </si>
  <si>
    <t>ID presidio 21</t>
  </si>
  <si>
    <t>ID presidio 22</t>
  </si>
  <si>
    <t>ID presidio 23</t>
  </si>
  <si>
    <t>ID presidio 24</t>
  </si>
  <si>
    <t>ID presidio 25</t>
  </si>
  <si>
    <t>ID presidio 26</t>
  </si>
  <si>
    <t>ID presidio 27</t>
  </si>
  <si>
    <t>ID presidio 28</t>
  </si>
  <si>
    <t>ID presidio 29</t>
  </si>
  <si>
    <t>ID presidio 30</t>
  </si>
  <si>
    <t>ID presidio 31</t>
  </si>
  <si>
    <t>ID presidio 32</t>
  </si>
  <si>
    <t>ID presidio 33</t>
  </si>
  <si>
    <t>Consistenze totali</t>
  </si>
  <si>
    <t>ASST FBF Sacco</t>
  </si>
  <si>
    <t>1.2</t>
  </si>
  <si>
    <t>B.01 - B.02 - B.12</t>
  </si>
  <si>
    <t>Servizio energia - Manutenzione impianti di climatizzazione (B2)</t>
  </si>
  <si>
    <t>Caldaie da 36kW a 350 kW</t>
  </si>
  <si>
    <t>n.ro caldaie</t>
  </si>
  <si>
    <t>ND</t>
  </si>
  <si>
    <t>conduzione teleriscaldamento</t>
  </si>
  <si>
    <t>1.1</t>
  </si>
  <si>
    <t>Caldaie da 350 kW a 1000kW</t>
  </si>
  <si>
    <t>13.3</t>
  </si>
  <si>
    <t>B.04</t>
  </si>
  <si>
    <t>Gruppi frigoriferi a vite/centrifughi fino a 100 kW</t>
  </si>
  <si>
    <t>n.ro gruppo frigorifero</t>
  </si>
  <si>
    <t>3.1</t>
  </si>
  <si>
    <t>B.01 -B.05 -B.06 -B.07 - B.09 - B.10 - B.11</t>
  </si>
  <si>
    <t>Distribuzione impianti idronici e sottocentrali</t>
  </si>
  <si>
    <t>m2 superficie lorda</t>
  </si>
  <si>
    <t>15.1</t>
  </si>
  <si>
    <t>B.07.05</t>
  </si>
  <si>
    <t>Ventilconvettori</t>
  </si>
  <si>
    <t>n.ro ventilconvettori</t>
  </si>
  <si>
    <t>17.1</t>
  </si>
  <si>
    <t>B.07.07/09</t>
  </si>
  <si>
    <t>Condizionatori tipo split/VRV /carrellabili</t>
  </si>
  <si>
    <t>n.ro unità interna</t>
  </si>
  <si>
    <t>20.1</t>
  </si>
  <si>
    <t>B.08 - B.13 - B.15</t>
  </si>
  <si>
    <t>Unità di Trattamento Aria con filtro assoluto</t>
  </si>
  <si>
    <t>n.ro U.T.A.</t>
  </si>
  <si>
    <t>2.1</t>
  </si>
  <si>
    <t>B.01 - B.08.04/ 05/06 - B.09 - B.10 - B.11</t>
  </si>
  <si>
    <t>Canali di distribuzione, ripresa, serrande e bocchette e relativi locali tecnici</t>
  </si>
  <si>
    <t>m2 superficie lorda climatizzata (presenti ricambi d'aria)</t>
  </si>
  <si>
    <t>30.1</t>
  </si>
  <si>
    <t>C2 - C6</t>
  </si>
  <si>
    <t>Manutenzione Impianti elettrici (C)</t>
  </si>
  <si>
    <t>Distribuzione elettrica, quadri, ecc.</t>
  </si>
  <si>
    <t>40.1</t>
  </si>
  <si>
    <t>C4.02</t>
  </si>
  <si>
    <t>Rifasatori</t>
  </si>
  <si>
    <t>n.ro rifasatori</t>
  </si>
  <si>
    <t>45.2</t>
  </si>
  <si>
    <t>C5</t>
  </si>
  <si>
    <t>Verifiche locali uso medico</t>
  </si>
  <si>
    <t>n.ro locali gruppo 1 e 2</t>
  </si>
  <si>
    <t>45.1</t>
  </si>
  <si>
    <t>Verifiche impianti di terra e protezione scariche atmosferiche</t>
  </si>
  <si>
    <t>49.1</t>
  </si>
  <si>
    <t>D2.01- D2.02</t>
  </si>
  <si>
    <t>Manutenzione impianti idrici (D)</t>
  </si>
  <si>
    <t>Centrali idriche</t>
  </si>
  <si>
    <t>n.ro vasche</t>
  </si>
  <si>
    <t>50.1</t>
  </si>
  <si>
    <t>D2.02</t>
  </si>
  <si>
    <t>Impianti addolcimento</t>
  </si>
  <si>
    <t>n.ro addolcitori</t>
  </si>
  <si>
    <t>51.1</t>
  </si>
  <si>
    <t>D2.03 - D2.04</t>
  </si>
  <si>
    <t>Distribuzione idrico sanitaria</t>
  </si>
  <si>
    <t>52.1</t>
  </si>
  <si>
    <t>D3.01</t>
  </si>
  <si>
    <t>Apparecchiature controllo legionellosi</t>
  </si>
  <si>
    <t>n.ro impianti produttori biossido di cloro</t>
  </si>
  <si>
    <t>53.1</t>
  </si>
  <si>
    <t>D3.01.06/07</t>
  </si>
  <si>
    <t>Prove della legionella della rete idrico-sanitaria</t>
  </si>
  <si>
    <t>n.ro analisi effettuate annue</t>
  </si>
  <si>
    <t>61.1</t>
  </si>
  <si>
    <t>E1.03 - E1.06 - E3.04</t>
  </si>
  <si>
    <t>Manutenzione impianti e apparecchiature antincendio (E)</t>
  </si>
  <si>
    <t>compartimentazioni, serrande tagliafuoco</t>
  </si>
  <si>
    <t>m2 superficie lorda servita</t>
  </si>
  <si>
    <t>64.1</t>
  </si>
  <si>
    <t>E2.01 - E2.04 - E2.05</t>
  </si>
  <si>
    <t>impianti rivelazione e segnalazione incendi</t>
  </si>
  <si>
    <t>62.1</t>
  </si>
  <si>
    <t>E1.04 - E1.05 - E2.02</t>
  </si>
  <si>
    <t>illuminazione di emergenza, segnaletica antincendio e vie di esodo</t>
  </si>
  <si>
    <t>60.1</t>
  </si>
  <si>
    <t>E1.02</t>
  </si>
  <si>
    <t>Estintori</t>
  </si>
  <si>
    <t>n.ro estintori</t>
  </si>
  <si>
    <t>66.1</t>
  </si>
  <si>
    <t>E3.01 - E3.08</t>
  </si>
  <si>
    <t>Centrale di pressurizzazione</t>
  </si>
  <si>
    <t>n.ro centrali</t>
  </si>
  <si>
    <t>67.1</t>
  </si>
  <si>
    <t>E3.02 - E3.08</t>
  </si>
  <si>
    <t>Rete idrica e terminali</t>
  </si>
  <si>
    <t>n.ro idranti o naspi</t>
  </si>
  <si>
    <t>72.1</t>
  </si>
  <si>
    <t>F1.01</t>
  </si>
  <si>
    <t>Manutenzione impianti elevatori (F)</t>
  </si>
  <si>
    <t>Elevatori 1-5 piani (fino a 6 fermate)</t>
  </si>
  <si>
    <t>n.ro elevatori</t>
  </si>
  <si>
    <t>72.2</t>
  </si>
  <si>
    <t>Elevatori 6-10 piani (fino a 11 fermate)</t>
  </si>
  <si>
    <t>73.1</t>
  </si>
  <si>
    <t>F1.02</t>
  </si>
  <si>
    <t>Servoscala</t>
  </si>
  <si>
    <t>n.ro servoscala</t>
  </si>
  <si>
    <t>76.1</t>
  </si>
  <si>
    <t>G1</t>
  </si>
  <si>
    <t>Manutenzione edile (G)</t>
  </si>
  <si>
    <t>Pompe di sollevamento acque nere e chiare</t>
  </si>
  <si>
    <t>n.ro impianti sollevamento acque chiare e nere</t>
  </si>
  <si>
    <t>80.1</t>
  </si>
  <si>
    <t>G2.01.01</t>
  </si>
  <si>
    <t>Cancelli e sbarre motorizzati</t>
  </si>
  <si>
    <t>n.ro cancelli e sbarre motorizzate</t>
  </si>
  <si>
    <t>Lotto 1</t>
  </si>
  <si>
    <t>Lotto 2</t>
  </si>
  <si>
    <t>Lotto 3</t>
  </si>
  <si>
    <t>Lotto 4</t>
  </si>
  <si>
    <t>Lotto 5</t>
  </si>
  <si>
    <t> Servizio</t>
  </si>
  <si>
    <t>Prezzo a base d’asta
€ Iva esclusa</t>
  </si>
  <si>
    <t>ASST Centro Specialistico Ortopedico Traumatologico Gaetano PINI/CTO</t>
  </si>
  <si>
    <t>Valore ANNUALE ASST Pini a BA</t>
  </si>
  <si>
    <t>Fondazione I.R.C.C.S. Ca' Granda Ospedale Maggiore Policlinico</t>
  </si>
  <si>
    <t>Valore ANNUALE Ca' Granda a BA</t>
  </si>
  <si>
    <t>Fondazione I.R.C.C.S. Istituto Nazionale Tumori di Milano</t>
  </si>
  <si>
    <t>Valore ANNUALE Istituto Nazionale Tumori a BA</t>
  </si>
  <si>
    <t>Fondazione I.R.C.C.S. Istituto Neurologico Carlo Besta di Milano</t>
  </si>
  <si>
    <t>Valore ANNUALE Istituto Carlo Besta a BA</t>
  </si>
  <si>
    <t>Valore ANNUALE ASST FBF Sacco a BA</t>
  </si>
  <si>
    <t>ASST Melegnano e della Martesana</t>
  </si>
  <si>
    <t>Valore ANNUALE ASST Melegnano a BA</t>
  </si>
  <si>
    <t>ASST Nord Milano</t>
  </si>
  <si>
    <t>Valore ANNUALE ASST Nord Milano a BA</t>
  </si>
  <si>
    <t>Valore ANNUALE ASST Ovest Milanese a BA</t>
  </si>
  <si>
    <t>Valore ANNUALE ATS Brianza a BA</t>
  </si>
  <si>
    <t>Valore ANNUALE ASST Valtellina a BA</t>
  </si>
  <si>
    <t>Valore ANNUALE ASST Lecco a BA</t>
  </si>
  <si>
    <t>Valore ANNUALE ATS Insubria a BA</t>
  </si>
  <si>
    <t>Valore ANNUALE ASST Garda a BA</t>
  </si>
  <si>
    <t>ASST della Franciacorta</t>
  </si>
  <si>
    <t>Valore ANNUALE ASST Franciacorta a BA</t>
  </si>
  <si>
    <t>Valore ANNUALE ASST Bergamo est a BA</t>
  </si>
  <si>
    <t>Valore ANNUALE ATS Bergamo a BA</t>
  </si>
  <si>
    <t>Valore ANNUALE ATS Brescia a BA</t>
  </si>
  <si>
    <t>ASST di Crema</t>
  </si>
  <si>
    <t>Valore ANNUALE ASST Crema a BA</t>
  </si>
  <si>
    <t>Valore ANNUALE ASST Mantova a BA</t>
  </si>
  <si>
    <t>Servizio energia  - fornitura del combustibile o energia primaria (B1)</t>
  </si>
  <si>
    <t>B1.1</t>
  </si>
  <si>
    <t>gas metano</t>
  </si>
  <si>
    <t>mc</t>
  </si>
  <si>
    <t>B1.2</t>
  </si>
  <si>
    <t>gasolio</t>
  </si>
  <si>
    <t>kWh</t>
  </si>
  <si>
    <t>B1.3</t>
  </si>
  <si>
    <t>BTZ</t>
  </si>
  <si>
    <t>B1.4</t>
  </si>
  <si>
    <t>Teleriscaldamento</t>
  </si>
  <si>
    <t>B1.5</t>
  </si>
  <si>
    <t>Olio Vegetale</t>
  </si>
  <si>
    <t>Servizio energia - Manutenzione impianti di climatizzazione(B2)</t>
  </si>
  <si>
    <t>Caldaie fino a 35kW</t>
  </si>
  <si>
    <t>Caldaie superiore a 1000 kW</t>
  </si>
  <si>
    <t>B.02.02</t>
  </si>
  <si>
    <t>Serbatoi di combustibile liquido</t>
  </si>
  <si>
    <t>n.ro serbatoi</t>
  </si>
  <si>
    <t>B.02.03</t>
  </si>
  <si>
    <t>Produttore di vapore ad olio diatermico con evaporatore</t>
  </si>
  <si>
    <t>B.02.11</t>
  </si>
  <si>
    <t>Solare termico</t>
  </si>
  <si>
    <t>kW</t>
  </si>
  <si>
    <t>B.02.13</t>
  </si>
  <si>
    <t>Scambiatori di calore (piastre e fascio tubiero) da 201kW a 1000 kW</t>
  </si>
  <si>
    <t>n.ro scambiatori</t>
  </si>
  <si>
    <t>Scambiatori di calore (piastre e fascio tubiero) fino a 200 kW</t>
  </si>
  <si>
    <t>Scambiatori di calore (piastre e fascio tubiero) superiore a 1000kW</t>
  </si>
  <si>
    <t>B.02.14 / 15 - B.12</t>
  </si>
  <si>
    <t>Generatori indiretti di vapore e accessori</t>
  </si>
  <si>
    <t>n.ro generatori indiretti di vapore</t>
  </si>
  <si>
    <t>B.02.16 / 15 - B.12</t>
  </si>
  <si>
    <t>Generatori di vapore elettrici e accessori</t>
  </si>
  <si>
    <t>n.ro generatori di vapore elettrici</t>
  </si>
  <si>
    <t>B.02.20</t>
  </si>
  <si>
    <t>Generatori aria Calda a Gas/GPL (Tipo Monoblocco)</t>
  </si>
  <si>
    <t>n.ro generatori</t>
  </si>
  <si>
    <t>B.03.01</t>
  </si>
  <si>
    <t>Conduzione cogeneratore</t>
  </si>
  <si>
    <t>ore</t>
  </si>
  <si>
    <t>B.03.02/03/04/05/06/07</t>
  </si>
  <si>
    <t>Manutenzione cogeneratore di potenza compresa fra 100 e 350 kW termici</t>
  </si>
  <si>
    <t>Manutenzione cogeneratore di potenza inferiore a 100 kW termici</t>
  </si>
  <si>
    <t>Manutenzione cogeneratore di potenza superiore 350 kW termici</t>
  </si>
  <si>
    <t>Gruppi frigoriferi a vite/centrifughi da 101 kW a 350 kW</t>
  </si>
  <si>
    <t>Gruppi frigoriferi a vite/centrifughi da 351 kW a 1000 kW</t>
  </si>
  <si>
    <t>Gruppi frigoriferi a vite/centrifughi oltre 1000 kW</t>
  </si>
  <si>
    <t>B.04 - B.15</t>
  </si>
  <si>
    <t>Torri evaporative</t>
  </si>
  <si>
    <t>n.ro torri evaporative</t>
  </si>
  <si>
    <t>n.ro ventilcovettori</t>
  </si>
  <si>
    <t>B.07.06</t>
  </si>
  <si>
    <t>Aerotermi - lame d'aria</t>
  </si>
  <si>
    <t>n.ro aerotermi - lame d'aria</t>
  </si>
  <si>
    <t>B.07.10</t>
  </si>
  <si>
    <t>Armadi refrigerati</t>
  </si>
  <si>
    <t>n.ro armadi</t>
  </si>
  <si>
    <t>B.08</t>
  </si>
  <si>
    <t>Filtri a carbone</t>
  </si>
  <si>
    <t>n.ro cartucce</t>
  </si>
  <si>
    <t>Unità di Trattamento Aria senza filtro assoluto</t>
  </si>
  <si>
    <t>B.09.05</t>
  </si>
  <si>
    <t>Sistema di supervisione e software</t>
  </si>
  <si>
    <t>numero sistemi</t>
  </si>
  <si>
    <t>Sistema di supervisione e software, punti di supervisione (sono inclusi punti di supervisione anche di altri impianti che afferiscono al medesimo sistema)</t>
  </si>
  <si>
    <t>n. punti supervisionati</t>
  </si>
  <si>
    <t>B.09.07</t>
  </si>
  <si>
    <t>Sistema di controllo ambientale al servizio delle SO (tipo ETRA)</t>
  </si>
  <si>
    <t>n. impianto</t>
  </si>
  <si>
    <t>B.14</t>
  </si>
  <si>
    <t>Determinazione della carica microbiologica ambientale "at rest" e "in operational"  (nota: n.6 analisi semestrali per locale)</t>
  </si>
  <si>
    <t>n. analisi</t>
  </si>
  <si>
    <t>Verifiche per attestazione classe di contaminazione particellare - ISO 5 (nota: analisi semestrali per locale - n. analisi per locale=radice quadrata della superficie del locale)</t>
  </si>
  <si>
    <t>Verifiche per attestazione classe di contaminazione particellare - ISO 7/ ISO 8 (nota: analisi annuale per locale - n. analisi per locale=radice quadrata della superficie del locale)</t>
  </si>
  <si>
    <t>B.16</t>
  </si>
  <si>
    <t>Impianto di refrigerazione cella frigo (deposito farmaci)</t>
  </si>
  <si>
    <t>n. celle frigo</t>
  </si>
  <si>
    <t>(blank)</t>
  </si>
  <si>
    <t>Presidio fisso per conduzione centrali termiche con produzione di vapore (1 persona h24/365)</t>
  </si>
  <si>
    <t>n. presidi (h24/365)</t>
  </si>
  <si>
    <t>Manutenzione Impianti elettrici ( C)</t>
  </si>
  <si>
    <t>C2.09</t>
  </si>
  <si>
    <t>Corpi illuminanti esterni</t>
  </si>
  <si>
    <t>n.ro corpi illuminanti esterni</t>
  </si>
  <si>
    <t>C3.01</t>
  </si>
  <si>
    <t>Sistema di controllo e supervisione impianti elettrici e speciali</t>
  </si>
  <si>
    <t>n.ro punti di supervisione</t>
  </si>
  <si>
    <t>C3.02</t>
  </si>
  <si>
    <t>Impianti comunicazione paziente personale</t>
  </si>
  <si>
    <t>n.ro posti letto</t>
  </si>
  <si>
    <t>C3.03</t>
  </si>
  <si>
    <t>Impianti interfonici</t>
  </si>
  <si>
    <t>C3.04</t>
  </si>
  <si>
    <t>Impianti antintrusione</t>
  </si>
  <si>
    <t>m2 lordi superficie servita</t>
  </si>
  <si>
    <t>C3.05</t>
  </si>
  <si>
    <t>Impianti allarmi tecnologici - gas – allagamento</t>
  </si>
  <si>
    <t>n.ro impianti</t>
  </si>
  <si>
    <t>C3.06</t>
  </si>
  <si>
    <t>Impianti SOV</t>
  </si>
  <si>
    <t>C3.07</t>
  </si>
  <si>
    <t>Controllo Accessi</t>
  </si>
  <si>
    <t>n. varchi</t>
  </si>
  <si>
    <t>C4.01</t>
  </si>
  <si>
    <t>Trasformatori</t>
  </si>
  <si>
    <t>n.ro trasformatori</t>
  </si>
  <si>
    <t>C4.03</t>
  </si>
  <si>
    <t>Gruppo elettrogeno da 501 kVA a 800 kVA</t>
  </si>
  <si>
    <t>n.ro gruppi elettrogeni</t>
  </si>
  <si>
    <t>Gruppo elettrogeno fino a 500 kVA</t>
  </si>
  <si>
    <t>Gruppo elettrogeno oltre 1000 kVA</t>
  </si>
  <si>
    <t>C4.04</t>
  </si>
  <si>
    <t>Gruppi di continuità rotanti da 1000 a 2000 kVA</t>
  </si>
  <si>
    <t>n.ro gruppi di continuità rot</t>
  </si>
  <si>
    <t>Gruppo elettrogeno fino da 801 kVA a 1000 kVA</t>
  </si>
  <si>
    <t>C4.05</t>
  </si>
  <si>
    <t>Gruppo statico di continuità / soccorritore  da 101 kVA a 160 kVA</t>
  </si>
  <si>
    <t>n.ro gruppi statici di continuità</t>
  </si>
  <si>
    <t>Gruppo statico di continuità / soccorritore da 11 kVA a 60 kVA</t>
  </si>
  <si>
    <t>Gruppo statico di continuità / soccorritore da 61 kVA a 100 kVA</t>
  </si>
  <si>
    <t>Gruppo statico di continuità /soccorritore  fino a 10 kVA</t>
  </si>
  <si>
    <t>Gruppo statico di continuità /soccorritore oltre 160 kVA</t>
  </si>
  <si>
    <t>C4.07</t>
  </si>
  <si>
    <t>Impianti fotovoltaici</t>
  </si>
  <si>
    <t>kWp</t>
  </si>
  <si>
    <t>C4.08</t>
  </si>
  <si>
    <t>Cabina smistamento media tensione</t>
  </si>
  <si>
    <t>n.ro cabine</t>
  </si>
  <si>
    <t>Impianto elettrico e illuminazione elisuperficie</t>
  </si>
  <si>
    <t>n. elisuperficie</t>
  </si>
  <si>
    <t>n. unità  per servizio telecontrollo e gestione emergenza (h24/365)</t>
  </si>
  <si>
    <t>n. unità (h24/365)</t>
  </si>
  <si>
    <t>Presidio emergenze</t>
  </si>
  <si>
    <t>Feriali 17.00-8.00, sabato domenica e festivi</t>
  </si>
  <si>
    <t>Impianti di osmosi inversa</t>
  </si>
  <si>
    <t>n.ro apparecchiature di osmosi</t>
  </si>
  <si>
    <t>D3.02</t>
  </si>
  <si>
    <t>Trattamento acqua dialisi – anche MD</t>
  </si>
  <si>
    <t>n.ro impianti trattamento acqua dialisi</t>
  </si>
  <si>
    <t>D3.03</t>
  </si>
  <si>
    <t>Erogatori di acqua potabile microfiltrata</t>
  </si>
  <si>
    <t>n.ro erogatori</t>
  </si>
  <si>
    <t>Ultrafiltri in linea</t>
  </si>
  <si>
    <t>n.ro ultrafiltri in linea</t>
  </si>
  <si>
    <t>D3.04</t>
  </si>
  <si>
    <t>Filtrazione assoluta ai terminali</t>
  </si>
  <si>
    <t>n.ro terminali con filtro</t>
  </si>
  <si>
    <t>D3.05</t>
  </si>
  <si>
    <t>Piscina ad uso riabilitativo</t>
  </si>
  <si>
    <t>n. piscina</t>
  </si>
  <si>
    <t>E1.01</t>
  </si>
  <si>
    <t>Porte tagliafuoco</t>
  </si>
  <si>
    <t>n.ro porte tagliafuoco</t>
  </si>
  <si>
    <t>E1.07</t>
  </si>
  <si>
    <t>Evacuatori di fumo e calore e infissi motorizzati ai fini antincendio</t>
  </si>
  <si>
    <t>n.ro evacuatori di fumo e calore</t>
  </si>
  <si>
    <t>E2.03</t>
  </si>
  <si>
    <t>Sistema di supervisione dell'impianto antincendio</t>
  </si>
  <si>
    <t>Numero di punti di supervisione</t>
  </si>
  <si>
    <t>E3.05 - E3.08</t>
  </si>
  <si>
    <t>Impianti spegnimento automatico a gas inerte</t>
  </si>
  <si>
    <t>n.ro impianti a spegnimento automatico a gas</t>
  </si>
  <si>
    <t>E3.06</t>
  </si>
  <si>
    <t>Impianto spegnimento a schiuma elisuperficie</t>
  </si>
  <si>
    <t>E3.07</t>
  </si>
  <si>
    <t>Estrattori d'aria ai fini antincendio</t>
  </si>
  <si>
    <t>n. estrattori</t>
  </si>
  <si>
    <t>E3-03</t>
  </si>
  <si>
    <t>Impianti di spegnimento a sprinkler</t>
  </si>
  <si>
    <t>m2 di superficie netta dei locali serviti da impianti sprinkler</t>
  </si>
  <si>
    <t>Elevatori oltre i 10 piani (oltre 11 fermate)</t>
  </si>
  <si>
    <t>F1.03</t>
  </si>
  <si>
    <t>Scale mobili</t>
  </si>
  <si>
    <t>n.ro rampe motorizzate+D2</t>
  </si>
  <si>
    <t>F1.04</t>
  </si>
  <si>
    <t>Piattaforma elevatrice</t>
  </si>
  <si>
    <t>n.ro piattaforme elevatrici</t>
  </si>
  <si>
    <t>G1.01 - G1.02 - G1.03 - G1.04 - G1.05 - G1.09 - G1.10 - G1.11</t>
  </si>
  <si>
    <t>Manutenzione edile aree interne</t>
  </si>
  <si>
    <t>m2 di superficie lorda fabbricati</t>
  </si>
  <si>
    <t>G1.06.02 - G2.06 - G2.07</t>
  </si>
  <si>
    <t>Fosse biologiche &gt; 5 mc/vasche di prima pioggia/disoleatori</t>
  </si>
  <si>
    <t>n.ro</t>
  </si>
  <si>
    <t>G1.07 - G1.08 – G3.02 - G1.06</t>
  </si>
  <si>
    <t>Manutenzione edile aree esterne</t>
  </si>
  <si>
    <t>m2 di superficie lorda area grigia</t>
  </si>
  <si>
    <t>G2.01.02</t>
  </si>
  <si>
    <t>Porte automatiche e portoni sezionali</t>
  </si>
  <si>
    <t>n.ro porte automatiche</t>
  </si>
  <si>
    <t>G2.01.03</t>
  </si>
  <si>
    <t>Porte automatiche per bunker radioprotetto</t>
  </si>
  <si>
    <t>n.ro porte automatiche per bunker radioprotetto</t>
  </si>
  <si>
    <t>G2.02</t>
  </si>
  <si>
    <t>Linee vita e sistemi di ancoraggio</t>
  </si>
  <si>
    <t>n.ro sistemi di ancoraggio (linee vita)</t>
  </si>
  <si>
    <t>G2.03</t>
  </si>
  <si>
    <t>Sistema anticaduta perimetrale elisuperficie in quota</t>
  </si>
  <si>
    <t>G2.04</t>
  </si>
  <si>
    <t>Impianto smaltimento reflui infetti laboratorio</t>
  </si>
  <si>
    <t>n.ro impianto</t>
  </si>
  <si>
    <t>G2.05</t>
  </si>
  <si>
    <t>Impianti di smaltimento liquidi radioattivi</t>
  </si>
  <si>
    <t>G2.08</t>
  </si>
  <si>
    <t>Impianto smaltimento liquidi autoptici</t>
  </si>
  <si>
    <t>G2.09</t>
  </si>
  <si>
    <t>Impianto declorazione (piazzola rifiuti)</t>
  </si>
  <si>
    <t>G2.12</t>
  </si>
  <si>
    <t>Impianto di abbattimento tensioattivi per reflui</t>
  </si>
  <si>
    <t>G3</t>
  </si>
  <si>
    <t>Manutenzione del verde</t>
  </si>
  <si>
    <t>m2 area verde</t>
  </si>
  <si>
    <t>G3.05</t>
  </si>
  <si>
    <t>Impianti di irrigazione</t>
  </si>
  <si>
    <t>n.ro impianti irrigazione</t>
  </si>
  <si>
    <t>G3.06</t>
  </si>
  <si>
    <t>Stato vegetativo patrimonio arboreo</t>
  </si>
  <si>
    <t>n.ro alberi</t>
  </si>
  <si>
    <t>Numero analisi aria per rilevazione amianto (con metodica SEM)</t>
  </si>
  <si>
    <t>n.ro analisi annue</t>
  </si>
  <si>
    <t>Numero prelievi aria per rilevazione amianto</t>
  </si>
  <si>
    <t>n.ro prelievi annui</t>
  </si>
  <si>
    <t>Tinteggiature a smalto per interni e attività propedeutiche e accessorie alla stessa</t>
  </si>
  <si>
    <t>mq a consumo</t>
  </si>
  <si>
    <t>Tinteggiature con idropittura per interni e attività propedeutiche e accessorie alla stessa</t>
  </si>
  <si>
    <t>Servizio neve (H)</t>
  </si>
  <si>
    <t>H</t>
  </si>
  <si>
    <t>Servizio di pronta disponibilità mezzi</t>
  </si>
  <si>
    <t>euro/annui</t>
  </si>
  <si>
    <t>Canone per la gestione(A)</t>
  </si>
  <si>
    <t>Governo della commessa (call center, reperibilità, supporto gestionale)</t>
  </si>
  <si>
    <t>% del valore totale servizi manutentivi attivati  (B-C-D-E-F-G-H)</t>
  </si>
  <si>
    <t>Costituzione anagrafica tecnica</t>
  </si>
  <si>
    <t>mq</t>
  </si>
  <si>
    <t>Implementazione sistema informativo</t>
  </si>
  <si>
    <t>Rilievi architettonici</t>
  </si>
  <si>
    <t>Rilievi impiantistici</t>
  </si>
  <si>
    <t>NEW</t>
  </si>
  <si>
    <t>b1 New</t>
  </si>
  <si>
    <t>travi fredde complete di travi motorizzate honeywell</t>
  </si>
  <si>
    <t>b2 New</t>
  </si>
  <si>
    <t>impianto aspirazione cappe cucina</t>
  </si>
  <si>
    <t>c1 New</t>
  </si>
  <si>
    <t>impianto interfonico comunicazione cabina ascensori, locali macchina, sbarchi ai piani ascensori VVF, portineria</t>
  </si>
  <si>
    <t>n. centrali collegate a 17 elevatori</t>
  </si>
  <si>
    <t>c2 New</t>
  </si>
  <si>
    <t>impianti videosorveglianza</t>
  </si>
  <si>
    <t>n. impianti</t>
  </si>
  <si>
    <t>d New</t>
  </si>
  <si>
    <t>pozzi (compreso pompe, n° 3 filtri a carbone da 3000 lt cd, ecc.)</t>
  </si>
  <si>
    <t>Grand Total</t>
  </si>
  <si>
    <t>Completato</t>
  </si>
  <si>
    <t>Informazioni Anagrafiche [Nome e Cognome del referente]</t>
  </si>
  <si>
    <t>Informazioni Anagrafiche [Ente/Amministrazione di appartenenza]</t>
  </si>
  <si>
    <t>Informazioni Anagrafiche [Ufficio/Area competente]</t>
  </si>
  <si>
    <t>Informazioni Anagrafiche [Ruolo]</t>
  </si>
  <si>
    <t>Informazioni Anagrafiche [E-mail]</t>
  </si>
  <si>
    <t>Informazioni Anagrafiche [Telefono]</t>
  </si>
  <si>
    <t>Ritenete che la vostra Azienda possa essere interessata nel breve/medio periodo a partecipare ad una iniziativa centralizzata per l'approvvigionamento di Servizi di Facility Management e Manutenzione??</t>
  </si>
  <si>
    <t>Si prega di indicare il motivo del mancato interesse (ad es. servizio previsto da altri contratti con oggetto più ampio)</t>
  </si>
  <si>
    <t>  Si prega di scaricare il file inerente i dati quantitativi relativi alla fornitura di Servizi di Facility Management e Manutenzione, compilarlo nelle sue parti e riallegarlo.</t>
  </si>
  <si>
    <t>Si prega di scaricare il file inerente le Periodicità relative alla fornitura di Servizi di Facility Management e Manutenzione, compilarlo nelle sue parti e riallegarlo.</t>
  </si>
  <si>
    <t>Eventuali note</t>
  </si>
  <si>
    <t>ATS DELL'INSUBRIA</t>
  </si>
  <si>
    <t>Si</t>
  </si>
  <si>
    <t>MAURO CRIMELLA</t>
  </si>
  <si>
    <t>ATS INSUBRIA</t>
  </si>
  <si>
    <t>UOC PROGR. GEST. APPR. BENI E SERVIZI</t>
  </si>
  <si>
    <t>DIRIGENTE</t>
  </si>
  <si>
    <t>crimellam@ats-insubria.it</t>
  </si>
  <si>
    <t>031/370919</t>
  </si>
  <si>
    <t>ARIAFOLFacilityMgmt20210514.xlsx</t>
  </si>
  <si>
    <t>ARIAFOLFacilityMgmtPeriodicità20210514.xlsx</t>
  </si>
  <si>
    <t>ATS DELLA BRIANZA</t>
  </si>
  <si>
    <t>Leonardo Sferrazza Papa</t>
  </si>
  <si>
    <t>UOC Risorse Strumentali e Logistiche</t>
  </si>
  <si>
    <t>Direttore</t>
  </si>
  <si>
    <t>leonardo.sferrazzapapa@ats-brianza.it</t>
  </si>
  <si>
    <t>039/2384202</t>
  </si>
  <si>
    <t>ATSdellaBrianza286536655ARIAFOLFacilityMgmt20210730.xls</t>
  </si>
  <si>
    <t>ATSdellaBrianza286536656ARIAFOLFacilityMgmtPeriodicità20210730.xls</t>
  </si>
  <si>
    <t>ATS DI BERGAMO</t>
  </si>
  <si>
    <t>Luisella Bettineschi</t>
  </si>
  <si>
    <t>ATS Bergamo</t>
  </si>
  <si>
    <t>AGAT-STP</t>
  </si>
  <si>
    <t>funzionario</t>
  </si>
  <si>
    <t>luisella.bettineschi@ats-bg.it</t>
  </si>
  <si>
    <t>286536655ARIAFOLFacilityMgmt20210730.xls</t>
  </si>
  <si>
    <t>286536656ARIAFOLFacilityMgmtPeriodicità20210730.xls</t>
  </si>
  <si>
    <t>ATS DI BRESCIA</t>
  </si>
  <si>
    <t>Si (fabbisogno mandato offline)</t>
  </si>
  <si>
    <t>ATS Brescia</t>
  </si>
  <si>
    <t>ASST DI BERGAMO EST</t>
  </si>
  <si>
    <t>carlo alberto colombo</t>
  </si>
  <si>
    <t>asst di bergamo est</t>
  </si>
  <si>
    <t>tecnico</t>
  </si>
  <si>
    <t>dirigente</t>
  </si>
  <si>
    <t>carlo.colombo@asst-bergamoest.it</t>
  </si>
  <si>
    <t>035/306.3700</t>
  </si>
  <si>
    <t>il documento periodicità disponibile a portale non ha recepito le osservazioni condivise nelle riunioni tecniche. nel documento allegato relativo alle periodicità abbiamo evidenziato nella colonna "operazione previste" quelle celle oggetto di modifica ed approvate dal gruppo tecnico.</t>
  </si>
  <si>
    <t>ASST DI MANTOVA</t>
  </si>
  <si>
    <t>No</t>
  </si>
  <si>
    <t>Giacomo Giatti</t>
  </si>
  <si>
    <t>Struttura Tecnico Economale e dei Servizi</t>
  </si>
  <si>
    <t>Dirigente Amm.vo</t>
  </si>
  <si>
    <t>giacomo.giatti@asst-mantova.it</t>
  </si>
  <si>
    <t>ASST DELLA VALTELLINA E DELL'ALTO LARIO</t>
  </si>
  <si>
    <t>Cristiano Zanesi</t>
  </si>
  <si>
    <t>Servizio Tecnico Patrimoniale</t>
  </si>
  <si>
    <t>cristiano.zanesi@asst-val.it</t>
  </si>
  <si>
    <t>0342 521359</t>
  </si>
  <si>
    <t>ASST DEL GARDA</t>
  </si>
  <si>
    <t>Viviana Sganga</t>
  </si>
  <si>
    <t>AAST del Garda</t>
  </si>
  <si>
    <t>Servizio Gestione Acquisti</t>
  </si>
  <si>
    <t>Responsabile</t>
  </si>
  <si>
    <t>viviana.sganga@asst-garda.it</t>
  </si>
  <si>
    <t>030-9145857</t>
  </si>
  <si>
    <t>286536655ARIAFOLFacilityMgmt20210730ASSTGarda.xls</t>
  </si>
  <si>
    <t>286536656ARIAFOLFacilityMgmtPeriodicità20210730ASSTGarda.xls</t>
  </si>
  <si>
    <t>Prezzo unitario offerto (indicare il prezzo offerto, che dovrà essere pari o inf. al prezzo a base d'asta di cui alla COLONNA I)</t>
  </si>
  <si>
    <t>Spesa triennale 
(al netto del presidio ID6)</t>
  </si>
  <si>
    <t>Canali di distribuzione, ripresa, serrande e bocchette e  locali tecnici</t>
  </si>
  <si>
    <t>96.2</t>
  </si>
  <si>
    <t>N.A.</t>
  </si>
  <si>
    <t>Canone per la gestione (A)</t>
  </si>
  <si>
    <t>somma pari al 5% del valore totale servizi manutentivi attivati  (B-C-D-E-F-G-H)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</si>
</sst>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0.00\ ;&quot; -&quot;#\ ;@\ "/>
    <numFmt numFmtId="165" formatCode="#,##0.00&quot; € &quot;;\-#,##0.00&quot; € &quot;;&quot; -&quot;#&quot; € &quot;;@\ "/>
    <numFmt numFmtId="166" formatCode="[$€-410]\ #,##0.00;[Red]\-[$€-410]\ #,##0.00"/>
    <numFmt numFmtId="167" formatCode="&quot; € &quot;#,##0.00\ ;&quot;-€ &quot;#,##0.00\ ;&quot; € -&quot;#\ ;@\ "/>
    <numFmt numFmtId="168" formatCode="&quot;€ &quot;#,##0.00"/>
    <numFmt numFmtId="169" formatCode="#,##0.00&quot; €&quot;"/>
    <numFmt numFmtId="170" formatCode="#,##0.000&quot; €&quot;"/>
    <numFmt numFmtId="171" formatCode="_-* #,##0.00\ [$€-410]_-;\-* #,##0.00\ [$€-410]_-;_-* &quot;-&quot;??\ [$€-410]_-;_-@_-"/>
  </numFmts>
  <fonts count="32" x14ac:knownFonts="1">
    <font>
      <sz val="11"/>
      <color rgb="FF000000"/>
      <name val="Calibri"/>
      <family val="2"/>
      <charset val="1"/>
    </font>
    <font>
      <b/>
      <sz val="11"/>
      <color rgb="FFFFFFFF"/>
      <name val="Calibri"/>
      <family val="2"/>
      <charset val="1"/>
    </font>
    <font>
      <b/>
      <sz val="11"/>
      <color rgb="FF000000"/>
      <name val="Calibri"/>
      <family val="2"/>
      <charset val="1"/>
    </font>
    <font>
      <sz val="11"/>
      <color rgb="FFCC0000"/>
      <name val="Calibri"/>
      <family val="2"/>
      <charset val="1"/>
    </font>
    <font>
      <i/>
      <sz val="11"/>
      <color rgb="FF808080"/>
      <name val="Calibri"/>
      <family val="2"/>
      <charset val="1"/>
    </font>
    <font>
      <sz val="11"/>
      <color rgb="FF006600"/>
      <name val="Calibri"/>
      <family val="2"/>
      <charset val="1"/>
    </font>
    <font>
      <b/>
      <sz val="18"/>
      <color rgb="FF000000"/>
      <name val="Calibri"/>
      <family val="2"/>
      <charset val="1"/>
    </font>
    <font>
      <b/>
      <sz val="24"/>
      <color rgb="FF000000"/>
      <name val="Calibri"/>
      <family val="2"/>
      <charset val="1"/>
    </font>
    <font>
      <b/>
      <sz val="12"/>
      <color rgb="FF000000"/>
      <name val="Calibri"/>
      <family val="2"/>
      <charset val="1"/>
    </font>
    <font>
      <b/>
      <i/>
      <sz val="16"/>
      <color rgb="FF000000"/>
      <name val="Calibri"/>
      <family val="2"/>
      <charset val="1"/>
    </font>
    <font>
      <u/>
      <sz val="11"/>
      <color rgb="FF0000EE"/>
      <name val="Calibri"/>
      <family val="2"/>
      <charset val="1"/>
    </font>
    <font>
      <sz val="11"/>
      <color rgb="FF996600"/>
      <name val="Calibri"/>
      <family val="2"/>
      <charset val="1"/>
    </font>
    <font>
      <sz val="10"/>
      <color rgb="FF000000"/>
      <name val="Arial"/>
      <family val="2"/>
      <charset val="1"/>
    </font>
    <font>
      <sz val="11"/>
      <color rgb="FF333333"/>
      <name val="Calibri"/>
      <family val="2"/>
      <charset val="1"/>
    </font>
    <font>
      <b/>
      <i/>
      <u/>
      <sz val="11"/>
      <color rgb="FF000000"/>
      <name val="Calibri"/>
      <family val="2"/>
      <charset val="1"/>
    </font>
    <font>
      <b/>
      <i/>
      <sz val="9"/>
      <color rgb="FF000000"/>
      <name val="Calibri"/>
      <family val="2"/>
      <charset val="1"/>
    </font>
    <font>
      <b/>
      <sz val="9"/>
      <color rgb="FF000000"/>
      <name val="Calibri"/>
      <family val="2"/>
      <charset val="1"/>
    </font>
    <font>
      <sz val="8"/>
      <color rgb="FF000000"/>
      <name val="Calibri"/>
      <family val="2"/>
      <charset val="1"/>
    </font>
    <font>
      <sz val="9"/>
      <color rgb="FF000000"/>
      <name val="Calibri"/>
      <family val="2"/>
      <charset val="1"/>
    </font>
    <font>
      <sz val="11"/>
      <color rgb="FF000000"/>
      <name val="Verdana"/>
      <family val="2"/>
      <charset val="1"/>
    </font>
    <font>
      <b/>
      <sz val="14"/>
      <color rgb="FF000000"/>
      <name val="Calibri"/>
      <family val="2"/>
      <charset val="1"/>
    </font>
    <font>
      <sz val="11"/>
      <color rgb="FF0070C0"/>
      <name val="Verdana"/>
      <family val="2"/>
      <charset val="1"/>
    </font>
    <font>
      <sz val="11"/>
      <color rgb="FF0070C0"/>
      <name val="Calibri"/>
      <family val="2"/>
      <charset val="1"/>
    </font>
    <font>
      <b/>
      <i/>
      <sz val="10"/>
      <color rgb="FF000000"/>
      <name val="Calibri"/>
      <family val="2"/>
      <charset val="1"/>
    </font>
    <font>
      <sz val="9"/>
      <color rgb="FF000000"/>
      <name val="Arial"/>
      <family val="2"/>
      <charset val="1"/>
    </font>
    <font>
      <sz val="10"/>
      <color rgb="FF000000"/>
      <name val="Calibri"/>
      <family val="2"/>
      <charset val="1"/>
    </font>
    <font>
      <u/>
      <sz val="10"/>
      <color rgb="FF0000FF"/>
      <name val="Calibri"/>
      <family val="2"/>
      <charset val="1"/>
    </font>
    <font>
      <u/>
      <sz val="11"/>
      <color rgb="FF0000FF"/>
      <name val="Calibri"/>
      <family val="2"/>
      <charset val="1"/>
    </font>
    <font>
      <sz val="11"/>
      <color rgb="FF000000"/>
      <name val="Calibri"/>
      <family val="2"/>
      <charset val="1"/>
    </font>
    <font>
      <sz val="11"/>
      <color rgb="FFFF0000"/>
      <name val="Verdana"/>
      <family val="2"/>
      <charset val="1"/>
    </font>
    <font>
      <sz val="9"/>
      <color rgb="FFFF0000"/>
      <name val="Aptos Narrow"/>
      <family val="2"/>
      <scheme val="minor"/>
    </font>
    <font>
      <sz val="11"/>
      <color rgb="FFFF0000"/>
      <name val="Calibri"/>
      <family val="2"/>
      <charset val="1"/>
    </font>
  </fonts>
  <fills count="20">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FCD5B5"/>
      </patternFill>
    </fill>
    <fill>
      <patternFill patternType="solid">
        <fgColor rgb="FFCC0000"/>
        <bgColor rgb="FF800000"/>
      </patternFill>
    </fill>
    <fill>
      <patternFill patternType="solid">
        <fgColor rgb="FFCCFFCC"/>
        <bgColor rgb="FFE2EFDA"/>
      </patternFill>
    </fill>
    <fill>
      <patternFill patternType="solid">
        <fgColor rgb="FFFFFFCC"/>
        <bgColor rgb="FFFFFFFF"/>
      </patternFill>
    </fill>
    <fill>
      <patternFill patternType="solid">
        <fgColor rgb="FFE6E0EC"/>
        <bgColor rgb="FFDDDDDD"/>
      </patternFill>
    </fill>
    <fill>
      <patternFill patternType="solid">
        <fgColor rgb="FFD7E4BD"/>
        <bgColor rgb="FFDDDDDD"/>
      </patternFill>
    </fill>
    <fill>
      <patternFill patternType="solid">
        <fgColor rgb="FFD9D9D9"/>
        <bgColor rgb="FFDDDDDD"/>
      </patternFill>
    </fill>
    <fill>
      <patternFill patternType="solid">
        <fgColor rgb="FFFFFFFF"/>
        <bgColor rgb="FFFFFFCC"/>
      </patternFill>
    </fill>
    <fill>
      <patternFill patternType="solid">
        <fgColor rgb="FFFCD5B5"/>
        <bgColor rgb="FFFFCCCC"/>
      </patternFill>
    </fill>
    <fill>
      <patternFill patternType="solid">
        <fgColor rgb="FFFFC000"/>
        <bgColor rgb="FFFF9900"/>
      </patternFill>
    </fill>
    <fill>
      <patternFill patternType="solid">
        <fgColor rgb="FFDCE6F2"/>
        <bgColor rgb="FFE6E0EC"/>
      </patternFill>
    </fill>
    <fill>
      <patternFill patternType="solid">
        <fgColor rgb="FF92D050"/>
        <bgColor rgb="FF969696"/>
      </patternFill>
    </fill>
    <fill>
      <patternFill patternType="solid">
        <fgColor rgb="FFE2EFDA"/>
        <bgColor rgb="FFDCE6F2"/>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s>
  <cellStyleXfs count="196">
    <xf numFmtId="0" fontId="0" fillId="0" borderId="0"/>
    <xf numFmtId="0" fontId="27" fillId="0" borderId="0" applyBorder="0" applyProtection="0"/>
    <xf numFmtId="0" fontId="1" fillId="2" borderId="0" applyBorder="0" applyProtection="0"/>
    <xf numFmtId="0" fontId="1" fillId="3" borderId="0" applyBorder="0" applyProtection="0"/>
    <xf numFmtId="0" fontId="2" fillId="4" borderId="0" applyBorder="0" applyProtection="0"/>
    <xf numFmtId="0" fontId="2" fillId="0" borderId="0" applyBorder="0" applyProtection="0"/>
    <xf numFmtId="0" fontId="28" fillId="0" borderId="0" applyBorder="0" applyProtection="0"/>
    <xf numFmtId="0" fontId="3" fillId="5" borderId="0" applyBorder="0" applyProtection="0"/>
    <xf numFmtId="0" fontId="28" fillId="0" borderId="0" applyBorder="0" applyProtection="0"/>
    <xf numFmtId="0" fontId="28" fillId="0" borderId="0" applyBorder="0" applyProtection="0">
      <alignment horizontal="left"/>
    </xf>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5" fontId="28" fillId="0" borderId="0" applyBorder="0" applyProtection="0"/>
    <xf numFmtId="165" fontId="28" fillId="0" borderId="0" applyBorder="0" applyProtection="0"/>
    <xf numFmtId="165" fontId="28" fillId="0" borderId="0" applyBorder="0" applyProtection="0"/>
    <xf numFmtId="0" fontId="1" fillId="6" borderId="0" applyBorder="0" applyProtection="0"/>
    <xf numFmtId="0" fontId="4" fillId="0" borderId="0" applyBorder="0" applyProtection="0"/>
    <xf numFmtId="0" fontId="5" fillId="7" borderId="0" applyBorder="0" applyProtection="0"/>
    <xf numFmtId="0" fontId="6" fillId="0" borderId="0" applyBorder="0" applyProtection="0"/>
    <xf numFmtId="0" fontId="7" fillId="0" borderId="0" applyBorder="0" applyProtection="0"/>
    <xf numFmtId="0" fontId="8" fillId="0" borderId="0" applyBorder="0" applyProtection="0"/>
    <xf numFmtId="0" fontId="9" fillId="0" borderId="0" applyBorder="0" applyProtection="0">
      <alignment horizontal="center"/>
    </xf>
    <xf numFmtId="0" fontId="10"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164" fontId="28" fillId="0" borderId="0" applyBorder="0" applyProtection="0"/>
    <xf numFmtId="0" fontId="11" fillId="8" borderId="0" applyBorder="0" applyProtection="0"/>
    <xf numFmtId="0" fontId="12" fillId="0" borderId="0" applyBorder="0" applyProtection="0"/>
    <xf numFmtId="0" fontId="12" fillId="0" borderId="0" applyBorder="0" applyProtection="0"/>
    <xf numFmtId="0" fontId="12"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28" fillId="0" borderId="0" applyBorder="0" applyProtection="0"/>
    <xf numFmtId="0" fontId="13" fillId="8" borderId="1" applyProtection="0"/>
    <xf numFmtId="9" fontId="28" fillId="0" borderId="0" applyBorder="0" applyProtection="0"/>
    <xf numFmtId="0" fontId="14" fillId="0" borderId="0" applyBorder="0" applyProtection="0"/>
    <xf numFmtId="0" fontId="14" fillId="0" borderId="0" applyBorder="0" applyProtection="0"/>
    <xf numFmtId="0" fontId="2" fillId="0" borderId="0" applyBorder="0" applyProtection="0"/>
    <xf numFmtId="166" fontId="14" fillId="0" borderId="0" applyBorder="0" applyProtection="0"/>
    <xf numFmtId="0" fontId="28" fillId="0" borderId="0" applyBorder="0" applyProtection="0"/>
    <xf numFmtId="0" fontId="28" fillId="0" borderId="0" applyBorder="0" applyProtection="0"/>
    <xf numFmtId="0" fontId="2" fillId="0" borderId="0" applyBorder="0" applyProtection="0">
      <alignment horizontal="left"/>
    </xf>
    <xf numFmtId="0"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167" fontId="28" fillId="0" borderId="0" applyBorder="0" applyProtection="0"/>
    <xf numFmtId="0" fontId="3" fillId="0" borderId="0" applyBorder="0" applyProtection="0"/>
  </cellStyleXfs>
  <cellXfs count="95">
    <xf numFmtId="0" fontId="0" fillId="0" borderId="0" xfId="0"/>
    <xf numFmtId="0" fontId="28" fillId="0" borderId="0" xfId="50" applyBorder="1" applyProtection="1"/>
    <xf numFmtId="0" fontId="15" fillId="9" borderId="2"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7" fillId="10" borderId="3" xfId="50" applyFont="1" applyFill="1" applyBorder="1" applyAlignment="1" applyProtection="1">
      <alignment horizontal="center" vertical="center"/>
    </xf>
    <xf numFmtId="0" fontId="18" fillId="10" borderId="3" xfId="50" applyFont="1" applyFill="1" applyBorder="1" applyAlignment="1" applyProtection="1">
      <alignment vertical="center" wrapText="1"/>
    </xf>
    <xf numFmtId="0" fontId="17" fillId="10" borderId="3" xfId="50" applyFont="1" applyFill="1" applyBorder="1" applyAlignment="1" applyProtection="1">
      <alignment vertical="center" wrapText="1"/>
    </xf>
    <xf numFmtId="165" fontId="18" fillId="10" borderId="3" xfId="17" applyFont="1" applyFill="1" applyBorder="1" applyAlignment="1" applyProtection="1">
      <alignment horizontal="center" vertical="center"/>
    </xf>
    <xf numFmtId="0" fontId="18" fillId="10" borderId="3" xfId="50" applyFont="1" applyFill="1" applyBorder="1" applyProtection="1"/>
    <xf numFmtId="0" fontId="18" fillId="10" borderId="3" xfId="50" applyFont="1" applyFill="1" applyBorder="1" applyAlignment="1" applyProtection="1">
      <alignment wrapText="1"/>
    </xf>
    <xf numFmtId="165" fontId="18" fillId="10" borderId="3" xfId="50" applyNumberFormat="1" applyFont="1" applyFill="1" applyBorder="1" applyProtection="1"/>
    <xf numFmtId="0" fontId="15" fillId="11" borderId="2" xfId="0" applyFont="1" applyFill="1" applyBorder="1" applyAlignment="1">
      <alignment horizontal="center" vertical="center" wrapText="1"/>
    </xf>
    <xf numFmtId="0" fontId="17" fillId="0" borderId="3" xfId="50" applyFont="1" applyBorder="1" applyAlignment="1" applyProtection="1">
      <alignment horizontal="center" vertical="center"/>
    </xf>
    <xf numFmtId="0" fontId="18" fillId="12" borderId="3" xfId="50" applyFont="1" applyFill="1" applyBorder="1" applyAlignment="1" applyProtection="1">
      <alignment vertical="center"/>
    </xf>
    <xf numFmtId="0" fontId="18" fillId="0" borderId="3" xfId="50" applyFont="1" applyBorder="1" applyProtection="1"/>
    <xf numFmtId="0" fontId="17" fillId="11" borderId="3" xfId="50" applyFont="1" applyFill="1" applyBorder="1" applyAlignment="1" applyProtection="1">
      <alignment horizontal="center" vertical="center"/>
    </xf>
    <xf numFmtId="0" fontId="18" fillId="11" borderId="3" xfId="50" applyFont="1" applyFill="1" applyBorder="1" applyAlignment="1" applyProtection="1">
      <alignment vertical="center"/>
    </xf>
    <xf numFmtId="0" fontId="18" fillId="11" borderId="3" xfId="50" applyFont="1" applyFill="1" applyBorder="1" applyProtection="1"/>
    <xf numFmtId="0" fontId="17" fillId="11" borderId="3" xfId="50" applyFont="1" applyFill="1" applyBorder="1" applyAlignment="1" applyProtection="1">
      <alignment vertical="center" wrapText="1"/>
    </xf>
    <xf numFmtId="0" fontId="28" fillId="0" borderId="4" xfId="8" applyBorder="1"/>
    <xf numFmtId="0" fontId="28" fillId="0" borderId="5" xfId="6" applyBorder="1"/>
    <xf numFmtId="0" fontId="28" fillId="0" borderId="6" xfId="9" applyBorder="1">
      <alignment horizontal="left"/>
    </xf>
    <xf numFmtId="0" fontId="2" fillId="0" borderId="7" xfId="158" applyBorder="1">
      <alignment horizontal="left"/>
    </xf>
    <xf numFmtId="0" fontId="28" fillId="0" borderId="8" xfId="159" applyBorder="1"/>
    <xf numFmtId="0" fontId="2" fillId="0" borderId="9" xfId="154" applyBorder="1"/>
    <xf numFmtId="0" fontId="19" fillId="0" borderId="0" xfId="42" applyFont="1" applyBorder="1" applyProtection="1"/>
    <xf numFmtId="0" fontId="19" fillId="0" borderId="0" xfId="42" applyFont="1" applyBorder="1" applyAlignment="1" applyProtection="1">
      <alignment horizontal="center"/>
    </xf>
    <xf numFmtId="0" fontId="19" fillId="0" borderId="0" xfId="42" applyFont="1" applyBorder="1" applyAlignment="1" applyProtection="1">
      <alignment vertical="center"/>
    </xf>
    <xf numFmtId="0" fontId="19" fillId="0" borderId="0" xfId="42" applyFont="1" applyBorder="1" applyAlignment="1" applyProtection="1">
      <alignment horizontal="center" vertical="center"/>
    </xf>
    <xf numFmtId="0" fontId="9" fillId="0" borderId="0" xfId="42" applyFont="1" applyBorder="1" applyAlignment="1" applyProtection="1">
      <alignment vertical="center"/>
    </xf>
    <xf numFmtId="0" fontId="9" fillId="0" borderId="0" xfId="42" applyFont="1" applyBorder="1" applyAlignment="1" applyProtection="1">
      <alignment horizontal="center" vertical="center"/>
    </xf>
    <xf numFmtId="0" fontId="2" fillId="0" borderId="0" xfId="42" applyFont="1" applyBorder="1" applyAlignment="1" applyProtection="1">
      <alignment horizontal="center" vertical="center"/>
    </xf>
    <xf numFmtId="168" fontId="20" fillId="0" borderId="0" xfId="42" applyNumberFormat="1" applyFont="1" applyBorder="1" applyAlignment="1" applyProtection="1">
      <alignment horizontal="left" vertical="center"/>
      <protection locked="0"/>
    </xf>
    <xf numFmtId="0" fontId="19" fillId="0" borderId="0" xfId="42" applyFont="1" applyBorder="1" applyAlignment="1" applyProtection="1">
      <alignment horizontal="center" vertical="top" wrapText="1"/>
    </xf>
    <xf numFmtId="0" fontId="2" fillId="10" borderId="3" xfId="0" applyFont="1" applyFill="1" applyBorder="1" applyAlignment="1">
      <alignment horizontal="center" vertical="center" wrapText="1"/>
    </xf>
    <xf numFmtId="0" fontId="2" fillId="13" borderId="3" xfId="105" applyFont="1" applyFill="1" applyBorder="1" applyAlignment="1" applyProtection="1">
      <alignment horizontal="center" vertical="center" wrapText="1"/>
    </xf>
    <xf numFmtId="0" fontId="2" fillId="14" borderId="3" xfId="105" applyFont="1" applyFill="1" applyBorder="1" applyAlignment="1" applyProtection="1">
      <alignment horizontal="center" vertical="center" wrapText="1"/>
    </xf>
    <xf numFmtId="0" fontId="21" fillId="0" borderId="0" xfId="42" applyFont="1" applyBorder="1" applyProtection="1"/>
    <xf numFmtId="0" fontId="22" fillId="12" borderId="3" xfId="0" applyFont="1" applyFill="1" applyBorder="1" applyAlignment="1">
      <alignment horizontal="left" vertical="center" wrapText="1"/>
    </xf>
    <xf numFmtId="0" fontId="22" fillId="12" borderId="3" xfId="0" applyFont="1" applyFill="1" applyBorder="1" applyAlignment="1">
      <alignment horizontal="center" vertical="center" wrapText="1"/>
    </xf>
    <xf numFmtId="4" fontId="22" fillId="12" borderId="3" xfId="0" applyNumberFormat="1" applyFont="1" applyFill="1" applyBorder="1" applyAlignment="1">
      <alignment horizontal="center" vertical="center" wrapText="1"/>
    </xf>
    <xf numFmtId="4" fontId="22" fillId="0" borderId="3" xfId="0" applyNumberFormat="1" applyFont="1" applyBorder="1" applyAlignment="1">
      <alignment horizontal="center" vertical="center" wrapText="1"/>
    </xf>
    <xf numFmtId="4" fontId="22" fillId="0" borderId="10" xfId="0" applyNumberFormat="1" applyFont="1" applyBorder="1" applyAlignment="1">
      <alignment horizontal="center" vertical="center" wrapText="1"/>
    </xf>
    <xf numFmtId="4" fontId="22" fillId="0" borderId="11" xfId="0" applyNumberFormat="1" applyFont="1" applyBorder="1" applyAlignment="1">
      <alignment horizontal="center" vertical="center" wrapText="1"/>
    </xf>
    <xf numFmtId="4" fontId="22" fillId="0" borderId="3" xfId="105" applyNumberFormat="1" applyFont="1" applyBorder="1" applyAlignment="1" applyProtection="1">
      <alignment horizontal="center" vertical="center" wrapText="1"/>
    </xf>
    <xf numFmtId="4" fontId="22" fillId="12" borderId="10" xfId="0" applyNumberFormat="1" applyFont="1" applyFill="1" applyBorder="1" applyAlignment="1">
      <alignment horizontal="center" vertical="center" wrapText="1"/>
    </xf>
    <xf numFmtId="4" fontId="22" fillId="12" borderId="11" xfId="0" applyNumberFormat="1" applyFont="1" applyFill="1" applyBorder="1" applyAlignment="1">
      <alignment horizontal="center" vertical="center" wrapText="1"/>
    </xf>
    <xf numFmtId="0" fontId="22" fillId="0" borderId="3" xfId="0" applyFont="1" applyBorder="1" applyAlignment="1">
      <alignment horizontal="left" vertical="center" wrapText="1"/>
    </xf>
    <xf numFmtId="0" fontId="22" fillId="0" borderId="3"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wrapText="1"/>
    </xf>
    <xf numFmtId="4" fontId="0" fillId="0" borderId="3" xfId="0" applyNumberFormat="1" applyBorder="1" applyAlignment="1">
      <alignment horizontal="center" vertical="center" wrapText="1"/>
    </xf>
    <xf numFmtId="4" fontId="0" fillId="0" borderId="10" xfId="0" applyNumberFormat="1" applyBorder="1" applyAlignment="1">
      <alignment horizontal="center" vertical="center" wrapText="1"/>
    </xf>
    <xf numFmtId="4" fontId="0" fillId="0" borderId="11" xfId="0" applyNumberFormat="1" applyBorder="1" applyAlignment="1">
      <alignment horizontal="center" vertical="center" wrapText="1"/>
    </xf>
    <xf numFmtId="4" fontId="0" fillId="12" borderId="11" xfId="0" applyNumberFormat="1" applyFill="1" applyBorder="1" applyAlignment="1">
      <alignment horizontal="center" vertical="center" wrapText="1"/>
    </xf>
    <xf numFmtId="4" fontId="0" fillId="12" borderId="3" xfId="0" applyNumberFormat="1" applyFill="1" applyBorder="1" applyAlignment="1">
      <alignment horizontal="center" vertical="center" wrapText="1"/>
    </xf>
    <xf numFmtId="0" fontId="0" fillId="12" borderId="3" xfId="0" applyFill="1" applyBorder="1" applyAlignment="1">
      <alignment horizontal="left" vertical="center" wrapText="1"/>
    </xf>
    <xf numFmtId="0" fontId="0" fillId="12" borderId="3" xfId="0" applyFill="1" applyBorder="1" applyAlignment="1">
      <alignment horizontal="center" vertical="center" wrapText="1"/>
    </xf>
    <xf numFmtId="4" fontId="2" fillId="0" borderId="10" xfId="0" applyNumberFormat="1" applyFont="1" applyBorder="1" applyAlignment="1">
      <alignment horizontal="center" vertical="center" wrapText="1"/>
    </xf>
    <xf numFmtId="169" fontId="0" fillId="0" borderId="0" xfId="0" applyNumberFormat="1" applyAlignment="1">
      <alignment horizontal="center" vertical="center"/>
    </xf>
    <xf numFmtId="0" fontId="2" fillId="11" borderId="3" xfId="0" applyFont="1" applyFill="1" applyBorder="1" applyAlignment="1">
      <alignment vertical="center" wrapText="1"/>
    </xf>
    <xf numFmtId="170" fontId="23" fillId="13" borderId="3" xfId="0" applyNumberFormat="1" applyFont="1" applyFill="1" applyBorder="1" applyAlignment="1">
      <alignment horizontal="center" vertical="center" wrapText="1"/>
    </xf>
    <xf numFmtId="0" fontId="2" fillId="15" borderId="3" xfId="0" applyFont="1" applyFill="1" applyBorder="1" applyAlignment="1">
      <alignment horizontal="center" vertical="center" wrapText="1"/>
    </xf>
    <xf numFmtId="169" fontId="2" fillId="15" borderId="3" xfId="0" applyNumberFormat="1" applyFont="1" applyFill="1" applyBorder="1" applyAlignment="1">
      <alignment horizontal="center" vertical="center" wrapText="1"/>
    </xf>
    <xf numFmtId="0" fontId="0" fillId="0" borderId="3" xfId="0" applyBorder="1"/>
    <xf numFmtId="170" fontId="0" fillId="0" borderId="3" xfId="0" applyNumberFormat="1" applyBorder="1" applyAlignment="1">
      <alignment horizontal="center" vertical="center"/>
    </xf>
    <xf numFmtId="4" fontId="0" fillId="0" borderId="3" xfId="0" applyNumberFormat="1" applyBorder="1"/>
    <xf numFmtId="169" fontId="0" fillId="0" borderId="3" xfId="0" applyNumberFormat="1" applyBorder="1" applyAlignment="1">
      <alignment horizontal="center" vertical="center"/>
    </xf>
    <xf numFmtId="10" fontId="0" fillId="0" borderId="3" xfId="0" applyNumberFormat="1" applyBorder="1" applyAlignment="1">
      <alignment horizontal="center" vertical="center"/>
    </xf>
    <xf numFmtId="0" fontId="0" fillId="8" borderId="3" xfId="0" applyFill="1" applyBorder="1"/>
    <xf numFmtId="170" fontId="0" fillId="8" borderId="3" xfId="0" applyNumberFormat="1" applyFill="1" applyBorder="1" applyAlignment="1">
      <alignment horizontal="center" vertical="center"/>
    </xf>
    <xf numFmtId="4" fontId="2" fillId="0" borderId="3" xfId="0" applyNumberFormat="1" applyFont="1" applyBorder="1"/>
    <xf numFmtId="169" fontId="2" fillId="16" borderId="3" xfId="0" applyNumberFormat="1" applyFont="1" applyFill="1" applyBorder="1" applyAlignment="1">
      <alignment horizontal="center" vertical="center"/>
    </xf>
    <xf numFmtId="0" fontId="24" fillId="0" borderId="0" xfId="0" applyFont="1"/>
    <xf numFmtId="0" fontId="2" fillId="17" borderId="3" xfId="42" applyFont="1" applyFill="1" applyBorder="1" applyAlignment="1" applyProtection="1">
      <alignment horizontal="center" vertical="center" wrapText="1"/>
      <protection locked="0"/>
    </xf>
    <xf numFmtId="0" fontId="25" fillId="0" borderId="3" xfId="0" applyFont="1" applyBorder="1" applyAlignment="1">
      <alignment horizontal="center" vertical="center"/>
    </xf>
    <xf numFmtId="0" fontId="25" fillId="12" borderId="3" xfId="0" applyFont="1" applyFill="1" applyBorder="1" applyAlignment="1">
      <alignment horizontal="center" vertical="center" wrapText="1"/>
    </xf>
    <xf numFmtId="0" fontId="26" fillId="12" borderId="3" xfId="1" applyFont="1" applyFill="1" applyBorder="1" applyAlignment="1" applyProtection="1">
      <alignment horizontal="center" vertical="center" wrapText="1"/>
    </xf>
    <xf numFmtId="3" fontId="25" fillId="12" borderId="3" xfId="0" applyNumberFormat="1" applyFont="1" applyFill="1" applyBorder="1" applyAlignment="1">
      <alignment horizontal="center" vertical="center" wrapText="1"/>
    </xf>
    <xf numFmtId="0" fontId="25" fillId="0" borderId="3" xfId="0" applyFont="1" applyBorder="1" applyAlignment="1">
      <alignment horizontal="center" vertical="center" wrapText="1"/>
    </xf>
    <xf numFmtId="171" fontId="21" fillId="0" borderId="0" xfId="42" applyNumberFormat="1" applyFont="1" applyBorder="1" applyAlignment="1" applyProtection="1">
      <alignment vertical="center"/>
    </xf>
    <xf numFmtId="171" fontId="19" fillId="0" borderId="0" xfId="42" applyNumberFormat="1" applyFont="1" applyBorder="1" applyAlignment="1" applyProtection="1">
      <alignment vertical="center"/>
    </xf>
    <xf numFmtId="0" fontId="19" fillId="0" borderId="0" xfId="42" applyFont="1" applyBorder="1" applyAlignment="1" applyProtection="1">
      <alignment vertical="center" wrapText="1"/>
    </xf>
    <xf numFmtId="0" fontId="21" fillId="18" borderId="0" xfId="42" applyFont="1" applyFill="1" applyBorder="1" applyAlignment="1" applyProtection="1">
      <alignment vertical="center"/>
    </xf>
    <xf numFmtId="0" fontId="19" fillId="18" borderId="0" xfId="42" applyFont="1" applyFill="1" applyBorder="1" applyAlignment="1" applyProtection="1">
      <alignment vertical="center"/>
    </xf>
    <xf numFmtId="0" fontId="29" fillId="0" borderId="0" xfId="42" applyFont="1" applyBorder="1" applyProtection="1"/>
    <xf numFmtId="0" fontId="30" fillId="19" borderId="12" xfId="0" applyFont="1" applyFill="1" applyBorder="1" applyAlignment="1">
      <alignment horizontal="left" vertical="center" wrapText="1"/>
    </xf>
    <xf numFmtId="0" fontId="30" fillId="19" borderId="12" xfId="0" applyFont="1" applyFill="1" applyBorder="1" applyAlignment="1">
      <alignment horizontal="center" vertical="center" wrapText="1"/>
    </xf>
    <xf numFmtId="0" fontId="30" fillId="19" borderId="13" xfId="0" applyFont="1" applyFill="1" applyBorder="1" applyAlignment="1">
      <alignment horizontal="center" vertical="center" wrapText="1"/>
    </xf>
    <xf numFmtId="0" fontId="29" fillId="0" borderId="0" xfId="42" applyFont="1" applyBorder="1" applyAlignment="1" applyProtection="1">
      <alignment horizontal="center" vertical="center"/>
    </xf>
    <xf numFmtId="49" fontId="31" fillId="0" borderId="0" xfId="42" applyNumberFormat="1" applyFont="1" applyBorder="1" applyAlignment="1" applyProtection="1">
      <alignment wrapText="1"/>
    </xf>
    <xf numFmtId="49" fontId="31" fillId="12" borderId="0" xfId="42" applyNumberFormat="1" applyFont="1" applyFill="1" applyBorder="1" applyAlignment="1" applyProtection="1">
      <alignment wrapText="1"/>
    </xf>
    <xf numFmtId="171" fontId="29" fillId="0" borderId="0" xfId="42" applyNumberFormat="1" applyFont="1" applyBorder="1" applyAlignment="1" applyProtection="1">
      <alignment vertical="center"/>
    </xf>
    <xf numFmtId="0" fontId="29" fillId="0" borderId="0" xfId="42" applyFont="1" applyBorder="1" applyAlignment="1" applyProtection="1">
      <alignment vertical="center"/>
    </xf>
    <xf numFmtId="0" fontId="31" fillId="0" borderId="0" xfId="0" applyFont="1"/>
  </cellXfs>
  <cellStyles count="196">
    <cellStyle name="Accent 1 5" xfId="2" xr:uid="{00000000-0005-0000-0000-000006000000}"/>
    <cellStyle name="Accent 2 6" xfId="3" xr:uid="{00000000-0005-0000-0000-000007000000}"/>
    <cellStyle name="Accent 3 7" xfId="4" xr:uid="{00000000-0005-0000-0000-000008000000}"/>
    <cellStyle name="Accent 4" xfId="5" xr:uid="{00000000-0005-0000-0000-000009000000}"/>
    <cellStyle name="Angolo tabella pivot" xfId="6" xr:uid="{00000000-0005-0000-0000-00000A000000}"/>
    <cellStyle name="Bad 8" xfId="7" xr:uid="{00000000-0005-0000-0000-00000B000000}"/>
    <cellStyle name="Campo tabella pivot" xfId="8" xr:uid="{00000000-0005-0000-0000-00000C000000}"/>
    <cellStyle name="Categoria tabella pivot" xfId="9" xr:uid="{00000000-0005-0000-0000-00000D000000}"/>
    <cellStyle name="Collegamento ipertestuale" xfId="1" builtinId="8"/>
    <cellStyle name="Comma 2" xfId="10" xr:uid="{00000000-0005-0000-0000-00000E000000}"/>
    <cellStyle name="Comma 2 2" xfId="11" xr:uid="{00000000-0005-0000-0000-00000F000000}"/>
    <cellStyle name="Comma 2 2 2" xfId="12" xr:uid="{00000000-0005-0000-0000-000010000000}"/>
    <cellStyle name="Comma 2 3" xfId="13" xr:uid="{00000000-0005-0000-0000-000011000000}"/>
    <cellStyle name="Comma 3" xfId="14" xr:uid="{00000000-0005-0000-0000-000012000000}"/>
    <cellStyle name="Comma 3 2" xfId="15" xr:uid="{00000000-0005-0000-0000-000013000000}"/>
    <cellStyle name="Comma 4" xfId="16" xr:uid="{00000000-0005-0000-0000-000014000000}"/>
    <cellStyle name="Currency 2" xfId="17" xr:uid="{00000000-0005-0000-0000-000015000000}"/>
    <cellStyle name="Currency 2 2" xfId="18" xr:uid="{00000000-0005-0000-0000-000016000000}"/>
    <cellStyle name="Currency 3" xfId="19" xr:uid="{00000000-0005-0000-0000-000017000000}"/>
    <cellStyle name="Error 9" xfId="20" xr:uid="{00000000-0005-0000-0000-000018000000}"/>
    <cellStyle name="Footnote 10" xfId="21" xr:uid="{00000000-0005-0000-0000-000019000000}"/>
    <cellStyle name="Good 11" xfId="22" xr:uid="{00000000-0005-0000-0000-00001A000000}"/>
    <cellStyle name="Heading 1 13" xfId="23" xr:uid="{00000000-0005-0000-0000-00001B000000}"/>
    <cellStyle name="Heading 12" xfId="24" xr:uid="{00000000-0005-0000-0000-00001C000000}"/>
    <cellStyle name="Heading 2 14" xfId="25" xr:uid="{00000000-0005-0000-0000-00001D000000}"/>
    <cellStyle name="Heading 3" xfId="26" xr:uid="{00000000-0005-0000-0000-00001E000000}"/>
    <cellStyle name="Hyperlink 15" xfId="27" xr:uid="{00000000-0005-0000-0000-00001F000000}"/>
    <cellStyle name="Migliaia 2" xfId="28" xr:uid="{00000000-0005-0000-0000-000020000000}"/>
    <cellStyle name="Migliaia 2 2" xfId="29" xr:uid="{00000000-0005-0000-0000-000021000000}"/>
    <cellStyle name="Migliaia 2 2 2" xfId="30" xr:uid="{00000000-0005-0000-0000-000022000000}"/>
    <cellStyle name="Migliaia 2 2 2 2" xfId="31" xr:uid="{00000000-0005-0000-0000-000023000000}"/>
    <cellStyle name="Migliaia 2 2 3" xfId="32" xr:uid="{00000000-0005-0000-0000-000024000000}"/>
    <cellStyle name="Migliaia 2 3" xfId="33" xr:uid="{00000000-0005-0000-0000-000025000000}"/>
    <cellStyle name="Migliaia 2 3 2" xfId="34" xr:uid="{00000000-0005-0000-0000-000026000000}"/>
    <cellStyle name="Migliaia 2 3 2 2" xfId="35" xr:uid="{00000000-0005-0000-0000-000027000000}"/>
    <cellStyle name="Migliaia 2 3 3" xfId="36" xr:uid="{00000000-0005-0000-0000-000028000000}"/>
    <cellStyle name="Migliaia 2 4" xfId="37" xr:uid="{00000000-0005-0000-0000-000029000000}"/>
    <cellStyle name="Migliaia 2 4 2" xfId="38" xr:uid="{00000000-0005-0000-0000-00002A000000}"/>
    <cellStyle name="Migliaia 2 5" xfId="39" xr:uid="{00000000-0005-0000-0000-00002B000000}"/>
    <cellStyle name="Neutral 16" xfId="40" xr:uid="{00000000-0005-0000-0000-00002C000000}"/>
    <cellStyle name="Normal - Style1" xfId="41" xr:uid="{00000000-0005-0000-0000-00002D000000}"/>
    <cellStyle name="Normal 2" xfId="42" xr:uid="{00000000-0005-0000-0000-00002E000000}"/>
    <cellStyle name="Normal 2 2" xfId="43" xr:uid="{00000000-0005-0000-0000-00002F000000}"/>
    <cellStyle name="Normal 3" xfId="44" xr:uid="{00000000-0005-0000-0000-000030000000}"/>
    <cellStyle name="Normal 3 2" xfId="45" xr:uid="{00000000-0005-0000-0000-000031000000}"/>
    <cellStyle name="Normal 3 2 2" xfId="46" xr:uid="{00000000-0005-0000-0000-000032000000}"/>
    <cellStyle name="Normal 3 3" xfId="47" xr:uid="{00000000-0005-0000-0000-000033000000}"/>
    <cellStyle name="Normal 3 4" xfId="48" xr:uid="{00000000-0005-0000-0000-000034000000}"/>
    <cellStyle name="Normal 3 4 2" xfId="49" xr:uid="{00000000-0005-0000-0000-000035000000}"/>
    <cellStyle name="Normal 4" xfId="50" xr:uid="{00000000-0005-0000-0000-000036000000}"/>
    <cellStyle name="Normal 4 2" xfId="51" xr:uid="{00000000-0005-0000-0000-000037000000}"/>
    <cellStyle name="Normal 4 3" xfId="52" xr:uid="{00000000-0005-0000-0000-000038000000}"/>
    <cellStyle name="Normal 5" xfId="53" xr:uid="{00000000-0005-0000-0000-000039000000}"/>
    <cellStyle name="Normal 5 2" xfId="54" xr:uid="{00000000-0005-0000-0000-00003A000000}"/>
    <cellStyle name="Normale" xfId="0" builtinId="0"/>
    <cellStyle name="Normale 2" xfId="55" xr:uid="{00000000-0005-0000-0000-00003B000000}"/>
    <cellStyle name="Normale 2 2" xfId="56" xr:uid="{00000000-0005-0000-0000-00003C000000}"/>
    <cellStyle name="Normale 2 2 2" xfId="57" xr:uid="{00000000-0005-0000-0000-00003D000000}"/>
    <cellStyle name="Normale 2 2 2 2" xfId="58" xr:uid="{00000000-0005-0000-0000-00003E000000}"/>
    <cellStyle name="Normale 2 2 2 2 2" xfId="59" xr:uid="{00000000-0005-0000-0000-00003F000000}"/>
    <cellStyle name="Normale 2 2 2 3" xfId="60" xr:uid="{00000000-0005-0000-0000-000040000000}"/>
    <cellStyle name="Normale 2 2 3" xfId="61" xr:uid="{00000000-0005-0000-0000-000041000000}"/>
    <cellStyle name="Normale 2 2 3 2" xfId="62" xr:uid="{00000000-0005-0000-0000-000042000000}"/>
    <cellStyle name="Normale 2 2 4" xfId="63" xr:uid="{00000000-0005-0000-0000-000043000000}"/>
    <cellStyle name="Normale 2 3" xfId="64" xr:uid="{00000000-0005-0000-0000-000044000000}"/>
    <cellStyle name="Normale 2 3 2" xfId="65" xr:uid="{00000000-0005-0000-0000-000045000000}"/>
    <cellStyle name="Normale 2 3 2 2" xfId="66" xr:uid="{00000000-0005-0000-0000-000046000000}"/>
    <cellStyle name="Normale 2 3 2 2 2" xfId="67" xr:uid="{00000000-0005-0000-0000-000047000000}"/>
    <cellStyle name="Normale 2 3 2 3" xfId="68" xr:uid="{00000000-0005-0000-0000-000048000000}"/>
    <cellStyle name="Normale 2 3 3" xfId="69" xr:uid="{00000000-0005-0000-0000-000049000000}"/>
    <cellStyle name="Normale 2 3 3 2" xfId="70" xr:uid="{00000000-0005-0000-0000-00004A000000}"/>
    <cellStyle name="Normale 2 3 4" xfId="71" xr:uid="{00000000-0005-0000-0000-00004B000000}"/>
    <cellStyle name="Normale 2 4" xfId="72" xr:uid="{00000000-0005-0000-0000-00004C000000}"/>
    <cellStyle name="Normale 2 4 2" xfId="73" xr:uid="{00000000-0005-0000-0000-00004D000000}"/>
    <cellStyle name="Normale 2 4 2 2" xfId="74" xr:uid="{00000000-0005-0000-0000-00004E000000}"/>
    <cellStyle name="Normale 2 4 2 2 2" xfId="75" xr:uid="{00000000-0005-0000-0000-00004F000000}"/>
    <cellStyle name="Normale 2 4 2 3" xfId="76" xr:uid="{00000000-0005-0000-0000-000050000000}"/>
    <cellStyle name="Normale 2 4 3" xfId="77" xr:uid="{00000000-0005-0000-0000-000051000000}"/>
    <cellStyle name="Normale 2 4 3 2" xfId="78" xr:uid="{00000000-0005-0000-0000-000052000000}"/>
    <cellStyle name="Normale 2 4 4" xfId="79" xr:uid="{00000000-0005-0000-0000-000053000000}"/>
    <cellStyle name="Normale 2 5" xfId="80" xr:uid="{00000000-0005-0000-0000-000054000000}"/>
    <cellStyle name="Normale 2 6" xfId="81" xr:uid="{00000000-0005-0000-0000-000055000000}"/>
    <cellStyle name="Normale 2 6 2" xfId="82" xr:uid="{00000000-0005-0000-0000-000056000000}"/>
    <cellStyle name="Normale 2 6 2 2" xfId="83" xr:uid="{00000000-0005-0000-0000-000057000000}"/>
    <cellStyle name="Normale 2 6 3" xfId="84" xr:uid="{00000000-0005-0000-0000-000058000000}"/>
    <cellStyle name="Normale 2 7" xfId="85" xr:uid="{00000000-0005-0000-0000-000059000000}"/>
    <cellStyle name="Normale 2 7 2" xfId="86" xr:uid="{00000000-0005-0000-0000-00005A000000}"/>
    <cellStyle name="Normale 2 8" xfId="87" xr:uid="{00000000-0005-0000-0000-00005B000000}"/>
    <cellStyle name="Normale 3" xfId="88" xr:uid="{00000000-0005-0000-0000-00005C000000}"/>
    <cellStyle name="Normale 3 2" xfId="89" xr:uid="{00000000-0005-0000-0000-00005D000000}"/>
    <cellStyle name="Normale 3 2 2" xfId="90" xr:uid="{00000000-0005-0000-0000-00005E000000}"/>
    <cellStyle name="Normale 3 2 2 2" xfId="91" xr:uid="{00000000-0005-0000-0000-00005F000000}"/>
    <cellStyle name="Normale 3 2 2 2 2" xfId="92" xr:uid="{00000000-0005-0000-0000-000060000000}"/>
    <cellStyle name="Normale 3 2 2 2 2 2" xfId="93" xr:uid="{00000000-0005-0000-0000-000061000000}"/>
    <cellStyle name="Normale 3 2 2 2 3" xfId="94" xr:uid="{00000000-0005-0000-0000-000062000000}"/>
    <cellStyle name="Normale 3 2 2 3" xfId="95" xr:uid="{00000000-0005-0000-0000-000063000000}"/>
    <cellStyle name="Normale 3 2 2 3 2" xfId="96" xr:uid="{00000000-0005-0000-0000-000064000000}"/>
    <cellStyle name="Normale 3 2 2 4" xfId="97" xr:uid="{00000000-0005-0000-0000-000065000000}"/>
    <cellStyle name="Normale 3 2 3" xfId="98" xr:uid="{00000000-0005-0000-0000-000066000000}"/>
    <cellStyle name="Normale 3 2 3 2" xfId="99" xr:uid="{00000000-0005-0000-0000-000067000000}"/>
    <cellStyle name="Normale 3 2 3 2 2" xfId="100" xr:uid="{00000000-0005-0000-0000-000068000000}"/>
    <cellStyle name="Normale 3 2 3 3" xfId="101" xr:uid="{00000000-0005-0000-0000-000069000000}"/>
    <cellStyle name="Normale 3 2 4" xfId="102" xr:uid="{00000000-0005-0000-0000-00006A000000}"/>
    <cellStyle name="Normale 3 2 4 2" xfId="103" xr:uid="{00000000-0005-0000-0000-00006B000000}"/>
    <cellStyle name="Normale 3 2 5" xfId="104" xr:uid="{00000000-0005-0000-0000-00006C000000}"/>
    <cellStyle name="Normale 3 3" xfId="105" xr:uid="{00000000-0005-0000-0000-00006D000000}"/>
    <cellStyle name="Normale 3 3 2" xfId="106" xr:uid="{00000000-0005-0000-0000-00006E000000}"/>
    <cellStyle name="Normale 3 3 2 2" xfId="107" xr:uid="{00000000-0005-0000-0000-00006F000000}"/>
    <cellStyle name="Normale 3 3 3" xfId="108" xr:uid="{00000000-0005-0000-0000-000070000000}"/>
    <cellStyle name="Normale 3 3 4" xfId="109" xr:uid="{00000000-0005-0000-0000-000071000000}"/>
    <cellStyle name="Normale 3 4" xfId="110" xr:uid="{00000000-0005-0000-0000-000072000000}"/>
    <cellStyle name="Normale 3 4 2" xfId="111" xr:uid="{00000000-0005-0000-0000-000073000000}"/>
    <cellStyle name="Normale 3 4 2 2" xfId="112" xr:uid="{00000000-0005-0000-0000-000074000000}"/>
    <cellStyle name="Normale 3 4 3" xfId="113" xr:uid="{00000000-0005-0000-0000-000075000000}"/>
    <cellStyle name="Normale 3 5" xfId="114" xr:uid="{00000000-0005-0000-0000-000076000000}"/>
    <cellStyle name="Normale 3 5 2" xfId="115" xr:uid="{00000000-0005-0000-0000-000077000000}"/>
    <cellStyle name="Normale 3 6" xfId="116" xr:uid="{00000000-0005-0000-0000-000078000000}"/>
    <cellStyle name="Normale 4" xfId="117" xr:uid="{00000000-0005-0000-0000-000079000000}"/>
    <cellStyle name="Normale 5" xfId="118" xr:uid="{00000000-0005-0000-0000-00007A000000}"/>
    <cellStyle name="Normale 5 2" xfId="119" xr:uid="{00000000-0005-0000-0000-00007B000000}"/>
    <cellStyle name="Normale 5 2 2" xfId="120" xr:uid="{00000000-0005-0000-0000-00007C000000}"/>
    <cellStyle name="Normale 5 2 2 2" xfId="121" xr:uid="{00000000-0005-0000-0000-00007D000000}"/>
    <cellStyle name="Normale 5 2 2 2 2" xfId="122" xr:uid="{00000000-0005-0000-0000-00007E000000}"/>
    <cellStyle name="Normale 5 2 2 2 2 2" xfId="123" xr:uid="{00000000-0005-0000-0000-00007F000000}"/>
    <cellStyle name="Normale 5 2 2 2 2 2 2" xfId="124" xr:uid="{00000000-0005-0000-0000-000080000000}"/>
    <cellStyle name="Normale 5 2 2 2 2 3" xfId="125" xr:uid="{00000000-0005-0000-0000-000081000000}"/>
    <cellStyle name="Normale 5 2 2 2 3" xfId="126" xr:uid="{00000000-0005-0000-0000-000082000000}"/>
    <cellStyle name="Normale 5 2 2 2 3 2" xfId="127" xr:uid="{00000000-0005-0000-0000-000083000000}"/>
    <cellStyle name="Normale 5 2 2 2 4" xfId="128" xr:uid="{00000000-0005-0000-0000-000084000000}"/>
    <cellStyle name="Normale 5 2 2 3" xfId="129" xr:uid="{00000000-0005-0000-0000-000085000000}"/>
    <cellStyle name="Normale 5 2 2 3 2" xfId="130" xr:uid="{00000000-0005-0000-0000-000086000000}"/>
    <cellStyle name="Normale 5 2 2 3 2 2" xfId="131" xr:uid="{00000000-0005-0000-0000-000087000000}"/>
    <cellStyle name="Normale 5 2 2 3 3" xfId="132" xr:uid="{00000000-0005-0000-0000-000088000000}"/>
    <cellStyle name="Normale 5 2 2 4" xfId="133" xr:uid="{00000000-0005-0000-0000-000089000000}"/>
    <cellStyle name="Normale 5 2 2 4 2" xfId="134" xr:uid="{00000000-0005-0000-0000-00008A000000}"/>
    <cellStyle name="Normale 5 2 2 5" xfId="135" xr:uid="{00000000-0005-0000-0000-00008B000000}"/>
    <cellStyle name="Normale 5 2 3" xfId="136" xr:uid="{00000000-0005-0000-0000-00008C000000}"/>
    <cellStyle name="Normale 5 2 3 2" xfId="137" xr:uid="{00000000-0005-0000-0000-00008D000000}"/>
    <cellStyle name="Normale 5 2 3 2 2" xfId="138" xr:uid="{00000000-0005-0000-0000-00008E000000}"/>
    <cellStyle name="Normale 5 2 3 3" xfId="139" xr:uid="{00000000-0005-0000-0000-00008F000000}"/>
    <cellStyle name="Normale 5 2 4" xfId="140" xr:uid="{00000000-0005-0000-0000-000090000000}"/>
    <cellStyle name="Normale 5 2 4 2" xfId="141" xr:uid="{00000000-0005-0000-0000-000091000000}"/>
    <cellStyle name="Normale 5 2 5" xfId="142" xr:uid="{00000000-0005-0000-0000-000092000000}"/>
    <cellStyle name="Normale 5 3" xfId="143" xr:uid="{00000000-0005-0000-0000-000093000000}"/>
    <cellStyle name="Normale 5 3 2" xfId="144" xr:uid="{00000000-0005-0000-0000-000094000000}"/>
    <cellStyle name="Normale 5 3 2 2" xfId="145" xr:uid="{00000000-0005-0000-0000-000095000000}"/>
    <cellStyle name="Normale 5 3 3" xfId="146" xr:uid="{00000000-0005-0000-0000-000096000000}"/>
    <cellStyle name="Normale 5 4" xfId="147" xr:uid="{00000000-0005-0000-0000-000097000000}"/>
    <cellStyle name="Normale 5 4 2" xfId="148" xr:uid="{00000000-0005-0000-0000-000098000000}"/>
    <cellStyle name="Normale 5 5" xfId="149" xr:uid="{00000000-0005-0000-0000-000099000000}"/>
    <cellStyle name="Note 17" xfId="150" xr:uid="{00000000-0005-0000-0000-00009A000000}"/>
    <cellStyle name="Percent 2" xfId="151" xr:uid="{00000000-0005-0000-0000-00009B000000}"/>
    <cellStyle name="Result 18" xfId="152" xr:uid="{00000000-0005-0000-0000-00009C000000}"/>
    <cellStyle name="Result 4" xfId="153" xr:uid="{00000000-0005-0000-0000-00009D000000}"/>
    <cellStyle name="Risultato tabella pivot" xfId="154" xr:uid="{00000000-0005-0000-0000-00009E000000}"/>
    <cellStyle name="Risultato2" xfId="155" xr:uid="{00000000-0005-0000-0000-00009F000000}"/>
    <cellStyle name="Status 19" xfId="156" xr:uid="{00000000-0005-0000-0000-0000A0000000}"/>
    <cellStyle name="Text 20" xfId="157" xr:uid="{00000000-0005-0000-0000-0000A1000000}"/>
    <cellStyle name="Titolo tabella pivot" xfId="158" xr:uid="{00000000-0005-0000-0000-0000A2000000}"/>
    <cellStyle name="Valore tabella pivot" xfId="159" xr:uid="{00000000-0005-0000-0000-0000A3000000}"/>
    <cellStyle name="Valuta 2" xfId="160" xr:uid="{00000000-0005-0000-0000-0000A4000000}"/>
    <cellStyle name="Valuta 2 2" xfId="161" xr:uid="{00000000-0005-0000-0000-0000A5000000}"/>
    <cellStyle name="Valuta 2 2 2" xfId="162" xr:uid="{00000000-0005-0000-0000-0000A6000000}"/>
    <cellStyle name="Valuta 2 2 2 2" xfId="163" xr:uid="{00000000-0005-0000-0000-0000A7000000}"/>
    <cellStyle name="Valuta 2 2 2 3" xfId="164" xr:uid="{00000000-0005-0000-0000-0000A8000000}"/>
    <cellStyle name="Valuta 2 2 2 3 2" xfId="165" xr:uid="{00000000-0005-0000-0000-0000A9000000}"/>
    <cellStyle name="Valuta 2 2 2 4" xfId="166" xr:uid="{00000000-0005-0000-0000-0000AA000000}"/>
    <cellStyle name="Valuta 2 2 3" xfId="167" xr:uid="{00000000-0005-0000-0000-0000AB000000}"/>
    <cellStyle name="Valuta 2 2 4" xfId="168" xr:uid="{00000000-0005-0000-0000-0000AC000000}"/>
    <cellStyle name="Valuta 2 2 4 2" xfId="169" xr:uid="{00000000-0005-0000-0000-0000AD000000}"/>
    <cellStyle name="Valuta 2 2 5" xfId="170" xr:uid="{00000000-0005-0000-0000-0000AE000000}"/>
    <cellStyle name="Valuta 2 3" xfId="171" xr:uid="{00000000-0005-0000-0000-0000AF000000}"/>
    <cellStyle name="Valuta 2 4" xfId="172" xr:uid="{00000000-0005-0000-0000-0000B0000000}"/>
    <cellStyle name="Valuta 2 4 2" xfId="173" xr:uid="{00000000-0005-0000-0000-0000B1000000}"/>
    <cellStyle name="Valuta 2 5" xfId="174" xr:uid="{00000000-0005-0000-0000-0000B2000000}"/>
    <cellStyle name="Valuta 3" xfId="175" xr:uid="{00000000-0005-0000-0000-0000B3000000}"/>
    <cellStyle name="Valuta 3 2" xfId="176" xr:uid="{00000000-0005-0000-0000-0000B4000000}"/>
    <cellStyle name="Valuta 3 3" xfId="177" xr:uid="{00000000-0005-0000-0000-0000B5000000}"/>
    <cellStyle name="Valuta 3 3 2" xfId="178" xr:uid="{00000000-0005-0000-0000-0000B6000000}"/>
    <cellStyle name="Valuta 3 4" xfId="179" xr:uid="{00000000-0005-0000-0000-0000B7000000}"/>
    <cellStyle name="Valuta 4" xfId="180" xr:uid="{00000000-0005-0000-0000-0000B8000000}"/>
    <cellStyle name="Valuta 4 2" xfId="181" xr:uid="{00000000-0005-0000-0000-0000B9000000}"/>
    <cellStyle name="Valuta 4 3" xfId="182" xr:uid="{00000000-0005-0000-0000-0000BA000000}"/>
    <cellStyle name="Valuta 4 3 2" xfId="183" xr:uid="{00000000-0005-0000-0000-0000BB000000}"/>
    <cellStyle name="Valuta 4 4" xfId="184" xr:uid="{00000000-0005-0000-0000-0000BC000000}"/>
    <cellStyle name="Valuta 5" xfId="185" xr:uid="{00000000-0005-0000-0000-0000BD000000}"/>
    <cellStyle name="Valuta 5 2" xfId="186" xr:uid="{00000000-0005-0000-0000-0000BE000000}"/>
    <cellStyle name="Valuta 5 3" xfId="187" xr:uid="{00000000-0005-0000-0000-0000BF000000}"/>
    <cellStyle name="Valuta 5 3 2" xfId="188" xr:uid="{00000000-0005-0000-0000-0000C0000000}"/>
    <cellStyle name="Valuta 5 4" xfId="189" xr:uid="{00000000-0005-0000-0000-0000C1000000}"/>
    <cellStyle name="Valuta 6" xfId="190" xr:uid="{00000000-0005-0000-0000-0000C2000000}"/>
    <cellStyle name="Valuta 6 2" xfId="191" xr:uid="{00000000-0005-0000-0000-0000C3000000}"/>
    <cellStyle name="Valuta 6 3" xfId="192" xr:uid="{00000000-0005-0000-0000-0000C4000000}"/>
    <cellStyle name="Valuta 6 3 2" xfId="193" xr:uid="{00000000-0005-0000-0000-0000C5000000}"/>
    <cellStyle name="Valuta 6 4" xfId="194" xr:uid="{00000000-0005-0000-0000-0000C6000000}"/>
    <cellStyle name="Warning 21" xfId="195" xr:uid="{00000000-0005-0000-0000-0000C700000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6600"/>
      <rgbColor rgb="FF000080"/>
      <rgbColor rgb="FF996600"/>
      <rgbColor rgb="FF800080"/>
      <rgbColor rgb="FF008080"/>
      <rgbColor rgb="FFDDDDDD"/>
      <rgbColor rgb="FF808080"/>
      <rgbColor rgb="FF9999FF"/>
      <rgbColor rgb="FF993366"/>
      <rgbColor rgb="FFFFFFCC"/>
      <rgbColor rgb="FFE2EFDA"/>
      <rgbColor rgb="FF660066"/>
      <rgbColor rgb="FFFF8080"/>
      <rgbColor rgb="FF0070C0"/>
      <rgbColor rgb="FFD9D9D9"/>
      <rgbColor rgb="FF000080"/>
      <rgbColor rgb="FFFF00FF"/>
      <rgbColor rgb="FFFFFF00"/>
      <rgbColor rgb="FF00FFFF"/>
      <rgbColor rgb="FF800080"/>
      <rgbColor rgb="FF800000"/>
      <rgbColor rgb="FF008080"/>
      <rgbColor rgb="FF0000EE"/>
      <rgbColor rgb="FF00CCFF"/>
      <rgbColor rgb="FFDCE6F2"/>
      <rgbColor rgb="FFCCFFCC"/>
      <rgbColor rgb="FFD7E4BD"/>
      <rgbColor rgb="FFE6E0EC"/>
      <rgbColor rgb="FFFFCCCC"/>
      <rgbColor rgb="FFCC99FF"/>
      <rgbColor rgb="FFFCD5B5"/>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 xr:uid="{00000000-000A-0000-FFFF-FFFF01000000}">
  <cacheSource type="worksheet">
    <worksheetSource ref="B3:L4" sheet="Consistenze"/>
  </cacheSource>
  <cacheFields count="12">
    <cacheField name="Colonna B" numFmtId="0">
      <sharedItems count="1">
        <s v="Ente"/>
      </sharedItems>
    </cacheField>
    <cacheField name="Colonna C" numFmtId="0">
      <sharedItems count="1">
        <s v="ID Servizio"/>
      </sharedItems>
    </cacheField>
    <cacheField name="Colonna D" numFmtId="0">
      <sharedItems count="1">
        <s v="Codice"/>
      </sharedItems>
    </cacheField>
    <cacheField name="Colonna E" numFmtId="0">
      <sharedItems count="1">
        <s v="Tipologia Servizio"/>
      </sharedItems>
    </cacheField>
    <cacheField name="Colonna F" numFmtId="0">
      <sharedItems count="1">
        <s v="Servizio"/>
      </sharedItems>
    </cacheField>
    <cacheField name="Colonna G" numFmtId="0">
      <sharedItems count="1">
        <s v="Unità di misura"/>
      </sharedItems>
    </cacheField>
    <cacheField name="Via A. Doria 52" numFmtId="0">
      <sharedItems count="1">
        <s v="ID presidio 1"/>
      </sharedItems>
    </cacheField>
    <cacheField name="Via Don Orione 2" numFmtId="0">
      <sharedItems count="1">
        <s v="ID presidio 2"/>
      </sharedItems>
    </cacheField>
    <cacheField name="Via Farini 9" numFmtId="0">
      <sharedItems count="1">
        <s v="ID presidio 3"/>
      </sharedItems>
    </cacheField>
    <cacheField name="Via Rugabella 4/6" numFmtId="0">
      <sharedItems count="1">
        <s v="ID presidio 4"/>
      </sharedItems>
    </cacheField>
    <cacheField name="Via A. Sassi 4" numFmtId="0">
      <sharedItems count="1">
        <s v="ID presidio 5"/>
      </sharedItems>
    </cacheField>
    <cacheField name="Via Sassi 4 P.ssa Jolanda" numFmtId="0">
      <sharedItems count="1">
        <s v="ID presidio 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
  <r>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0" dataCaption="Values" itemPrintTitles="1" indent="0" compact="0" outline="1" outlineData="1" compactData="0">
  <location ref="A3:B5" firstHeaderRow="1" firstDataRow="2" firstDataCol="0"/>
  <pivotFields count="12">
    <pivotField axis="axisCol" compact="0" showAll="0">
      <items count="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colFields count="1">
    <field x="0"/>
  </col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questionari.eproc.ariaspa.it/questionari/upload/File_compilati/94583/3351_2865_36656_286536656ARIAFOLFacilityMgmtPeriodicit&#224;20210730.xls" TargetMode="External"/><Relationship Id="rId3" Type="http://schemas.openxmlformats.org/officeDocument/2006/relationships/hyperlink" Target="https://www.questionari.eproc.ariaspa.it/questionari/upload/File_compilati/94583/3369_2865_36655_ATSdellaBrianza286536655ARIAFOLFacilityMgmt20210730.xls" TargetMode="External"/><Relationship Id="rId7" Type="http://schemas.openxmlformats.org/officeDocument/2006/relationships/hyperlink" Target="https://www.questionari.eproc.ariaspa.it/questionari/upload/File_compilati/94583/3351_2865_36655_286536655ARIAFOLFacilityMgmt20210730.xls" TargetMode="External"/><Relationship Id="rId12" Type="http://schemas.openxmlformats.org/officeDocument/2006/relationships/hyperlink" Target="https://www.questionari.eproc.ariaspa.it/questionari/upload/File_compilati/94583/3347_2865_36656_286536656ARIAFOLFacilityMgmtPeriodicit&#224;20210730ASSTGarda.xls" TargetMode="External"/><Relationship Id="rId2" Type="http://schemas.openxmlformats.org/officeDocument/2006/relationships/hyperlink" Target="https://www.questionari.eproc.ariaspa.it/questionari/upload/File_compilati/94583/3373_2865_36656_ARIAFOLFacilityMgmtPeriodicit&#224;20210514.xlsx" TargetMode="External"/><Relationship Id="rId1" Type="http://schemas.openxmlformats.org/officeDocument/2006/relationships/hyperlink" Target="https://www.questionari.eproc.ariaspa.it/questionari/upload/File_compilati/94583/3373_2865_36655_ARIAFOLFacilityMgmt20210514.xlsx" TargetMode="External"/><Relationship Id="rId6" Type="http://schemas.openxmlformats.org/officeDocument/2006/relationships/hyperlink" Target="https://www.questionari.eproc.ariaspa.it/questionari/upload/File_compilati/94583/3374_2865_36656_286536656ARIAFOLFacilityMgmtPeriodicit&#224;20210730.xls" TargetMode="External"/><Relationship Id="rId11" Type="http://schemas.openxmlformats.org/officeDocument/2006/relationships/hyperlink" Target="https://www.questionari.eproc.ariaspa.it/questionari/upload/File_compilati/94583/3347_2865_36655_286536655ARIAFOLFacilityMgmt20210730ASSTGarda.xls" TargetMode="External"/><Relationship Id="rId5" Type="http://schemas.openxmlformats.org/officeDocument/2006/relationships/hyperlink" Target="https://www.questionari.eproc.ariaspa.it/questionari/upload/File_compilati/94583/3374_2865_36655_286536655ARIAFOLFacilityMgmt20210730.xls" TargetMode="External"/><Relationship Id="rId10" Type="http://schemas.openxmlformats.org/officeDocument/2006/relationships/hyperlink" Target="https://www.questionari.eproc.ariaspa.it/questionari/upload/File_compilati/94583/3350_2865_36656_286536656ARIAFOLFacilityMgmtPeriodicit&#224;20210730.xls" TargetMode="External"/><Relationship Id="rId4" Type="http://schemas.openxmlformats.org/officeDocument/2006/relationships/hyperlink" Target="https://www.questionari.eproc.ariaspa.it/questionari/upload/File_compilati/94583/3369_2865_36656_ATSdellaBrianza286536656ARIAFOLFacilityMgmtPeriodicit&#224;20210730.xls" TargetMode="External"/><Relationship Id="rId9" Type="http://schemas.openxmlformats.org/officeDocument/2006/relationships/hyperlink" Target="https://www.questionari.eproc.ariaspa.it/questionari/upload/File_compilati/94583/3350_2865_36655_286536655ARIAFOLFacilityMgmt20210730.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MJ14"/>
  <sheetViews>
    <sheetView zoomScaleNormal="100" workbookViewId="0">
      <selection activeCellId="1" sqref="AC33 A1"/>
    </sheetView>
  </sheetViews>
  <sheetFormatPr defaultColWidth="8.88671875" defaultRowHeight="14.4" x14ac:dyDescent="0.3"/>
  <cols>
    <col min="1" max="1" width="8.88671875" style="1"/>
    <col min="2" max="4" width="30.77734375" style="1" customWidth="1"/>
    <col min="5" max="5" width="75.88671875" style="1" customWidth="1"/>
    <col min="6" max="6" width="30.77734375" style="1" customWidth="1"/>
    <col min="7" max="7" width="49.21875" style="1" customWidth="1"/>
    <col min="8" max="8" width="44.21875" style="1" customWidth="1"/>
    <col min="9" max="1024" width="8.88671875" style="1"/>
  </cols>
  <sheetData>
    <row r="2" spans="2:8" ht="39.75" customHeight="1" x14ac:dyDescent="0.3">
      <c r="B2" s="2" t="s">
        <v>0</v>
      </c>
      <c r="C2" s="2" t="s">
        <v>1</v>
      </c>
      <c r="D2" s="2" t="s">
        <v>2</v>
      </c>
      <c r="E2" s="2" t="s">
        <v>3</v>
      </c>
      <c r="F2" s="2" t="s">
        <v>4</v>
      </c>
      <c r="G2" s="2" t="s">
        <v>5</v>
      </c>
      <c r="H2" s="2" t="s">
        <v>6</v>
      </c>
    </row>
    <row r="3" spans="2:8" ht="39.75" customHeight="1" x14ac:dyDescent="0.3">
      <c r="B3" s="3" t="s">
        <v>7</v>
      </c>
      <c r="C3" s="4" t="s">
        <v>8</v>
      </c>
      <c r="D3" s="4" t="s">
        <v>8</v>
      </c>
      <c r="E3" s="5" t="s">
        <v>9</v>
      </c>
      <c r="F3" s="6" t="s">
        <v>10</v>
      </c>
      <c r="G3" s="7">
        <v>90.25</v>
      </c>
      <c r="H3" s="7">
        <v>103.29</v>
      </c>
    </row>
    <row r="4" spans="2:8" ht="72.599999999999994" x14ac:dyDescent="0.3">
      <c r="B4" s="3" t="s">
        <v>11</v>
      </c>
      <c r="C4" s="4" t="s">
        <v>8</v>
      </c>
      <c r="D4" s="4" t="s">
        <v>8</v>
      </c>
      <c r="E4" s="5" t="s">
        <v>9</v>
      </c>
      <c r="F4" s="6" t="s">
        <v>12</v>
      </c>
      <c r="G4" s="8"/>
      <c r="H4" s="9" t="s">
        <v>13</v>
      </c>
    </row>
    <row r="5" spans="2:8" ht="39.75" customHeight="1" x14ac:dyDescent="0.3">
      <c r="B5" s="3" t="s">
        <v>14</v>
      </c>
      <c r="C5" s="4" t="s">
        <v>8</v>
      </c>
      <c r="D5" s="4" t="s">
        <v>8</v>
      </c>
      <c r="E5" s="5" t="s">
        <v>9</v>
      </c>
      <c r="F5" s="6" t="s">
        <v>15</v>
      </c>
      <c r="G5" s="8"/>
      <c r="H5" s="8"/>
    </row>
    <row r="6" spans="2:8" ht="62.25" customHeight="1" x14ac:dyDescent="0.3">
      <c r="B6" s="3" t="s">
        <v>16</v>
      </c>
      <c r="C6" s="4" t="s">
        <v>8</v>
      </c>
      <c r="D6" s="4" t="s">
        <v>8</v>
      </c>
      <c r="E6" s="5" t="s">
        <v>17</v>
      </c>
      <c r="F6" s="6" t="s">
        <v>18</v>
      </c>
      <c r="G6" s="8"/>
      <c r="H6" s="8"/>
    </row>
    <row r="7" spans="2:8" ht="39.75" customHeight="1" x14ac:dyDescent="0.3">
      <c r="B7" s="3" t="s">
        <v>19</v>
      </c>
      <c r="C7" s="4" t="s">
        <v>8</v>
      </c>
      <c r="D7" s="4" t="s">
        <v>8</v>
      </c>
      <c r="E7" s="5" t="s">
        <v>9</v>
      </c>
      <c r="F7" s="6" t="s">
        <v>20</v>
      </c>
      <c r="G7" s="7" t="s">
        <v>21</v>
      </c>
      <c r="H7" s="7"/>
    </row>
    <row r="8" spans="2:8" ht="39.75" customHeight="1" x14ac:dyDescent="0.3">
      <c r="B8" s="3" t="s">
        <v>22</v>
      </c>
      <c r="C8" s="4" t="s">
        <v>8</v>
      </c>
      <c r="D8" s="4" t="s">
        <v>8</v>
      </c>
      <c r="E8" s="5" t="s">
        <v>23</v>
      </c>
      <c r="F8" s="6"/>
      <c r="G8" s="10">
        <v>115</v>
      </c>
      <c r="H8" s="8"/>
    </row>
    <row r="9" spans="2:8" ht="39.75" customHeight="1" x14ac:dyDescent="0.3">
      <c r="B9" s="3" t="s">
        <v>24</v>
      </c>
      <c r="C9" s="4" t="s">
        <v>8</v>
      </c>
      <c r="D9" s="4" t="s">
        <v>8</v>
      </c>
      <c r="E9" s="5" t="s">
        <v>9</v>
      </c>
      <c r="F9" s="6" t="s">
        <v>25</v>
      </c>
      <c r="G9" s="8"/>
      <c r="H9" s="8"/>
    </row>
    <row r="10" spans="2:8" ht="39.75" customHeight="1" x14ac:dyDescent="0.3">
      <c r="B10" s="3" t="s">
        <v>26</v>
      </c>
      <c r="C10" s="4" t="s">
        <v>8</v>
      </c>
      <c r="D10" s="4" t="s">
        <v>8</v>
      </c>
      <c r="E10" s="5" t="s">
        <v>9</v>
      </c>
      <c r="F10" s="6" t="s">
        <v>27</v>
      </c>
      <c r="G10" s="10">
        <v>52.5</v>
      </c>
      <c r="H10" s="8"/>
    </row>
    <row r="11" spans="2:8" ht="39.75" customHeight="1" x14ac:dyDescent="0.3">
      <c r="B11" s="3" t="s">
        <v>28</v>
      </c>
      <c r="C11" s="4" t="s">
        <v>8</v>
      </c>
      <c r="D11" s="4" t="s">
        <v>8</v>
      </c>
      <c r="E11" s="5" t="s">
        <v>9</v>
      </c>
      <c r="F11" s="6" t="s">
        <v>10</v>
      </c>
      <c r="G11" s="9" t="s">
        <v>29</v>
      </c>
      <c r="H11" s="8"/>
    </row>
    <row r="12" spans="2:8" ht="39.75" customHeight="1" x14ac:dyDescent="0.3">
      <c r="B12" s="11" t="s">
        <v>30</v>
      </c>
      <c r="C12" s="12" t="s">
        <v>31</v>
      </c>
      <c r="D12" s="12" t="s">
        <v>31</v>
      </c>
      <c r="E12" s="13" t="s">
        <v>32</v>
      </c>
      <c r="F12" s="14"/>
      <c r="G12" s="14"/>
      <c r="H12" s="14"/>
    </row>
    <row r="13" spans="2:8" ht="39.75" customHeight="1" x14ac:dyDescent="0.3">
      <c r="B13" s="11" t="s">
        <v>33</v>
      </c>
      <c r="C13" s="12" t="s">
        <v>31</v>
      </c>
      <c r="D13" s="12" t="s">
        <v>31</v>
      </c>
      <c r="E13" s="13" t="s">
        <v>32</v>
      </c>
      <c r="F13" s="14"/>
      <c r="G13" s="14"/>
      <c r="H13" s="14"/>
    </row>
    <row r="14" spans="2:8" ht="39.75" customHeight="1" x14ac:dyDescent="0.3">
      <c r="B14" s="11" t="s">
        <v>34</v>
      </c>
      <c r="C14" s="15" t="s">
        <v>8</v>
      </c>
      <c r="D14" s="15" t="s">
        <v>8</v>
      </c>
      <c r="E14" s="16" t="s">
        <v>35</v>
      </c>
      <c r="F14" s="17"/>
      <c r="G14" s="18"/>
      <c r="H14" s="17"/>
    </row>
  </sheetData>
  <pageMargins left="0.7" right="0.7" top="1.14375" bottom="1.143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5"/>
  <sheetViews>
    <sheetView zoomScaleNormal="100" workbookViewId="0">
      <selection activeCellId="1" sqref="AC33 A1"/>
    </sheetView>
  </sheetViews>
  <sheetFormatPr defaultColWidth="8.77734375" defaultRowHeight="14.4" x14ac:dyDescent="0.3"/>
  <cols>
    <col min="1" max="1" width="22.21875" customWidth="1"/>
    <col min="2" max="2" width="61.88671875" customWidth="1"/>
    <col min="3" max="3" width="13.33203125" customWidth="1"/>
    <col min="4" max="4" width="20.109375" customWidth="1"/>
    <col min="5" max="5" width="31.33203125" customWidth="1"/>
    <col min="6" max="6" width="17.88671875" customWidth="1"/>
    <col min="7" max="7" width="12.6640625" customWidth="1"/>
    <col min="8" max="8" width="11.77734375" customWidth="1"/>
    <col min="9" max="9" width="14.88671875" customWidth="1"/>
    <col min="10" max="10" width="13.33203125" customWidth="1"/>
    <col min="11" max="11" width="30.44140625" customWidth="1"/>
    <col min="12" max="12" width="15.6640625" customWidth="1"/>
    <col min="13" max="13" width="18.109375" customWidth="1"/>
    <col min="14" max="14" width="15" customWidth="1"/>
    <col min="15" max="15" width="14.6640625" customWidth="1"/>
    <col min="16" max="16" width="13.88671875" customWidth="1"/>
    <col min="17" max="17" width="12.109375" customWidth="1"/>
    <col min="18" max="18" width="54.109375" customWidth="1"/>
    <col min="19" max="19" width="49" customWidth="1"/>
    <col min="20" max="20" width="54.44140625" customWidth="1"/>
    <col min="21" max="22" width="11.77734375" customWidth="1"/>
  </cols>
  <sheetData>
    <row r="3" spans="1:2" x14ac:dyDescent="0.3">
      <c r="A3" s="19" t="s">
        <v>36</v>
      </c>
      <c r="B3" s="20"/>
    </row>
    <row r="4" spans="1:2" x14ac:dyDescent="0.3">
      <c r="A4" s="21" t="s">
        <v>0</v>
      </c>
      <c r="B4" s="22" t="s">
        <v>37</v>
      </c>
    </row>
    <row r="5" spans="1:2" x14ac:dyDescent="0.3">
      <c r="A5" s="23"/>
      <c r="B5" s="24"/>
    </row>
  </sheetData>
  <pageMargins left="0.7" right="0.7" top="1.14375" bottom="1.143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MI35"/>
  <sheetViews>
    <sheetView tabSelected="1" topLeftCell="D18" zoomScaleNormal="100" workbookViewId="0">
      <pane xSplit="2928" topLeftCell="AM1" activePane="topRight"/>
      <selection activeCell="B1" sqref="B1:C1048576"/>
      <selection pane="topRight" activeCell="AN31" sqref="AN31:AN32"/>
    </sheetView>
  </sheetViews>
  <sheetFormatPr defaultColWidth="9.44140625" defaultRowHeight="14.4" x14ac:dyDescent="0.3"/>
  <cols>
    <col min="1" max="1" width="3.44140625" style="25" customWidth="1"/>
    <col min="2" max="2" width="16.77734375" style="25" customWidth="1"/>
    <col min="3" max="3" width="15.5546875" style="26" customWidth="1"/>
    <col min="4" max="4" width="41.33203125" style="27" customWidth="1"/>
    <col min="5" max="5" width="59.44140625" style="27" customWidth="1"/>
    <col min="6" max="6" width="45.5546875" style="28" customWidth="1"/>
    <col min="7" max="7" width="35" style="25" customWidth="1"/>
    <col min="8" max="12" width="17.109375" style="25" customWidth="1"/>
    <col min="13" max="13" width="13.77734375" style="25" customWidth="1"/>
    <col min="14" max="14" width="15" style="25" customWidth="1"/>
    <col min="15" max="15" width="16.5546875" style="25" customWidth="1"/>
    <col min="16" max="16" width="15.33203125" style="25" customWidth="1"/>
    <col min="17" max="17" width="15.44140625" style="25" customWidth="1"/>
    <col min="18" max="18" width="15.77734375" style="25" customWidth="1"/>
    <col min="19" max="20" width="14.5546875" style="25" customWidth="1"/>
    <col min="21" max="21" width="14.6640625" style="25" customWidth="1"/>
    <col min="22" max="22" width="13.6640625" style="25" customWidth="1"/>
    <col min="23" max="23" width="13.33203125" style="25" customWidth="1"/>
    <col min="24" max="24" width="13.21875" style="25" customWidth="1"/>
    <col min="25" max="25" width="13.44140625" style="25" customWidth="1"/>
    <col min="26" max="30" width="11.88671875" style="25" customWidth="1"/>
    <col min="31" max="31" width="12.33203125" style="25" customWidth="1"/>
    <col min="32" max="35" width="11.88671875" style="25" customWidth="1"/>
    <col min="36" max="36" width="13.109375" style="25" customWidth="1"/>
    <col min="37" max="40" width="11.88671875" style="25" customWidth="1"/>
    <col min="41" max="41" width="28.21875" style="25" bestFit="1" customWidth="1"/>
    <col min="42" max="42" width="29" style="25" customWidth="1"/>
    <col min="43" max="43" width="74.21875" style="27" bestFit="1" customWidth="1"/>
    <col min="44" max="1022" width="9.33203125" style="25"/>
  </cols>
  <sheetData>
    <row r="2" spans="2:1023" ht="21" x14ac:dyDescent="0.3">
      <c r="B2" s="29" t="s">
        <v>38</v>
      </c>
      <c r="C2" s="30"/>
      <c r="D2" s="28"/>
      <c r="E2" s="28"/>
      <c r="F2" s="25"/>
    </row>
    <row r="3" spans="2:1023" ht="55.2" x14ac:dyDescent="0.3">
      <c r="D3" s="31"/>
      <c r="E3" s="31"/>
      <c r="F3" s="32"/>
      <c r="H3" s="33" t="s">
        <v>39</v>
      </c>
      <c r="I3" s="33" t="s">
        <v>40</v>
      </c>
      <c r="J3" s="33" t="s">
        <v>41</v>
      </c>
      <c r="K3" s="33" t="s">
        <v>42</v>
      </c>
      <c r="L3" s="33" t="s">
        <v>43</v>
      </c>
      <c r="M3" s="33" t="s">
        <v>44</v>
      </c>
      <c r="N3" s="33" t="s">
        <v>45</v>
      </c>
      <c r="O3" s="33" t="s">
        <v>46</v>
      </c>
      <c r="P3" s="33" t="s">
        <v>47</v>
      </c>
      <c r="Q3" s="33" t="s">
        <v>48</v>
      </c>
      <c r="R3" s="33" t="s">
        <v>49</v>
      </c>
      <c r="S3" s="33" t="s">
        <v>50</v>
      </c>
      <c r="T3" s="33" t="s">
        <v>51</v>
      </c>
      <c r="U3" s="33" t="s">
        <v>52</v>
      </c>
      <c r="V3" s="33" t="s">
        <v>53</v>
      </c>
      <c r="W3" s="33" t="s">
        <v>54</v>
      </c>
      <c r="X3" s="33" t="s">
        <v>55</v>
      </c>
      <c r="Y3" s="33" t="s">
        <v>56</v>
      </c>
      <c r="Z3" s="33" t="s">
        <v>57</v>
      </c>
      <c r="AA3" s="33" t="s">
        <v>58</v>
      </c>
      <c r="AB3" s="33" t="s">
        <v>59</v>
      </c>
      <c r="AC3" s="33" t="s">
        <v>60</v>
      </c>
      <c r="AD3" s="33" t="s">
        <v>61</v>
      </c>
      <c r="AE3" s="33" t="s">
        <v>62</v>
      </c>
      <c r="AF3" s="33" t="s">
        <v>63</v>
      </c>
      <c r="AG3" s="33" t="s">
        <v>64</v>
      </c>
      <c r="AH3" s="33" t="s">
        <v>65</v>
      </c>
      <c r="AI3" s="33" t="s">
        <v>66</v>
      </c>
      <c r="AJ3" s="33" t="s">
        <v>67</v>
      </c>
      <c r="AK3" s="33" t="s">
        <v>68</v>
      </c>
      <c r="AL3" s="33" t="s">
        <v>69</v>
      </c>
      <c r="AM3" s="33" t="s">
        <v>70</v>
      </c>
      <c r="AN3" s="26"/>
    </row>
    <row r="4" spans="2:1023" ht="69" x14ac:dyDescent="0.3">
      <c r="B4" s="34" t="s">
        <v>0</v>
      </c>
      <c r="C4" s="34" t="s">
        <v>71</v>
      </c>
      <c r="D4" s="34" t="s">
        <v>72</v>
      </c>
      <c r="E4" s="34" t="s">
        <v>73</v>
      </c>
      <c r="F4" s="34" t="s">
        <v>74</v>
      </c>
      <c r="G4" s="34" t="s">
        <v>75</v>
      </c>
      <c r="H4" s="35" t="s">
        <v>76</v>
      </c>
      <c r="I4" s="35" t="s">
        <v>77</v>
      </c>
      <c r="J4" s="35" t="s">
        <v>78</v>
      </c>
      <c r="K4" s="35" t="s">
        <v>79</v>
      </c>
      <c r="L4" s="35" t="s">
        <v>80</v>
      </c>
      <c r="M4" s="35" t="s">
        <v>81</v>
      </c>
      <c r="N4" s="35" t="s">
        <v>82</v>
      </c>
      <c r="O4" s="35" t="s">
        <v>83</v>
      </c>
      <c r="P4" s="35" t="s">
        <v>84</v>
      </c>
      <c r="Q4" s="35" t="s">
        <v>85</v>
      </c>
      <c r="R4" s="35" t="s">
        <v>86</v>
      </c>
      <c r="S4" s="35" t="s">
        <v>87</v>
      </c>
      <c r="T4" s="35" t="s">
        <v>88</v>
      </c>
      <c r="U4" s="35" t="s">
        <v>89</v>
      </c>
      <c r="V4" s="35" t="s">
        <v>90</v>
      </c>
      <c r="W4" s="35" t="s">
        <v>91</v>
      </c>
      <c r="X4" s="35" t="s">
        <v>92</v>
      </c>
      <c r="Y4" s="35" t="s">
        <v>93</v>
      </c>
      <c r="Z4" s="35" t="s">
        <v>94</v>
      </c>
      <c r="AA4" s="35" t="s">
        <v>95</v>
      </c>
      <c r="AB4" s="35" t="s">
        <v>96</v>
      </c>
      <c r="AC4" s="35" t="s">
        <v>97</v>
      </c>
      <c r="AD4" s="35" t="s">
        <v>98</v>
      </c>
      <c r="AE4" s="35" t="s">
        <v>99</v>
      </c>
      <c r="AF4" s="35" t="s">
        <v>100</v>
      </c>
      <c r="AG4" s="35" t="s">
        <v>101</v>
      </c>
      <c r="AH4" s="35" t="s">
        <v>102</v>
      </c>
      <c r="AI4" s="35" t="s">
        <v>103</v>
      </c>
      <c r="AJ4" s="35" t="s">
        <v>104</v>
      </c>
      <c r="AK4" s="35" t="s">
        <v>105</v>
      </c>
      <c r="AL4" s="35" t="s">
        <v>106</v>
      </c>
      <c r="AM4" s="35" t="s">
        <v>107</v>
      </c>
      <c r="AN4" s="36" t="s">
        <v>108</v>
      </c>
      <c r="AO4" s="82" t="s">
        <v>574</v>
      </c>
      <c r="AP4" s="82" t="s">
        <v>575</v>
      </c>
    </row>
    <row r="5" spans="2:1023" s="37" customFormat="1" ht="43.2" x14ac:dyDescent="0.3">
      <c r="B5" s="38" t="s">
        <v>109</v>
      </c>
      <c r="C5" s="39" t="s">
        <v>110</v>
      </c>
      <c r="D5" s="38" t="s">
        <v>111</v>
      </c>
      <c r="E5" s="38" t="s">
        <v>112</v>
      </c>
      <c r="F5" s="38" t="s">
        <v>113</v>
      </c>
      <c r="G5" s="39" t="s">
        <v>114</v>
      </c>
      <c r="H5" s="40">
        <v>2</v>
      </c>
      <c r="I5" s="40">
        <v>1</v>
      </c>
      <c r="J5" s="41">
        <v>1</v>
      </c>
      <c r="K5" s="41" t="s">
        <v>21</v>
      </c>
      <c r="L5" s="42">
        <v>1</v>
      </c>
      <c r="M5" s="43">
        <v>2</v>
      </c>
      <c r="N5" s="41">
        <v>2</v>
      </c>
      <c r="O5" s="41" t="s">
        <v>21</v>
      </c>
      <c r="P5" s="41" t="s">
        <v>21</v>
      </c>
      <c r="Q5" s="41" t="s">
        <v>21</v>
      </c>
      <c r="R5" s="41" t="s">
        <v>21</v>
      </c>
      <c r="S5" s="41" t="s">
        <v>21</v>
      </c>
      <c r="T5" s="41" t="s">
        <v>21</v>
      </c>
      <c r="U5" s="41" t="s">
        <v>21</v>
      </c>
      <c r="V5" s="41">
        <v>1</v>
      </c>
      <c r="W5" s="41" t="s">
        <v>21</v>
      </c>
      <c r="X5" s="41">
        <v>1</v>
      </c>
      <c r="Y5" s="41" t="s">
        <v>21</v>
      </c>
      <c r="Z5" s="41" t="s">
        <v>21</v>
      </c>
      <c r="AA5" s="41" t="s">
        <v>115</v>
      </c>
      <c r="AB5" s="41" t="s">
        <v>116</v>
      </c>
      <c r="AC5" s="41" t="s">
        <v>21</v>
      </c>
      <c r="AD5" s="41" t="s">
        <v>21</v>
      </c>
      <c r="AE5" s="41" t="s">
        <v>21</v>
      </c>
      <c r="AF5" s="41" t="s">
        <v>21</v>
      </c>
      <c r="AG5" s="41" t="s">
        <v>21</v>
      </c>
      <c r="AH5" s="41" t="s">
        <v>21</v>
      </c>
      <c r="AI5" s="41" t="s">
        <v>21</v>
      </c>
      <c r="AJ5" s="41" t="s">
        <v>21</v>
      </c>
      <c r="AK5" s="41" t="s">
        <v>21</v>
      </c>
      <c r="AL5" s="41" t="s">
        <v>21</v>
      </c>
      <c r="AM5" s="41" t="s">
        <v>21</v>
      </c>
      <c r="AN5" s="44">
        <f>SUM(H5:AM5)</f>
        <v>11</v>
      </c>
      <c r="AO5" s="80">
        <v>1382.8920000000001</v>
      </c>
      <c r="AP5" s="80">
        <f>(AO5*AN5)*3</f>
        <v>45635.436000000002</v>
      </c>
      <c r="AQ5" s="83" t="s">
        <v>113</v>
      </c>
      <c r="AMI5"/>
    </row>
    <row r="6" spans="2:1023" s="37" customFormat="1" x14ac:dyDescent="0.3">
      <c r="B6" s="38" t="s">
        <v>109</v>
      </c>
      <c r="C6" s="39" t="s">
        <v>117</v>
      </c>
      <c r="D6" s="38" t="s">
        <v>111</v>
      </c>
      <c r="E6" s="38" t="s">
        <v>112</v>
      </c>
      <c r="F6" s="38" t="s">
        <v>118</v>
      </c>
      <c r="G6" s="39" t="s">
        <v>114</v>
      </c>
      <c r="H6" s="40" t="s">
        <v>21</v>
      </c>
      <c r="I6" s="40">
        <v>1</v>
      </c>
      <c r="J6" s="41">
        <v>2</v>
      </c>
      <c r="K6" s="41">
        <v>1</v>
      </c>
      <c r="L6" s="42" t="s">
        <v>21</v>
      </c>
      <c r="M6" s="43" t="s">
        <v>21</v>
      </c>
      <c r="N6" s="41" t="s">
        <v>21</v>
      </c>
      <c r="O6" s="41" t="s">
        <v>21</v>
      </c>
      <c r="P6" s="41" t="s">
        <v>21</v>
      </c>
      <c r="Q6" s="41" t="s">
        <v>21</v>
      </c>
      <c r="R6" s="41" t="s">
        <v>21</v>
      </c>
      <c r="S6" s="41" t="s">
        <v>21</v>
      </c>
      <c r="T6" s="41" t="s">
        <v>21</v>
      </c>
      <c r="U6" s="41" t="s">
        <v>21</v>
      </c>
      <c r="V6" s="41" t="s">
        <v>21</v>
      </c>
      <c r="W6" s="41" t="s">
        <v>21</v>
      </c>
      <c r="X6" s="41" t="s">
        <v>21</v>
      </c>
      <c r="Y6" s="41" t="s">
        <v>21</v>
      </c>
      <c r="Z6" s="41" t="s">
        <v>21</v>
      </c>
      <c r="AA6" s="41" t="s">
        <v>21</v>
      </c>
      <c r="AB6" s="41" t="s">
        <v>21</v>
      </c>
      <c r="AC6" s="41" t="s">
        <v>21</v>
      </c>
      <c r="AD6" s="41" t="s">
        <v>21</v>
      </c>
      <c r="AE6" s="41" t="s">
        <v>21</v>
      </c>
      <c r="AF6" s="41" t="s">
        <v>21</v>
      </c>
      <c r="AG6" s="41" t="s">
        <v>21</v>
      </c>
      <c r="AH6" s="41" t="s">
        <v>21</v>
      </c>
      <c r="AI6" s="41" t="s">
        <v>21</v>
      </c>
      <c r="AJ6" s="41" t="s">
        <v>21</v>
      </c>
      <c r="AK6" s="41" t="s">
        <v>21</v>
      </c>
      <c r="AL6" s="41" t="s">
        <v>21</v>
      </c>
      <c r="AM6" s="41" t="s">
        <v>21</v>
      </c>
      <c r="AN6" s="44">
        <f>SUM(H6:AM6)</f>
        <v>4</v>
      </c>
      <c r="AO6" s="80">
        <v>3197.9377500000001</v>
      </c>
      <c r="AP6" s="80">
        <f t="shared" ref="AP6:AP30" si="0">(AO6*AN6)*3</f>
        <v>38375.252999999997</v>
      </c>
      <c r="AQ6" s="83" t="s">
        <v>118</v>
      </c>
      <c r="AMI6"/>
    </row>
    <row r="7" spans="2:1023" s="37" customFormat="1" x14ac:dyDescent="0.3">
      <c r="B7" s="38" t="s">
        <v>109</v>
      </c>
      <c r="C7" s="39" t="s">
        <v>119</v>
      </c>
      <c r="D7" s="38" t="s">
        <v>120</v>
      </c>
      <c r="E7" s="38" t="s">
        <v>112</v>
      </c>
      <c r="F7" s="38" t="s">
        <v>121</v>
      </c>
      <c r="G7" s="39" t="s">
        <v>122</v>
      </c>
      <c r="H7" s="40">
        <v>1</v>
      </c>
      <c r="I7" s="40">
        <v>2</v>
      </c>
      <c r="J7" s="40">
        <v>1</v>
      </c>
      <c r="K7" s="40">
        <v>1</v>
      </c>
      <c r="L7" s="45" t="s">
        <v>21</v>
      </c>
      <c r="M7" s="46">
        <v>1</v>
      </c>
      <c r="N7" s="40">
        <v>1</v>
      </c>
      <c r="O7" s="40" t="s">
        <v>21</v>
      </c>
      <c r="P7" s="40" t="s">
        <v>21</v>
      </c>
      <c r="Q7" s="41" t="s">
        <v>21</v>
      </c>
      <c r="R7" s="41" t="s">
        <v>21</v>
      </c>
      <c r="S7" s="41" t="s">
        <v>21</v>
      </c>
      <c r="T7" s="41" t="s">
        <v>21</v>
      </c>
      <c r="U7" s="41">
        <v>1</v>
      </c>
      <c r="V7" s="41">
        <v>1</v>
      </c>
      <c r="W7" s="41" t="s">
        <v>21</v>
      </c>
      <c r="X7" s="41" t="s">
        <v>115</v>
      </c>
      <c r="Y7" s="41" t="s">
        <v>21</v>
      </c>
      <c r="Z7" s="41" t="s">
        <v>21</v>
      </c>
      <c r="AA7" s="41" t="s">
        <v>115</v>
      </c>
      <c r="AB7" s="41">
        <v>1</v>
      </c>
      <c r="AC7" s="41" t="s">
        <v>21</v>
      </c>
      <c r="AD7" s="41" t="s">
        <v>21</v>
      </c>
      <c r="AE7" s="41" t="s">
        <v>21</v>
      </c>
      <c r="AF7" s="41" t="s">
        <v>21</v>
      </c>
      <c r="AG7" s="41" t="s">
        <v>21</v>
      </c>
      <c r="AH7" s="41" t="s">
        <v>21</v>
      </c>
      <c r="AI7" s="41" t="s">
        <v>21</v>
      </c>
      <c r="AJ7" s="41" t="s">
        <v>21</v>
      </c>
      <c r="AK7" s="41" t="s">
        <v>21</v>
      </c>
      <c r="AL7" s="41" t="s">
        <v>21</v>
      </c>
      <c r="AM7" s="41" t="s">
        <v>21</v>
      </c>
      <c r="AN7" s="44">
        <f>SUM(H7:AM7)</f>
        <v>10</v>
      </c>
      <c r="AO7" s="80">
        <v>1037.1690000000001</v>
      </c>
      <c r="AP7" s="80">
        <f t="shared" si="0"/>
        <v>31115.07</v>
      </c>
      <c r="AQ7" s="83" t="s">
        <v>121</v>
      </c>
      <c r="AMI7"/>
    </row>
    <row r="8" spans="2:1023" s="37" customFormat="1" x14ac:dyDescent="0.3">
      <c r="B8" s="38" t="s">
        <v>109</v>
      </c>
      <c r="C8" s="39" t="s">
        <v>123</v>
      </c>
      <c r="D8" s="38" t="s">
        <v>124</v>
      </c>
      <c r="E8" s="38" t="s">
        <v>112</v>
      </c>
      <c r="F8" s="38" t="s">
        <v>125</v>
      </c>
      <c r="G8" s="39" t="s">
        <v>126</v>
      </c>
      <c r="H8" s="41">
        <v>4075</v>
      </c>
      <c r="I8" s="40">
        <v>2967</v>
      </c>
      <c r="J8" s="40">
        <v>5958</v>
      </c>
      <c r="K8" s="40">
        <v>4088</v>
      </c>
      <c r="L8" s="45">
        <v>523</v>
      </c>
      <c r="M8" s="46">
        <v>295</v>
      </c>
      <c r="N8" s="40">
        <v>446</v>
      </c>
      <c r="O8" s="40">
        <v>106</v>
      </c>
      <c r="P8" s="40">
        <v>82</v>
      </c>
      <c r="Q8" s="41" t="s">
        <v>21</v>
      </c>
      <c r="R8" s="41">
        <v>1831</v>
      </c>
      <c r="S8" s="41" t="s">
        <v>21</v>
      </c>
      <c r="T8" s="41">
        <v>1095</v>
      </c>
      <c r="U8" s="41">
        <v>564</v>
      </c>
      <c r="V8" s="41">
        <v>311</v>
      </c>
      <c r="W8" s="41" t="s">
        <v>21</v>
      </c>
      <c r="X8" s="41">
        <v>109</v>
      </c>
      <c r="Y8" s="41">
        <v>641</v>
      </c>
      <c r="Z8" s="41">
        <v>5508</v>
      </c>
      <c r="AA8" s="41">
        <v>184</v>
      </c>
      <c r="AB8" s="41">
        <v>405</v>
      </c>
      <c r="AC8" s="41">
        <v>303</v>
      </c>
      <c r="AD8" s="41" t="s">
        <v>21</v>
      </c>
      <c r="AE8" s="41" t="s">
        <v>21</v>
      </c>
      <c r="AF8" s="41" t="s">
        <v>21</v>
      </c>
      <c r="AG8" s="41" t="s">
        <v>21</v>
      </c>
      <c r="AH8" s="41" t="s">
        <v>21</v>
      </c>
      <c r="AI8" s="41" t="s">
        <v>21</v>
      </c>
      <c r="AJ8" s="41" t="s">
        <v>21</v>
      </c>
      <c r="AK8" s="41" t="s">
        <v>21</v>
      </c>
      <c r="AL8" s="41" t="s">
        <v>21</v>
      </c>
      <c r="AM8" s="41" t="s">
        <v>21</v>
      </c>
      <c r="AN8" s="44">
        <f>SUM(H8:AM8)</f>
        <v>29491</v>
      </c>
      <c r="AO8" s="80">
        <v>0.90547</v>
      </c>
      <c r="AP8" s="80">
        <f t="shared" si="0"/>
        <v>80109.64731</v>
      </c>
      <c r="AQ8" s="83" t="s">
        <v>125</v>
      </c>
      <c r="AMI8"/>
    </row>
    <row r="9" spans="2:1023" s="37" customFormat="1" x14ac:dyDescent="0.3">
      <c r="B9" s="38" t="s">
        <v>109</v>
      </c>
      <c r="C9" s="39" t="s">
        <v>127</v>
      </c>
      <c r="D9" s="38" t="s">
        <v>128</v>
      </c>
      <c r="E9" s="38" t="s">
        <v>112</v>
      </c>
      <c r="F9" s="38" t="s">
        <v>129</v>
      </c>
      <c r="G9" s="39" t="s">
        <v>130</v>
      </c>
      <c r="H9" s="40" t="s">
        <v>21</v>
      </c>
      <c r="I9" s="40" t="s">
        <v>21</v>
      </c>
      <c r="J9" s="40" t="s">
        <v>21</v>
      </c>
      <c r="K9" s="41">
        <v>10</v>
      </c>
      <c r="L9" s="42" t="s">
        <v>21</v>
      </c>
      <c r="M9" s="46" t="s">
        <v>21</v>
      </c>
      <c r="N9" s="40" t="s">
        <v>21</v>
      </c>
      <c r="O9" s="40" t="s">
        <v>21</v>
      </c>
      <c r="P9" s="40" t="s">
        <v>21</v>
      </c>
      <c r="Q9" s="41" t="s">
        <v>21</v>
      </c>
      <c r="R9" s="41" t="s">
        <v>21</v>
      </c>
      <c r="S9" s="41" t="s">
        <v>21</v>
      </c>
      <c r="T9" s="41" t="s">
        <v>115</v>
      </c>
      <c r="U9" s="41" t="s">
        <v>115</v>
      </c>
      <c r="V9" s="41" t="s">
        <v>115</v>
      </c>
      <c r="W9" s="41" t="s">
        <v>115</v>
      </c>
      <c r="X9" s="41" t="s">
        <v>115</v>
      </c>
      <c r="Y9" s="41" t="s">
        <v>115</v>
      </c>
      <c r="Z9" s="41" t="s">
        <v>115</v>
      </c>
      <c r="AA9" s="41" t="s">
        <v>115</v>
      </c>
      <c r="AB9" s="41" t="s">
        <v>115</v>
      </c>
      <c r="AC9" s="41" t="s">
        <v>115</v>
      </c>
      <c r="AD9" s="41" t="s">
        <v>21</v>
      </c>
      <c r="AE9" s="41" t="s">
        <v>21</v>
      </c>
      <c r="AF9" s="41" t="s">
        <v>21</v>
      </c>
      <c r="AG9" s="41" t="s">
        <v>21</v>
      </c>
      <c r="AH9" s="41" t="s">
        <v>21</v>
      </c>
      <c r="AI9" s="41" t="s">
        <v>21</v>
      </c>
      <c r="AJ9" s="41" t="s">
        <v>115</v>
      </c>
      <c r="AK9" s="41" t="s">
        <v>115</v>
      </c>
      <c r="AL9" s="41" t="s">
        <v>115</v>
      </c>
      <c r="AM9" s="41" t="s">
        <v>115</v>
      </c>
      <c r="AN9" s="44">
        <f>SUM(H9:AM9)</f>
        <v>10</v>
      </c>
      <c r="AO9" s="80">
        <v>95.073830000000001</v>
      </c>
      <c r="AP9" s="80">
        <f t="shared" si="0"/>
        <v>2852.2148999999999</v>
      </c>
      <c r="AQ9" s="83" t="s">
        <v>129</v>
      </c>
      <c r="AMI9"/>
    </row>
    <row r="10" spans="2:1023" s="37" customFormat="1" x14ac:dyDescent="0.3">
      <c r="B10" s="47" t="s">
        <v>109</v>
      </c>
      <c r="C10" s="48" t="s">
        <v>131</v>
      </c>
      <c r="D10" s="47" t="s">
        <v>132</v>
      </c>
      <c r="E10" s="47" t="s">
        <v>112</v>
      </c>
      <c r="F10" s="47" t="s">
        <v>133</v>
      </c>
      <c r="G10" s="48" t="s">
        <v>134</v>
      </c>
      <c r="H10" s="41">
        <v>4</v>
      </c>
      <c r="I10" s="41" t="s">
        <v>21</v>
      </c>
      <c r="J10" s="41">
        <v>11</v>
      </c>
      <c r="K10" s="41">
        <v>5</v>
      </c>
      <c r="L10" s="42">
        <v>6</v>
      </c>
      <c r="M10" s="43" t="s">
        <v>21</v>
      </c>
      <c r="N10" s="41" t="s">
        <v>21</v>
      </c>
      <c r="O10" s="41">
        <v>4</v>
      </c>
      <c r="P10" s="41">
        <v>2</v>
      </c>
      <c r="Q10" s="41" t="s">
        <v>21</v>
      </c>
      <c r="R10" s="41">
        <v>26</v>
      </c>
      <c r="S10" s="41" t="s">
        <v>21</v>
      </c>
      <c r="T10" s="41" t="s">
        <v>21</v>
      </c>
      <c r="U10" s="41" t="s">
        <v>115</v>
      </c>
      <c r="V10" s="41" t="s">
        <v>115</v>
      </c>
      <c r="W10" s="41" t="s">
        <v>21</v>
      </c>
      <c r="X10" s="41" t="s">
        <v>115</v>
      </c>
      <c r="Y10" s="41" t="s">
        <v>21</v>
      </c>
      <c r="Z10" s="41" t="s">
        <v>115</v>
      </c>
      <c r="AA10" s="41" t="s">
        <v>115</v>
      </c>
      <c r="AB10" s="41" t="s">
        <v>21</v>
      </c>
      <c r="AC10" s="41" t="s">
        <v>21</v>
      </c>
      <c r="AD10" s="41" t="s">
        <v>21</v>
      </c>
      <c r="AE10" s="41" t="s">
        <v>21</v>
      </c>
      <c r="AF10" s="41" t="s">
        <v>21</v>
      </c>
      <c r="AG10" s="41" t="s">
        <v>21</v>
      </c>
      <c r="AH10" s="41" t="s">
        <v>21</v>
      </c>
      <c r="AI10" s="41" t="s">
        <v>21</v>
      </c>
      <c r="AJ10" s="41" t="s">
        <v>21</v>
      </c>
      <c r="AK10" s="41" t="s">
        <v>21</v>
      </c>
      <c r="AL10" s="41" t="s">
        <v>21</v>
      </c>
      <c r="AM10" s="41" t="s">
        <v>21</v>
      </c>
      <c r="AN10" s="44">
        <f>SUM(H10:AM10)</f>
        <v>58</v>
      </c>
      <c r="AO10" s="80">
        <v>54.3279</v>
      </c>
      <c r="AP10" s="80">
        <f t="shared" si="0"/>
        <v>9453.0545999999995</v>
      </c>
      <c r="AQ10" s="83" t="s">
        <v>133</v>
      </c>
      <c r="AMI10"/>
    </row>
    <row r="11" spans="2:1023" s="37" customFormat="1" x14ac:dyDescent="0.3">
      <c r="B11" s="38" t="s">
        <v>109</v>
      </c>
      <c r="C11" s="39" t="s">
        <v>135</v>
      </c>
      <c r="D11" s="38" t="s">
        <v>136</v>
      </c>
      <c r="E11" s="38" t="s">
        <v>112</v>
      </c>
      <c r="F11" s="38" t="s">
        <v>137</v>
      </c>
      <c r="G11" s="39" t="s">
        <v>138</v>
      </c>
      <c r="H11" s="40">
        <v>1</v>
      </c>
      <c r="I11" s="40">
        <v>2</v>
      </c>
      <c r="J11" s="40">
        <v>1</v>
      </c>
      <c r="K11" s="40">
        <v>3</v>
      </c>
      <c r="L11" s="45" t="s">
        <v>21</v>
      </c>
      <c r="M11" s="46">
        <v>1</v>
      </c>
      <c r="N11" s="40">
        <v>1</v>
      </c>
      <c r="O11" s="40" t="s">
        <v>21</v>
      </c>
      <c r="P11" s="40" t="s">
        <v>21</v>
      </c>
      <c r="Q11" s="41" t="s">
        <v>21</v>
      </c>
      <c r="R11" s="41" t="s">
        <v>21</v>
      </c>
      <c r="S11" s="41" t="s">
        <v>21</v>
      </c>
      <c r="T11" s="41" t="s">
        <v>21</v>
      </c>
      <c r="U11" s="41" t="s">
        <v>115</v>
      </c>
      <c r="V11" s="41" t="s">
        <v>115</v>
      </c>
      <c r="W11" s="41" t="s">
        <v>21</v>
      </c>
      <c r="X11" s="41" t="s">
        <v>115</v>
      </c>
      <c r="Y11" s="41" t="s">
        <v>21</v>
      </c>
      <c r="Z11" s="41" t="s">
        <v>21</v>
      </c>
      <c r="AA11" s="41" t="s">
        <v>115</v>
      </c>
      <c r="AB11" s="41">
        <v>1</v>
      </c>
      <c r="AC11" s="41" t="s">
        <v>21</v>
      </c>
      <c r="AD11" s="41" t="s">
        <v>21</v>
      </c>
      <c r="AE11" s="41" t="s">
        <v>21</v>
      </c>
      <c r="AF11" s="41" t="s">
        <v>21</v>
      </c>
      <c r="AG11" s="41" t="s">
        <v>21</v>
      </c>
      <c r="AH11" s="41" t="s">
        <v>21</v>
      </c>
      <c r="AI11" s="41" t="s">
        <v>21</v>
      </c>
      <c r="AJ11" s="41" t="s">
        <v>21</v>
      </c>
      <c r="AK11" s="41" t="s">
        <v>21</v>
      </c>
      <c r="AL11" s="41" t="s">
        <v>21</v>
      </c>
      <c r="AM11" s="41" t="s">
        <v>21</v>
      </c>
      <c r="AN11" s="44">
        <f>SUM(H11:AM11)</f>
        <v>10</v>
      </c>
      <c r="AO11" s="80">
        <v>3457.23</v>
      </c>
      <c r="AP11" s="80">
        <f t="shared" si="0"/>
        <v>103716.90000000001</v>
      </c>
      <c r="AQ11" s="83" t="s">
        <v>137</v>
      </c>
      <c r="AMI11"/>
    </row>
    <row r="12" spans="2:1023" s="37" customFormat="1" ht="28.8" x14ac:dyDescent="0.3">
      <c r="B12" s="38" t="s">
        <v>109</v>
      </c>
      <c r="C12" s="39" t="s">
        <v>139</v>
      </c>
      <c r="D12" s="38" t="s">
        <v>140</v>
      </c>
      <c r="E12" s="38" t="s">
        <v>112</v>
      </c>
      <c r="F12" s="38" t="s">
        <v>141</v>
      </c>
      <c r="G12" s="39" t="s">
        <v>142</v>
      </c>
      <c r="H12" s="41">
        <v>3715</v>
      </c>
      <c r="I12" s="41">
        <v>2412</v>
      </c>
      <c r="J12" s="40">
        <v>2410</v>
      </c>
      <c r="K12" s="40">
        <v>3312</v>
      </c>
      <c r="L12" s="45" t="s">
        <v>21</v>
      </c>
      <c r="M12" s="46">
        <v>295</v>
      </c>
      <c r="N12" s="40">
        <v>446</v>
      </c>
      <c r="O12" s="40" t="s">
        <v>21</v>
      </c>
      <c r="P12" s="40" t="s">
        <v>21</v>
      </c>
      <c r="Q12" s="41" t="s">
        <v>21</v>
      </c>
      <c r="R12" s="41" t="s">
        <v>21</v>
      </c>
      <c r="S12" s="41" t="s">
        <v>21</v>
      </c>
      <c r="T12" s="41" t="s">
        <v>21</v>
      </c>
      <c r="U12" s="41">
        <v>564</v>
      </c>
      <c r="V12" s="41">
        <v>311</v>
      </c>
      <c r="W12" s="41" t="s">
        <v>21</v>
      </c>
      <c r="X12" s="41">
        <v>109</v>
      </c>
      <c r="Y12" s="41">
        <v>641</v>
      </c>
      <c r="Z12" s="41" t="s">
        <v>21</v>
      </c>
      <c r="AA12" s="41">
        <v>184</v>
      </c>
      <c r="AB12" s="41">
        <v>405</v>
      </c>
      <c r="AC12" s="41">
        <v>303</v>
      </c>
      <c r="AD12" s="41" t="s">
        <v>21</v>
      </c>
      <c r="AE12" s="41" t="s">
        <v>21</v>
      </c>
      <c r="AF12" s="41" t="s">
        <v>21</v>
      </c>
      <c r="AG12" s="41" t="s">
        <v>21</v>
      </c>
      <c r="AH12" s="41" t="s">
        <v>21</v>
      </c>
      <c r="AI12" s="41" t="s">
        <v>21</v>
      </c>
      <c r="AJ12" s="41" t="s">
        <v>21</v>
      </c>
      <c r="AK12" s="41" t="s">
        <v>21</v>
      </c>
      <c r="AL12" s="41" t="s">
        <v>21</v>
      </c>
      <c r="AM12" s="41" t="s">
        <v>21</v>
      </c>
      <c r="AN12" s="44">
        <f>SUM(H12:AM12)</f>
        <v>15107</v>
      </c>
      <c r="AO12" s="80">
        <v>0.90547</v>
      </c>
      <c r="AP12" s="80">
        <f t="shared" si="0"/>
        <v>41036.805869999997</v>
      </c>
      <c r="AQ12" s="83" t="s">
        <v>576</v>
      </c>
      <c r="AMI12"/>
    </row>
    <row r="13" spans="2:1023" x14ac:dyDescent="0.3">
      <c r="B13" s="49" t="s">
        <v>109</v>
      </c>
      <c r="C13" s="50" t="s">
        <v>143</v>
      </c>
      <c r="D13" s="49" t="s">
        <v>144</v>
      </c>
      <c r="E13" s="49" t="s">
        <v>145</v>
      </c>
      <c r="F13" s="49" t="s">
        <v>146</v>
      </c>
      <c r="G13" s="50" t="s">
        <v>126</v>
      </c>
      <c r="H13" s="51">
        <v>4075</v>
      </c>
      <c r="I13" s="51">
        <v>2967</v>
      </c>
      <c r="J13" s="51">
        <v>5958</v>
      </c>
      <c r="K13" s="51">
        <v>4088</v>
      </c>
      <c r="L13" s="52">
        <v>523</v>
      </c>
      <c r="M13" s="53">
        <v>295</v>
      </c>
      <c r="N13" s="51">
        <v>446</v>
      </c>
      <c r="O13" s="51">
        <v>106</v>
      </c>
      <c r="P13" s="51">
        <v>82</v>
      </c>
      <c r="Q13" s="51">
        <v>575</v>
      </c>
      <c r="R13" s="51">
        <v>1831</v>
      </c>
      <c r="S13" s="51">
        <v>4854.6400000000003</v>
      </c>
      <c r="T13" s="41" t="s">
        <v>21</v>
      </c>
      <c r="U13" s="51">
        <v>564</v>
      </c>
      <c r="V13" s="51">
        <v>311</v>
      </c>
      <c r="W13" s="51">
        <v>1154</v>
      </c>
      <c r="X13" s="51">
        <v>109</v>
      </c>
      <c r="Y13" s="51">
        <v>641</v>
      </c>
      <c r="Z13" s="51">
        <v>5508</v>
      </c>
      <c r="AA13" s="51">
        <v>184</v>
      </c>
      <c r="AB13" s="51">
        <v>405</v>
      </c>
      <c r="AC13" s="51">
        <v>303</v>
      </c>
      <c r="AD13" s="51">
        <v>638</v>
      </c>
      <c r="AE13" s="51">
        <v>861</v>
      </c>
      <c r="AF13" s="51">
        <v>275</v>
      </c>
      <c r="AG13" s="51">
        <v>677</v>
      </c>
      <c r="AH13" s="51">
        <v>276</v>
      </c>
      <c r="AI13" s="51">
        <v>437</v>
      </c>
      <c r="AJ13" s="51">
        <v>601</v>
      </c>
      <c r="AK13" s="51">
        <v>370</v>
      </c>
      <c r="AL13" s="51">
        <v>395</v>
      </c>
      <c r="AM13" s="51">
        <v>1398</v>
      </c>
      <c r="AN13" s="44">
        <f>SUM(H13:AM13)</f>
        <v>40907.64</v>
      </c>
      <c r="AO13" s="81">
        <v>1.0371699999999999</v>
      </c>
      <c r="AP13" s="80">
        <f t="shared" si="0"/>
        <v>127284.53093639998</v>
      </c>
      <c r="AQ13" s="84" t="s">
        <v>146</v>
      </c>
    </row>
    <row r="14" spans="2:1023" x14ac:dyDescent="0.3">
      <c r="B14" s="49" t="s">
        <v>109</v>
      </c>
      <c r="C14" s="50" t="s">
        <v>147</v>
      </c>
      <c r="D14" s="49" t="s">
        <v>148</v>
      </c>
      <c r="E14" s="49" t="s">
        <v>145</v>
      </c>
      <c r="F14" s="49" t="s">
        <v>149</v>
      </c>
      <c r="G14" s="50" t="s">
        <v>150</v>
      </c>
      <c r="H14" s="51" t="s">
        <v>21</v>
      </c>
      <c r="I14" s="51" t="s">
        <v>21</v>
      </c>
      <c r="J14" s="51" t="s">
        <v>21</v>
      </c>
      <c r="K14" s="51">
        <v>1</v>
      </c>
      <c r="L14" s="52" t="s">
        <v>21</v>
      </c>
      <c r="M14" s="53" t="s">
        <v>21</v>
      </c>
      <c r="N14" s="51" t="s">
        <v>21</v>
      </c>
      <c r="O14" s="51" t="s">
        <v>21</v>
      </c>
      <c r="P14" s="51" t="s">
        <v>21</v>
      </c>
      <c r="Q14" s="51" t="s">
        <v>21</v>
      </c>
      <c r="R14" s="51" t="s">
        <v>115</v>
      </c>
      <c r="S14" s="51" t="s">
        <v>21</v>
      </c>
      <c r="T14" s="41" t="s">
        <v>21</v>
      </c>
      <c r="U14" s="51" t="s">
        <v>21</v>
      </c>
      <c r="V14" s="51" t="s">
        <v>21</v>
      </c>
      <c r="W14" s="51" t="s">
        <v>21</v>
      </c>
      <c r="X14" s="51" t="s">
        <v>21</v>
      </c>
      <c r="Y14" s="51" t="s">
        <v>21</v>
      </c>
      <c r="Z14" s="51" t="s">
        <v>21</v>
      </c>
      <c r="AA14" s="51" t="s">
        <v>21</v>
      </c>
      <c r="AB14" s="51" t="s">
        <v>21</v>
      </c>
      <c r="AC14" s="51" t="s">
        <v>21</v>
      </c>
      <c r="AD14" s="51" t="s">
        <v>21</v>
      </c>
      <c r="AE14" s="51" t="s">
        <v>21</v>
      </c>
      <c r="AF14" s="51" t="s">
        <v>21</v>
      </c>
      <c r="AG14" s="51" t="s">
        <v>21</v>
      </c>
      <c r="AH14" s="51" t="s">
        <v>21</v>
      </c>
      <c r="AI14" s="51" t="s">
        <v>21</v>
      </c>
      <c r="AJ14" s="51" t="s">
        <v>21</v>
      </c>
      <c r="AK14" s="51" t="s">
        <v>21</v>
      </c>
      <c r="AL14" s="51" t="s">
        <v>21</v>
      </c>
      <c r="AM14" s="51" t="s">
        <v>21</v>
      </c>
      <c r="AN14" s="44">
        <f>SUM(H14:AM14)</f>
        <v>1</v>
      </c>
      <c r="AO14" s="81">
        <v>345.72300000000001</v>
      </c>
      <c r="AP14" s="80">
        <f t="shared" si="0"/>
        <v>1037.1690000000001</v>
      </c>
      <c r="AQ14" s="84" t="s">
        <v>149</v>
      </c>
    </row>
    <row r="15" spans="2:1023" x14ac:dyDescent="0.3">
      <c r="B15" s="49" t="s">
        <v>109</v>
      </c>
      <c r="C15" s="50" t="s">
        <v>151</v>
      </c>
      <c r="D15" s="49" t="s">
        <v>152</v>
      </c>
      <c r="E15" s="49" t="s">
        <v>145</v>
      </c>
      <c r="F15" s="49" t="s">
        <v>153</v>
      </c>
      <c r="G15" s="50" t="s">
        <v>154</v>
      </c>
      <c r="H15" s="51">
        <v>43</v>
      </c>
      <c r="I15" s="51">
        <v>23</v>
      </c>
      <c r="J15" s="51">
        <v>32</v>
      </c>
      <c r="K15" s="51">
        <v>22</v>
      </c>
      <c r="L15" s="52">
        <v>8</v>
      </c>
      <c r="M15" s="53" t="s">
        <v>21</v>
      </c>
      <c r="N15" s="51" t="s">
        <v>21</v>
      </c>
      <c r="O15" s="51">
        <v>2</v>
      </c>
      <c r="P15" s="51">
        <v>1</v>
      </c>
      <c r="Q15" s="51" t="s">
        <v>21</v>
      </c>
      <c r="R15" s="51">
        <v>5</v>
      </c>
      <c r="S15" s="51" t="s">
        <v>21</v>
      </c>
      <c r="T15" s="41" t="s">
        <v>21</v>
      </c>
      <c r="U15" s="51">
        <v>9</v>
      </c>
      <c r="V15" s="51">
        <v>4</v>
      </c>
      <c r="W15" s="51">
        <v>11</v>
      </c>
      <c r="X15" s="51">
        <v>3</v>
      </c>
      <c r="Y15" s="51">
        <v>4</v>
      </c>
      <c r="Z15" s="51" t="s">
        <v>115</v>
      </c>
      <c r="AA15" s="51" t="s">
        <v>21</v>
      </c>
      <c r="AB15" s="51" t="s">
        <v>21</v>
      </c>
      <c r="AC15" s="51" t="s">
        <v>21</v>
      </c>
      <c r="AD15" s="51" t="s">
        <v>21</v>
      </c>
      <c r="AE15" s="51">
        <v>2</v>
      </c>
      <c r="AF15" s="51" t="s">
        <v>21</v>
      </c>
      <c r="AG15" s="51">
        <v>1</v>
      </c>
      <c r="AH15" s="51" t="s">
        <v>21</v>
      </c>
      <c r="AI15" s="51" t="s">
        <v>21</v>
      </c>
      <c r="AJ15" s="51" t="s">
        <v>21</v>
      </c>
      <c r="AK15" s="51" t="s">
        <v>21</v>
      </c>
      <c r="AL15" s="51" t="s">
        <v>21</v>
      </c>
      <c r="AM15" s="51" t="s">
        <v>21</v>
      </c>
      <c r="AN15" s="44">
        <f>SUM(H15:AM15)</f>
        <v>170</v>
      </c>
      <c r="AO15" s="81">
        <v>86.430750000000003</v>
      </c>
      <c r="AP15" s="80">
        <f t="shared" si="0"/>
        <v>44079.682500000003</v>
      </c>
      <c r="AQ15" s="84" t="s">
        <v>153</v>
      </c>
    </row>
    <row r="16" spans="2:1023" ht="28.8" x14ac:dyDescent="0.3">
      <c r="B16" s="49" t="s">
        <v>109</v>
      </c>
      <c r="C16" s="50" t="s">
        <v>155</v>
      </c>
      <c r="D16" s="49" t="s">
        <v>152</v>
      </c>
      <c r="E16" s="49" t="s">
        <v>145</v>
      </c>
      <c r="F16" s="49" t="s">
        <v>156</v>
      </c>
      <c r="G16" s="50" t="s">
        <v>126</v>
      </c>
      <c r="H16" s="51">
        <v>4075</v>
      </c>
      <c r="I16" s="51">
        <v>2967</v>
      </c>
      <c r="J16" s="51">
        <v>5958</v>
      </c>
      <c r="K16" s="51">
        <v>4088</v>
      </c>
      <c r="L16" s="52">
        <v>523</v>
      </c>
      <c r="M16" s="53">
        <v>295</v>
      </c>
      <c r="N16" s="51">
        <v>446</v>
      </c>
      <c r="O16" s="51">
        <v>106</v>
      </c>
      <c r="P16" s="51">
        <v>82</v>
      </c>
      <c r="Q16" s="51" t="s">
        <v>21</v>
      </c>
      <c r="R16" s="51">
        <v>1831</v>
      </c>
      <c r="S16" s="51" t="s">
        <v>21</v>
      </c>
      <c r="T16" s="41" t="s">
        <v>21</v>
      </c>
      <c r="U16" s="51">
        <v>564</v>
      </c>
      <c r="V16" s="51">
        <v>311</v>
      </c>
      <c r="W16" s="51">
        <v>1154</v>
      </c>
      <c r="X16" s="51">
        <v>109</v>
      </c>
      <c r="Y16" s="51">
        <v>641</v>
      </c>
      <c r="Z16" s="51">
        <v>5508</v>
      </c>
      <c r="AA16" s="51">
        <v>184</v>
      </c>
      <c r="AB16" s="51">
        <v>405</v>
      </c>
      <c r="AC16" s="51">
        <v>303</v>
      </c>
      <c r="AD16" s="51">
        <v>638</v>
      </c>
      <c r="AE16" s="51">
        <v>861</v>
      </c>
      <c r="AF16" s="51">
        <v>275</v>
      </c>
      <c r="AG16" s="51">
        <v>677</v>
      </c>
      <c r="AH16" s="51">
        <v>276</v>
      </c>
      <c r="AI16" s="51">
        <v>437</v>
      </c>
      <c r="AJ16" s="51">
        <v>601</v>
      </c>
      <c r="AK16" s="51">
        <v>370</v>
      </c>
      <c r="AL16" s="51">
        <v>395</v>
      </c>
      <c r="AM16" s="51">
        <v>1398</v>
      </c>
      <c r="AN16" s="44">
        <f>SUM(H16:AM16)</f>
        <v>35478</v>
      </c>
      <c r="AO16" s="81">
        <v>0.12347</v>
      </c>
      <c r="AP16" s="80">
        <f t="shared" si="0"/>
        <v>13141.40598</v>
      </c>
      <c r="AQ16" s="84" t="s">
        <v>156</v>
      </c>
    </row>
    <row r="17" spans="2:1023" s="37" customFormat="1" x14ac:dyDescent="0.3">
      <c r="B17" s="47" t="s">
        <v>109</v>
      </c>
      <c r="C17" s="48" t="s">
        <v>157</v>
      </c>
      <c r="D17" s="47" t="s">
        <v>158</v>
      </c>
      <c r="E17" s="47" t="s">
        <v>159</v>
      </c>
      <c r="F17" s="47" t="s">
        <v>160</v>
      </c>
      <c r="G17" s="48" t="s">
        <v>161</v>
      </c>
      <c r="H17" s="41">
        <v>1</v>
      </c>
      <c r="I17" s="41" t="s">
        <v>21</v>
      </c>
      <c r="J17" s="41">
        <v>1</v>
      </c>
      <c r="K17" s="41">
        <v>1</v>
      </c>
      <c r="L17" s="42" t="s">
        <v>21</v>
      </c>
      <c r="M17" s="43" t="s">
        <v>21</v>
      </c>
      <c r="N17" s="41" t="s">
        <v>21</v>
      </c>
      <c r="O17" s="41" t="s">
        <v>21</v>
      </c>
      <c r="P17" s="41" t="s">
        <v>21</v>
      </c>
      <c r="Q17" s="41" t="s">
        <v>21</v>
      </c>
      <c r="R17" s="41" t="s">
        <v>21</v>
      </c>
      <c r="S17" s="51" t="s">
        <v>21</v>
      </c>
      <c r="T17" s="41" t="s">
        <v>115</v>
      </c>
      <c r="U17" s="41" t="s">
        <v>21</v>
      </c>
      <c r="V17" s="41" t="s">
        <v>21</v>
      </c>
      <c r="W17" s="41" t="s">
        <v>21</v>
      </c>
      <c r="X17" s="41" t="s">
        <v>21</v>
      </c>
      <c r="Y17" s="41" t="s">
        <v>21</v>
      </c>
      <c r="Z17" s="41" t="s">
        <v>115</v>
      </c>
      <c r="AA17" s="41" t="s">
        <v>21</v>
      </c>
      <c r="AB17" s="41" t="s">
        <v>21</v>
      </c>
      <c r="AC17" s="41" t="s">
        <v>21</v>
      </c>
      <c r="AD17" s="41" t="s">
        <v>21</v>
      </c>
      <c r="AE17" s="41" t="s">
        <v>21</v>
      </c>
      <c r="AF17" s="41" t="s">
        <v>21</v>
      </c>
      <c r="AG17" s="41" t="s">
        <v>21</v>
      </c>
      <c r="AH17" s="41" t="s">
        <v>21</v>
      </c>
      <c r="AI17" s="41" t="s">
        <v>21</v>
      </c>
      <c r="AJ17" s="41" t="s">
        <v>21</v>
      </c>
      <c r="AK17" s="41" t="s">
        <v>21</v>
      </c>
      <c r="AL17" s="41" t="s">
        <v>21</v>
      </c>
      <c r="AM17" s="41" t="s">
        <v>21</v>
      </c>
      <c r="AN17" s="44">
        <f>SUM(H17:AM17)</f>
        <v>3</v>
      </c>
      <c r="AO17" s="80">
        <v>1728.615</v>
      </c>
      <c r="AP17" s="80">
        <f t="shared" si="0"/>
        <v>15557.535</v>
      </c>
      <c r="AQ17" s="83" t="s">
        <v>160</v>
      </c>
      <c r="AMI17"/>
    </row>
    <row r="18" spans="2:1023" s="37" customFormat="1" x14ac:dyDescent="0.3">
      <c r="B18" s="47" t="s">
        <v>109</v>
      </c>
      <c r="C18" s="48" t="s">
        <v>162</v>
      </c>
      <c r="D18" s="47" t="s">
        <v>163</v>
      </c>
      <c r="E18" s="47" t="s">
        <v>159</v>
      </c>
      <c r="F18" s="47" t="s">
        <v>164</v>
      </c>
      <c r="G18" s="48" t="s">
        <v>165</v>
      </c>
      <c r="H18" s="41">
        <v>1</v>
      </c>
      <c r="I18" s="41" t="s">
        <v>21</v>
      </c>
      <c r="J18" s="41" t="s">
        <v>21</v>
      </c>
      <c r="K18" s="41" t="s">
        <v>21</v>
      </c>
      <c r="L18" s="42" t="s">
        <v>21</v>
      </c>
      <c r="M18" s="43" t="s">
        <v>21</v>
      </c>
      <c r="N18" s="41" t="s">
        <v>21</v>
      </c>
      <c r="O18" s="41" t="s">
        <v>21</v>
      </c>
      <c r="P18" s="41" t="s">
        <v>21</v>
      </c>
      <c r="Q18" s="41" t="s">
        <v>21</v>
      </c>
      <c r="R18" s="41" t="s">
        <v>21</v>
      </c>
      <c r="S18" s="51" t="s">
        <v>21</v>
      </c>
      <c r="T18" s="41" t="s">
        <v>115</v>
      </c>
      <c r="U18" s="41" t="s">
        <v>115</v>
      </c>
      <c r="V18" s="41" t="s">
        <v>115</v>
      </c>
      <c r="W18" s="41" t="s">
        <v>21</v>
      </c>
      <c r="X18" s="41" t="s">
        <v>115</v>
      </c>
      <c r="Y18" s="41" t="s">
        <v>115</v>
      </c>
      <c r="Z18" s="41" t="s">
        <v>115</v>
      </c>
      <c r="AA18" s="41" t="s">
        <v>115</v>
      </c>
      <c r="AB18" s="41" t="s">
        <v>21</v>
      </c>
      <c r="AC18" s="41" t="s">
        <v>21</v>
      </c>
      <c r="AD18" s="41" t="s">
        <v>21</v>
      </c>
      <c r="AE18" s="41" t="s">
        <v>21</v>
      </c>
      <c r="AF18" s="41" t="s">
        <v>21</v>
      </c>
      <c r="AG18" s="41" t="s">
        <v>21</v>
      </c>
      <c r="AH18" s="41" t="s">
        <v>21</v>
      </c>
      <c r="AI18" s="41" t="s">
        <v>21</v>
      </c>
      <c r="AJ18" s="41" t="s">
        <v>21</v>
      </c>
      <c r="AK18" s="41" t="s">
        <v>21</v>
      </c>
      <c r="AL18" s="41" t="s">
        <v>21</v>
      </c>
      <c r="AM18" s="41" t="s">
        <v>21</v>
      </c>
      <c r="AN18" s="44">
        <f>SUM(H18:AM18)</f>
        <v>1</v>
      </c>
      <c r="AO18" s="80">
        <v>864.3075</v>
      </c>
      <c r="AP18" s="80">
        <f t="shared" si="0"/>
        <v>2592.9225000000001</v>
      </c>
      <c r="AQ18" s="83" t="s">
        <v>164</v>
      </c>
      <c r="AMI18"/>
    </row>
    <row r="19" spans="2:1023" s="37" customFormat="1" x14ac:dyDescent="0.3">
      <c r="B19" s="47" t="s">
        <v>109</v>
      </c>
      <c r="C19" s="48" t="s">
        <v>166</v>
      </c>
      <c r="D19" s="47" t="s">
        <v>167</v>
      </c>
      <c r="E19" s="47" t="s">
        <v>159</v>
      </c>
      <c r="F19" s="47" t="s">
        <v>168</v>
      </c>
      <c r="G19" s="48" t="s">
        <v>126</v>
      </c>
      <c r="H19" s="41">
        <v>4075</v>
      </c>
      <c r="I19" s="41">
        <v>2967</v>
      </c>
      <c r="J19" s="41">
        <v>5958</v>
      </c>
      <c r="K19" s="41">
        <v>4088</v>
      </c>
      <c r="L19" s="42">
        <v>523</v>
      </c>
      <c r="M19" s="43">
        <v>295</v>
      </c>
      <c r="N19" s="41">
        <v>446</v>
      </c>
      <c r="O19" s="41">
        <v>106</v>
      </c>
      <c r="P19" s="41">
        <v>82</v>
      </c>
      <c r="Q19" s="41" t="s">
        <v>21</v>
      </c>
      <c r="R19" s="41">
        <v>1831</v>
      </c>
      <c r="S19" s="51" t="s">
        <v>21</v>
      </c>
      <c r="T19" s="41">
        <v>1095</v>
      </c>
      <c r="U19" s="41">
        <v>564</v>
      </c>
      <c r="V19" s="41">
        <v>311</v>
      </c>
      <c r="W19" s="41">
        <v>1154</v>
      </c>
      <c r="X19" s="41">
        <v>109</v>
      </c>
      <c r="Y19" s="41">
        <v>590</v>
      </c>
      <c r="Z19" s="41">
        <v>5508</v>
      </c>
      <c r="AA19" s="41">
        <v>184</v>
      </c>
      <c r="AB19" s="41">
        <v>405</v>
      </c>
      <c r="AC19" s="41">
        <v>303</v>
      </c>
      <c r="AD19" s="41">
        <v>638</v>
      </c>
      <c r="AE19" s="41">
        <v>861</v>
      </c>
      <c r="AF19" s="41">
        <v>275</v>
      </c>
      <c r="AG19" s="41">
        <v>644</v>
      </c>
      <c r="AH19" s="41">
        <v>276</v>
      </c>
      <c r="AI19" s="41">
        <v>437</v>
      </c>
      <c r="AJ19" s="41">
        <v>601</v>
      </c>
      <c r="AK19" s="41">
        <v>370</v>
      </c>
      <c r="AL19" s="41">
        <v>395</v>
      </c>
      <c r="AM19" s="41">
        <v>1398</v>
      </c>
      <c r="AN19" s="44">
        <f>SUM(H19:AM19)</f>
        <v>36489</v>
      </c>
      <c r="AO19" s="80">
        <v>0.51858000000000004</v>
      </c>
      <c r="AP19" s="80">
        <f t="shared" si="0"/>
        <v>56767.396860000008</v>
      </c>
      <c r="AQ19" s="83" t="s">
        <v>168</v>
      </c>
      <c r="AMI19"/>
    </row>
    <row r="20" spans="2:1023" s="37" customFormat="1" x14ac:dyDescent="0.3">
      <c r="B20" s="47" t="s">
        <v>109</v>
      </c>
      <c r="C20" s="48" t="s">
        <v>169</v>
      </c>
      <c r="D20" s="47" t="s">
        <v>170</v>
      </c>
      <c r="E20" s="47" t="s">
        <v>159</v>
      </c>
      <c r="F20" s="47" t="s">
        <v>171</v>
      </c>
      <c r="G20" s="48" t="s">
        <v>172</v>
      </c>
      <c r="H20" s="41">
        <v>1</v>
      </c>
      <c r="I20" s="41">
        <v>1</v>
      </c>
      <c r="J20" s="41">
        <v>1</v>
      </c>
      <c r="K20" s="41">
        <v>1</v>
      </c>
      <c r="L20" s="42" t="s">
        <v>21</v>
      </c>
      <c r="M20" s="43" t="s">
        <v>21</v>
      </c>
      <c r="N20" s="41" t="s">
        <v>21</v>
      </c>
      <c r="O20" s="41" t="s">
        <v>21</v>
      </c>
      <c r="P20" s="41" t="s">
        <v>21</v>
      </c>
      <c r="Q20" s="41" t="s">
        <v>21</v>
      </c>
      <c r="R20" s="41" t="s">
        <v>21</v>
      </c>
      <c r="S20" s="51" t="s">
        <v>21</v>
      </c>
      <c r="T20" s="41" t="s">
        <v>115</v>
      </c>
      <c r="U20" s="41" t="s">
        <v>115</v>
      </c>
      <c r="V20" s="41" t="s">
        <v>21</v>
      </c>
      <c r="W20" s="41" t="s">
        <v>115</v>
      </c>
      <c r="X20" s="41" t="s">
        <v>115</v>
      </c>
      <c r="Y20" s="41" t="s">
        <v>115</v>
      </c>
      <c r="Z20" s="41" t="s">
        <v>21</v>
      </c>
      <c r="AA20" s="41" t="s">
        <v>21</v>
      </c>
      <c r="AB20" s="41" t="s">
        <v>21</v>
      </c>
      <c r="AC20" s="41" t="s">
        <v>21</v>
      </c>
      <c r="AD20" s="41" t="s">
        <v>21</v>
      </c>
      <c r="AE20" s="41" t="s">
        <v>21</v>
      </c>
      <c r="AF20" s="41" t="s">
        <v>21</v>
      </c>
      <c r="AG20" s="41" t="s">
        <v>21</v>
      </c>
      <c r="AH20" s="41" t="s">
        <v>21</v>
      </c>
      <c r="AI20" s="41" t="s">
        <v>21</v>
      </c>
      <c r="AJ20" s="41" t="s">
        <v>21</v>
      </c>
      <c r="AK20" s="41" t="s">
        <v>21</v>
      </c>
      <c r="AL20" s="41" t="s">
        <v>21</v>
      </c>
      <c r="AM20" s="41" t="s">
        <v>21</v>
      </c>
      <c r="AN20" s="44">
        <f>SUM(H20:AM20)</f>
        <v>4</v>
      </c>
      <c r="AO20" s="80">
        <v>4062.2452499999999</v>
      </c>
      <c r="AP20" s="80">
        <f t="shared" si="0"/>
        <v>48746.942999999999</v>
      </c>
      <c r="AQ20" s="83" t="s">
        <v>171</v>
      </c>
      <c r="AMI20"/>
    </row>
    <row r="21" spans="2:1023" s="37" customFormat="1" x14ac:dyDescent="0.3">
      <c r="B21" s="47" t="s">
        <v>109</v>
      </c>
      <c r="C21" s="48" t="s">
        <v>173</v>
      </c>
      <c r="D21" s="47" t="s">
        <v>174</v>
      </c>
      <c r="E21" s="47" t="s">
        <v>159</v>
      </c>
      <c r="F21" s="47" t="s">
        <v>175</v>
      </c>
      <c r="G21" s="48" t="s">
        <v>176</v>
      </c>
      <c r="H21" s="41">
        <v>3</v>
      </c>
      <c r="I21" s="41">
        <v>3</v>
      </c>
      <c r="J21" s="41">
        <v>3</v>
      </c>
      <c r="K21" s="41">
        <v>3</v>
      </c>
      <c r="L21" s="42">
        <v>3</v>
      </c>
      <c r="M21" s="43">
        <v>3</v>
      </c>
      <c r="N21" s="41">
        <v>3</v>
      </c>
      <c r="O21" s="41">
        <v>3</v>
      </c>
      <c r="P21" s="41">
        <v>3</v>
      </c>
      <c r="Q21" s="41" t="s">
        <v>21</v>
      </c>
      <c r="R21" s="41">
        <v>2</v>
      </c>
      <c r="S21" s="41" t="s">
        <v>21</v>
      </c>
      <c r="T21" s="41">
        <v>2</v>
      </c>
      <c r="U21" s="41">
        <v>2</v>
      </c>
      <c r="V21" s="41">
        <v>2</v>
      </c>
      <c r="W21" s="41">
        <v>2</v>
      </c>
      <c r="X21" s="41">
        <v>2</v>
      </c>
      <c r="Y21" s="41">
        <v>2</v>
      </c>
      <c r="Z21" s="41">
        <v>2</v>
      </c>
      <c r="AA21" s="41">
        <v>2</v>
      </c>
      <c r="AB21" s="41">
        <v>2</v>
      </c>
      <c r="AC21" s="41">
        <v>2</v>
      </c>
      <c r="AD21" s="41">
        <v>2</v>
      </c>
      <c r="AE21" s="41">
        <v>2</v>
      </c>
      <c r="AF21" s="41">
        <v>2</v>
      </c>
      <c r="AG21" s="41">
        <v>2</v>
      </c>
      <c r="AH21" s="41">
        <v>2</v>
      </c>
      <c r="AI21" s="41">
        <v>2</v>
      </c>
      <c r="AJ21" s="41">
        <v>2</v>
      </c>
      <c r="AK21" s="41">
        <v>2</v>
      </c>
      <c r="AL21" s="41">
        <v>2</v>
      </c>
      <c r="AM21" s="41">
        <v>2</v>
      </c>
      <c r="AN21" s="44">
        <f>SUM(H21:AM21)</f>
        <v>69</v>
      </c>
      <c r="AO21" s="80">
        <v>25.92923</v>
      </c>
      <c r="AP21" s="80">
        <f t="shared" si="0"/>
        <v>5367.3506100000004</v>
      </c>
      <c r="AQ21" s="83" t="s">
        <v>175</v>
      </c>
      <c r="AMI21"/>
    </row>
    <row r="22" spans="2:1023" x14ac:dyDescent="0.3">
      <c r="B22" s="49" t="s">
        <v>109</v>
      </c>
      <c r="C22" s="50" t="s">
        <v>177</v>
      </c>
      <c r="D22" s="49" t="s">
        <v>178</v>
      </c>
      <c r="E22" s="49" t="s">
        <v>179</v>
      </c>
      <c r="F22" s="49" t="s">
        <v>180</v>
      </c>
      <c r="G22" s="50" t="s">
        <v>181</v>
      </c>
      <c r="H22" s="51">
        <v>4075</v>
      </c>
      <c r="I22" s="51">
        <v>2967</v>
      </c>
      <c r="J22" s="51">
        <v>5958</v>
      </c>
      <c r="K22" s="51">
        <v>4088</v>
      </c>
      <c r="L22" s="52">
        <v>523</v>
      </c>
      <c r="M22" s="53">
        <v>295</v>
      </c>
      <c r="N22" s="51">
        <v>446</v>
      </c>
      <c r="O22" s="51" t="s">
        <v>21</v>
      </c>
      <c r="P22" s="51" t="s">
        <v>21</v>
      </c>
      <c r="Q22" s="51" t="s">
        <v>21</v>
      </c>
      <c r="R22" s="51">
        <v>1831</v>
      </c>
      <c r="S22" s="51">
        <v>4854.6400000000003</v>
      </c>
      <c r="T22" s="51" t="s">
        <v>21</v>
      </c>
      <c r="U22" s="51">
        <v>564</v>
      </c>
      <c r="V22" s="51">
        <v>311</v>
      </c>
      <c r="W22" s="51">
        <v>1154</v>
      </c>
      <c r="X22" s="51">
        <v>109</v>
      </c>
      <c r="Y22" s="51">
        <v>641</v>
      </c>
      <c r="Z22" s="51">
        <v>5508</v>
      </c>
      <c r="AA22" s="51">
        <v>184</v>
      </c>
      <c r="AB22" s="51">
        <v>405</v>
      </c>
      <c r="AC22" s="51">
        <v>303</v>
      </c>
      <c r="AD22" s="51" t="s">
        <v>21</v>
      </c>
      <c r="AE22" s="51" t="s">
        <v>21</v>
      </c>
      <c r="AF22" s="51" t="s">
        <v>21</v>
      </c>
      <c r="AG22" s="51" t="s">
        <v>21</v>
      </c>
      <c r="AH22" s="51" t="s">
        <v>21</v>
      </c>
      <c r="AI22" s="51" t="s">
        <v>21</v>
      </c>
      <c r="AJ22" s="51" t="s">
        <v>21</v>
      </c>
      <c r="AK22" s="51" t="s">
        <v>21</v>
      </c>
      <c r="AL22" s="51" t="s">
        <v>21</v>
      </c>
      <c r="AM22" s="51" t="s">
        <v>21</v>
      </c>
      <c r="AN22" s="44">
        <f>SUM(H22:AM22)</f>
        <v>34216.639999999999</v>
      </c>
      <c r="AO22" s="81">
        <v>0.13170000000000001</v>
      </c>
      <c r="AP22" s="80">
        <f t="shared" si="0"/>
        <v>13518.994464000003</v>
      </c>
      <c r="AQ22" s="84" t="s">
        <v>180</v>
      </c>
    </row>
    <row r="23" spans="2:1023" ht="33" customHeight="1" x14ac:dyDescent="0.3">
      <c r="B23" s="49" t="s">
        <v>109</v>
      </c>
      <c r="C23" s="50" t="s">
        <v>182</v>
      </c>
      <c r="D23" s="49" t="s">
        <v>183</v>
      </c>
      <c r="E23" s="49" t="s">
        <v>179</v>
      </c>
      <c r="F23" s="49" t="s">
        <v>184</v>
      </c>
      <c r="G23" s="50" t="s">
        <v>181</v>
      </c>
      <c r="H23" s="51">
        <v>4055</v>
      </c>
      <c r="I23" s="51">
        <v>2882</v>
      </c>
      <c r="J23" s="51">
        <v>5580</v>
      </c>
      <c r="K23" s="51">
        <v>4068</v>
      </c>
      <c r="L23" s="52">
        <v>520</v>
      </c>
      <c r="M23" s="53">
        <v>295</v>
      </c>
      <c r="N23" s="51">
        <v>446</v>
      </c>
      <c r="O23" s="51">
        <v>106</v>
      </c>
      <c r="P23" s="51">
        <v>82</v>
      </c>
      <c r="Q23" s="51" t="s">
        <v>21</v>
      </c>
      <c r="R23" s="51">
        <v>1831</v>
      </c>
      <c r="S23" s="51">
        <v>4854.6400000000003</v>
      </c>
      <c r="T23" s="51" t="s">
        <v>21</v>
      </c>
      <c r="U23" s="51">
        <v>564</v>
      </c>
      <c r="V23" s="51">
        <v>311</v>
      </c>
      <c r="W23" s="51">
        <v>1154</v>
      </c>
      <c r="X23" s="51">
        <v>109</v>
      </c>
      <c r="Y23" s="51">
        <v>641</v>
      </c>
      <c r="Z23" s="51">
        <v>5508</v>
      </c>
      <c r="AA23" s="51">
        <v>184</v>
      </c>
      <c r="AB23" s="51">
        <v>405</v>
      </c>
      <c r="AC23" s="51">
        <v>303</v>
      </c>
      <c r="AD23" s="51" t="s">
        <v>21</v>
      </c>
      <c r="AE23" s="51" t="s">
        <v>21</v>
      </c>
      <c r="AF23" s="51" t="s">
        <v>21</v>
      </c>
      <c r="AG23" s="51" t="s">
        <v>21</v>
      </c>
      <c r="AH23" s="51" t="s">
        <v>21</v>
      </c>
      <c r="AI23" s="51" t="s">
        <v>21</v>
      </c>
      <c r="AJ23" s="51" t="s">
        <v>21</v>
      </c>
      <c r="AK23" s="51" t="s">
        <v>21</v>
      </c>
      <c r="AL23" s="51" t="s">
        <v>21</v>
      </c>
      <c r="AM23" s="51" t="s">
        <v>21</v>
      </c>
      <c r="AN23" s="44">
        <f>SUM(H23:AM23)</f>
        <v>33898.639999999999</v>
      </c>
      <c r="AO23" s="81">
        <v>0.51858000000000004</v>
      </c>
      <c r="AP23" s="80">
        <f t="shared" si="0"/>
        <v>52737.470193600006</v>
      </c>
      <c r="AQ23" s="84" t="s">
        <v>184</v>
      </c>
    </row>
    <row r="24" spans="2:1023" ht="34.5" customHeight="1" x14ac:dyDescent="0.3">
      <c r="B24" s="49" t="s">
        <v>109</v>
      </c>
      <c r="C24" s="50" t="s">
        <v>185</v>
      </c>
      <c r="D24" s="49" t="s">
        <v>186</v>
      </c>
      <c r="E24" s="49" t="s">
        <v>179</v>
      </c>
      <c r="F24" s="49" t="s">
        <v>187</v>
      </c>
      <c r="G24" s="50" t="s">
        <v>126</v>
      </c>
      <c r="H24" s="51">
        <v>1374</v>
      </c>
      <c r="I24" s="51">
        <v>1133</v>
      </c>
      <c r="J24" s="51">
        <v>1399</v>
      </c>
      <c r="K24" s="51">
        <v>1470</v>
      </c>
      <c r="L24" s="52">
        <v>158</v>
      </c>
      <c r="M24" s="54">
        <v>295</v>
      </c>
      <c r="N24" s="55">
        <v>446</v>
      </c>
      <c r="O24" s="51">
        <v>106</v>
      </c>
      <c r="P24" s="51">
        <v>82</v>
      </c>
      <c r="Q24" s="51" t="s">
        <v>21</v>
      </c>
      <c r="R24" s="51">
        <v>1831</v>
      </c>
      <c r="S24" s="51">
        <v>4854.6400000000003</v>
      </c>
      <c r="T24" s="51" t="s">
        <v>21</v>
      </c>
      <c r="U24" s="51">
        <v>564</v>
      </c>
      <c r="V24" s="51">
        <v>311</v>
      </c>
      <c r="W24" s="51">
        <v>1154</v>
      </c>
      <c r="X24" s="51">
        <v>109</v>
      </c>
      <c r="Y24" s="51">
        <v>641</v>
      </c>
      <c r="Z24" s="51">
        <v>5508</v>
      </c>
      <c r="AA24" s="51">
        <v>184</v>
      </c>
      <c r="AB24" s="51">
        <v>405</v>
      </c>
      <c r="AC24" s="51">
        <v>303</v>
      </c>
      <c r="AD24" s="51" t="s">
        <v>21</v>
      </c>
      <c r="AE24" s="51" t="s">
        <v>21</v>
      </c>
      <c r="AF24" s="51" t="s">
        <v>21</v>
      </c>
      <c r="AG24" s="51" t="s">
        <v>21</v>
      </c>
      <c r="AH24" s="51" t="s">
        <v>21</v>
      </c>
      <c r="AI24" s="51" t="s">
        <v>21</v>
      </c>
      <c r="AJ24" s="51" t="s">
        <v>21</v>
      </c>
      <c r="AK24" s="51" t="s">
        <v>21</v>
      </c>
      <c r="AL24" s="51" t="s">
        <v>21</v>
      </c>
      <c r="AM24" s="51" t="s">
        <v>21</v>
      </c>
      <c r="AN24" s="44">
        <f>SUM(H24:AM24)</f>
        <v>22327.64</v>
      </c>
      <c r="AO24" s="81">
        <v>0.26340999999999998</v>
      </c>
      <c r="AP24" s="80">
        <f t="shared" si="0"/>
        <v>17643.970957199999</v>
      </c>
      <c r="AQ24" s="84" t="s">
        <v>187</v>
      </c>
    </row>
    <row r="25" spans="2:1023" x14ac:dyDescent="0.3">
      <c r="B25" s="49" t="s">
        <v>109</v>
      </c>
      <c r="C25" s="50" t="s">
        <v>188</v>
      </c>
      <c r="D25" s="49" t="s">
        <v>189</v>
      </c>
      <c r="E25" s="49" t="s">
        <v>179</v>
      </c>
      <c r="F25" s="49" t="s">
        <v>190</v>
      </c>
      <c r="G25" s="50" t="s">
        <v>191</v>
      </c>
      <c r="H25" s="51">
        <v>49</v>
      </c>
      <c r="I25" s="51">
        <v>36</v>
      </c>
      <c r="J25" s="51">
        <v>43</v>
      </c>
      <c r="K25" s="51">
        <v>67</v>
      </c>
      <c r="L25" s="52">
        <v>5</v>
      </c>
      <c r="M25" s="53">
        <v>13</v>
      </c>
      <c r="N25" s="51">
        <v>5</v>
      </c>
      <c r="O25" s="51">
        <v>4</v>
      </c>
      <c r="P25" s="51">
        <v>1</v>
      </c>
      <c r="Q25" s="51">
        <v>6</v>
      </c>
      <c r="R25" s="51">
        <v>24</v>
      </c>
      <c r="S25" s="51">
        <v>21</v>
      </c>
      <c r="T25" s="51" t="s">
        <v>21</v>
      </c>
      <c r="U25" s="51" t="s">
        <v>115</v>
      </c>
      <c r="V25" s="51">
        <v>6</v>
      </c>
      <c r="W25" s="51">
        <v>8</v>
      </c>
      <c r="X25" s="51">
        <v>2</v>
      </c>
      <c r="Y25" s="51">
        <v>6</v>
      </c>
      <c r="Z25" s="51" t="s">
        <v>115</v>
      </c>
      <c r="AA25" s="51">
        <v>4</v>
      </c>
      <c r="AB25" s="51">
        <v>6</v>
      </c>
      <c r="AC25" s="51">
        <v>1</v>
      </c>
      <c r="AD25" s="51" t="s">
        <v>115</v>
      </c>
      <c r="AE25" s="51" t="s">
        <v>21</v>
      </c>
      <c r="AF25" s="51" t="s">
        <v>21</v>
      </c>
      <c r="AG25" s="51" t="s">
        <v>21</v>
      </c>
      <c r="AH25" s="51" t="s">
        <v>21</v>
      </c>
      <c r="AI25" s="51" t="s">
        <v>21</v>
      </c>
      <c r="AJ25" s="51" t="s">
        <v>21</v>
      </c>
      <c r="AK25" s="51" t="s">
        <v>21</v>
      </c>
      <c r="AL25" s="51" t="s">
        <v>21</v>
      </c>
      <c r="AM25" s="51" t="s">
        <v>21</v>
      </c>
      <c r="AN25" s="44">
        <f>SUM(H25:AM25)</f>
        <v>307</v>
      </c>
      <c r="AO25" s="81">
        <v>7.8199300000000003</v>
      </c>
      <c r="AP25" s="80">
        <f t="shared" si="0"/>
        <v>7202.15553</v>
      </c>
      <c r="AQ25" s="84" t="s">
        <v>190</v>
      </c>
    </row>
    <row r="26" spans="2:1023" x14ac:dyDescent="0.3">
      <c r="B26" s="56" t="s">
        <v>109</v>
      </c>
      <c r="C26" s="57" t="s">
        <v>192</v>
      </c>
      <c r="D26" s="49" t="s">
        <v>193</v>
      </c>
      <c r="E26" s="56" t="s">
        <v>179</v>
      </c>
      <c r="F26" s="49" t="s">
        <v>194</v>
      </c>
      <c r="G26" s="50" t="s">
        <v>195</v>
      </c>
      <c r="H26" s="51" t="s">
        <v>21</v>
      </c>
      <c r="I26" s="51" t="s">
        <v>21</v>
      </c>
      <c r="J26" s="51" t="s">
        <v>21</v>
      </c>
      <c r="K26" s="51">
        <v>1</v>
      </c>
      <c r="L26" s="52" t="s">
        <v>21</v>
      </c>
      <c r="M26" s="53" t="s">
        <v>21</v>
      </c>
      <c r="N26" s="51" t="s">
        <v>21</v>
      </c>
      <c r="O26" s="51" t="s">
        <v>21</v>
      </c>
      <c r="P26" s="51" t="s">
        <v>21</v>
      </c>
      <c r="Q26" s="51" t="s">
        <v>21</v>
      </c>
      <c r="R26" s="51" t="s">
        <v>21</v>
      </c>
      <c r="S26" s="51" t="s">
        <v>21</v>
      </c>
      <c r="T26" s="51" t="s">
        <v>21</v>
      </c>
      <c r="U26" s="51" t="s">
        <v>21</v>
      </c>
      <c r="V26" s="51" t="s">
        <v>21</v>
      </c>
      <c r="W26" s="51" t="s">
        <v>115</v>
      </c>
      <c r="X26" s="51" t="s">
        <v>21</v>
      </c>
      <c r="Y26" s="51" t="s">
        <v>115</v>
      </c>
      <c r="Z26" s="51" t="s">
        <v>115</v>
      </c>
      <c r="AA26" s="51" t="s">
        <v>21</v>
      </c>
      <c r="AB26" s="51" t="s">
        <v>115</v>
      </c>
      <c r="AC26" s="51" t="s">
        <v>21</v>
      </c>
      <c r="AD26" s="51" t="s">
        <v>21</v>
      </c>
      <c r="AE26" s="51" t="s">
        <v>21</v>
      </c>
      <c r="AF26" s="51" t="s">
        <v>21</v>
      </c>
      <c r="AG26" s="51" t="s">
        <v>21</v>
      </c>
      <c r="AH26" s="51" t="s">
        <v>21</v>
      </c>
      <c r="AI26" s="51" t="s">
        <v>21</v>
      </c>
      <c r="AJ26" s="51" t="s">
        <v>21</v>
      </c>
      <c r="AK26" s="51" t="s">
        <v>21</v>
      </c>
      <c r="AL26" s="51" t="s">
        <v>21</v>
      </c>
      <c r="AM26" s="51" t="s">
        <v>21</v>
      </c>
      <c r="AN26" s="44">
        <f>SUM(H26:AM26)</f>
        <v>1</v>
      </c>
      <c r="AO26" s="81">
        <v>2160.7687500000002</v>
      </c>
      <c r="AP26" s="80">
        <f t="shared" si="0"/>
        <v>6482.3062500000005</v>
      </c>
      <c r="AQ26" s="84" t="s">
        <v>194</v>
      </c>
    </row>
    <row r="27" spans="2:1023" x14ac:dyDescent="0.3">
      <c r="B27" s="56" t="s">
        <v>109</v>
      </c>
      <c r="C27" s="57" t="s">
        <v>196</v>
      </c>
      <c r="D27" s="49" t="s">
        <v>197</v>
      </c>
      <c r="E27" s="56" t="s">
        <v>179</v>
      </c>
      <c r="F27" s="49" t="s">
        <v>198</v>
      </c>
      <c r="G27" s="50" t="s">
        <v>199</v>
      </c>
      <c r="H27" s="51">
        <v>19</v>
      </c>
      <c r="I27" s="51">
        <v>21</v>
      </c>
      <c r="J27" s="51">
        <v>12</v>
      </c>
      <c r="K27" s="51">
        <v>16</v>
      </c>
      <c r="L27" s="52">
        <v>0</v>
      </c>
      <c r="M27" s="53" t="s">
        <v>21</v>
      </c>
      <c r="N27" s="51">
        <v>2</v>
      </c>
      <c r="O27" s="51" t="s">
        <v>21</v>
      </c>
      <c r="P27" s="51" t="s">
        <v>21</v>
      </c>
      <c r="Q27" s="51" t="s">
        <v>21</v>
      </c>
      <c r="R27" s="51" t="s">
        <v>21</v>
      </c>
      <c r="S27" s="51" t="s">
        <v>21</v>
      </c>
      <c r="T27" s="51" t="s">
        <v>21</v>
      </c>
      <c r="U27" s="51" t="s">
        <v>115</v>
      </c>
      <c r="V27" s="51" t="s">
        <v>21</v>
      </c>
      <c r="W27" s="51" t="s">
        <v>115</v>
      </c>
      <c r="X27" s="51" t="s">
        <v>115</v>
      </c>
      <c r="Y27" s="51" t="s">
        <v>115</v>
      </c>
      <c r="Z27" s="51" t="s">
        <v>115</v>
      </c>
      <c r="AA27" s="51" t="s">
        <v>21</v>
      </c>
      <c r="AB27" s="51" t="s">
        <v>115</v>
      </c>
      <c r="AC27" s="51">
        <v>1</v>
      </c>
      <c r="AD27" s="51" t="s">
        <v>21</v>
      </c>
      <c r="AE27" s="51" t="s">
        <v>21</v>
      </c>
      <c r="AF27" s="51" t="s">
        <v>21</v>
      </c>
      <c r="AG27" s="51" t="s">
        <v>21</v>
      </c>
      <c r="AH27" s="51" t="s">
        <v>21</v>
      </c>
      <c r="AI27" s="51" t="s">
        <v>21</v>
      </c>
      <c r="AJ27" s="51" t="s">
        <v>21</v>
      </c>
      <c r="AK27" s="51" t="s">
        <v>21</v>
      </c>
      <c r="AL27" s="51" t="s">
        <v>21</v>
      </c>
      <c r="AM27" s="51" t="s">
        <v>21</v>
      </c>
      <c r="AN27" s="44">
        <f>SUM(H27:AM27)</f>
        <v>71</v>
      </c>
      <c r="AO27" s="81">
        <v>17.286149999999999</v>
      </c>
      <c r="AP27" s="80">
        <f t="shared" si="0"/>
        <v>3681.9499500000002</v>
      </c>
      <c r="AQ27" s="84" t="s">
        <v>198</v>
      </c>
    </row>
    <row r="28" spans="2:1023" s="37" customFormat="1" x14ac:dyDescent="0.3">
      <c r="B28" s="38" t="s">
        <v>109</v>
      </c>
      <c r="C28" s="39" t="s">
        <v>200</v>
      </c>
      <c r="D28" s="47" t="s">
        <v>201</v>
      </c>
      <c r="E28" s="38" t="s">
        <v>202</v>
      </c>
      <c r="F28" s="47" t="s">
        <v>203</v>
      </c>
      <c r="G28" s="48" t="s">
        <v>204</v>
      </c>
      <c r="H28" s="41">
        <v>1</v>
      </c>
      <c r="I28" s="41">
        <v>2</v>
      </c>
      <c r="J28" s="41">
        <v>3</v>
      </c>
      <c r="K28" s="41" t="s">
        <v>21</v>
      </c>
      <c r="L28" s="42">
        <v>2</v>
      </c>
      <c r="M28" s="43" t="s">
        <v>21</v>
      </c>
      <c r="N28" s="41" t="s">
        <v>21</v>
      </c>
      <c r="O28" s="41" t="s">
        <v>21</v>
      </c>
      <c r="P28" s="41" t="s">
        <v>21</v>
      </c>
      <c r="Q28" s="41" t="s">
        <v>21</v>
      </c>
      <c r="R28" s="41" t="s">
        <v>21</v>
      </c>
      <c r="S28" s="51" t="s">
        <v>21</v>
      </c>
      <c r="T28" s="51" t="s">
        <v>21</v>
      </c>
      <c r="U28" s="41" t="s">
        <v>21</v>
      </c>
      <c r="V28" s="41" t="s">
        <v>21</v>
      </c>
      <c r="W28" s="41" t="s">
        <v>21</v>
      </c>
      <c r="X28" s="41" t="s">
        <v>21</v>
      </c>
      <c r="Y28" s="41" t="s">
        <v>21</v>
      </c>
      <c r="Z28" s="41" t="s">
        <v>21</v>
      </c>
      <c r="AA28" s="41" t="s">
        <v>21</v>
      </c>
      <c r="AB28" s="41" t="s">
        <v>21</v>
      </c>
      <c r="AC28" s="41" t="s">
        <v>21</v>
      </c>
      <c r="AD28" s="41" t="s">
        <v>21</v>
      </c>
      <c r="AE28" s="51" t="s">
        <v>21</v>
      </c>
      <c r="AF28" s="51" t="s">
        <v>21</v>
      </c>
      <c r="AG28" s="51" t="s">
        <v>21</v>
      </c>
      <c r="AH28" s="51" t="s">
        <v>21</v>
      </c>
      <c r="AI28" s="41" t="s">
        <v>21</v>
      </c>
      <c r="AJ28" s="51" t="s">
        <v>21</v>
      </c>
      <c r="AK28" s="51" t="s">
        <v>21</v>
      </c>
      <c r="AL28" s="51" t="s">
        <v>21</v>
      </c>
      <c r="AM28" s="51" t="s">
        <v>21</v>
      </c>
      <c r="AN28" s="44">
        <f>SUM(H28:AM28)</f>
        <v>8</v>
      </c>
      <c r="AO28" s="80">
        <v>1210.0305000000001</v>
      </c>
      <c r="AP28" s="80">
        <f t="shared" si="0"/>
        <v>29040.732000000004</v>
      </c>
      <c r="AQ28" s="83" t="s">
        <v>203</v>
      </c>
      <c r="AMI28"/>
    </row>
    <row r="29" spans="2:1023" s="37" customFormat="1" x14ac:dyDescent="0.3">
      <c r="B29" s="38" t="s">
        <v>109</v>
      </c>
      <c r="C29" s="39" t="s">
        <v>205</v>
      </c>
      <c r="D29" s="47" t="s">
        <v>201</v>
      </c>
      <c r="E29" s="38" t="s">
        <v>202</v>
      </c>
      <c r="F29" s="47" t="s">
        <v>206</v>
      </c>
      <c r="G29" s="48" t="s">
        <v>204</v>
      </c>
      <c r="H29" s="41">
        <v>3</v>
      </c>
      <c r="I29" s="41" t="s">
        <v>21</v>
      </c>
      <c r="J29" s="41">
        <v>1</v>
      </c>
      <c r="K29" s="41">
        <v>2</v>
      </c>
      <c r="L29" s="42" t="s">
        <v>21</v>
      </c>
      <c r="M29" s="43" t="s">
        <v>21</v>
      </c>
      <c r="N29" s="41" t="s">
        <v>21</v>
      </c>
      <c r="O29" s="41" t="s">
        <v>21</v>
      </c>
      <c r="P29" s="41" t="s">
        <v>21</v>
      </c>
      <c r="Q29" s="41" t="s">
        <v>21</v>
      </c>
      <c r="R29" s="41" t="s">
        <v>21</v>
      </c>
      <c r="S29" s="51" t="s">
        <v>21</v>
      </c>
      <c r="T29" s="51" t="s">
        <v>21</v>
      </c>
      <c r="U29" s="41" t="s">
        <v>21</v>
      </c>
      <c r="V29" s="41" t="s">
        <v>21</v>
      </c>
      <c r="W29" s="41" t="s">
        <v>21</v>
      </c>
      <c r="X29" s="41" t="s">
        <v>21</v>
      </c>
      <c r="Y29" s="41" t="s">
        <v>21</v>
      </c>
      <c r="Z29" s="41" t="s">
        <v>21</v>
      </c>
      <c r="AA29" s="41" t="s">
        <v>21</v>
      </c>
      <c r="AB29" s="41" t="s">
        <v>21</v>
      </c>
      <c r="AC29" s="41" t="s">
        <v>21</v>
      </c>
      <c r="AD29" s="41" t="s">
        <v>21</v>
      </c>
      <c r="AE29" s="51" t="s">
        <v>21</v>
      </c>
      <c r="AF29" s="51" t="s">
        <v>21</v>
      </c>
      <c r="AG29" s="51" t="s">
        <v>21</v>
      </c>
      <c r="AH29" s="51" t="s">
        <v>21</v>
      </c>
      <c r="AI29" s="41" t="s">
        <v>21</v>
      </c>
      <c r="AJ29" s="51" t="s">
        <v>21</v>
      </c>
      <c r="AK29" s="51" t="s">
        <v>21</v>
      </c>
      <c r="AL29" s="51" t="s">
        <v>21</v>
      </c>
      <c r="AM29" s="51" t="s">
        <v>21</v>
      </c>
      <c r="AN29" s="44">
        <f>SUM(H29:AM29)</f>
        <v>6</v>
      </c>
      <c r="AO29" s="80">
        <v>1382.8920000000001</v>
      </c>
      <c r="AP29" s="80">
        <f t="shared" si="0"/>
        <v>24892.056000000004</v>
      </c>
      <c r="AQ29" s="83" t="s">
        <v>206</v>
      </c>
      <c r="AMI29"/>
    </row>
    <row r="30" spans="2:1023" s="37" customFormat="1" x14ac:dyDescent="0.3">
      <c r="B30" s="38" t="s">
        <v>109</v>
      </c>
      <c r="C30" s="39" t="s">
        <v>207</v>
      </c>
      <c r="D30" s="47" t="s">
        <v>208</v>
      </c>
      <c r="E30" s="38" t="s">
        <v>202</v>
      </c>
      <c r="F30" s="47" t="s">
        <v>209</v>
      </c>
      <c r="G30" s="48" t="s">
        <v>210</v>
      </c>
      <c r="H30" s="41" t="s">
        <v>21</v>
      </c>
      <c r="I30" s="41">
        <v>1</v>
      </c>
      <c r="J30" s="41" t="s">
        <v>21</v>
      </c>
      <c r="K30" s="41" t="s">
        <v>21</v>
      </c>
      <c r="L30" s="42" t="s">
        <v>21</v>
      </c>
      <c r="M30" s="43" t="s">
        <v>21</v>
      </c>
      <c r="N30" s="41" t="s">
        <v>21</v>
      </c>
      <c r="O30" s="41" t="s">
        <v>21</v>
      </c>
      <c r="P30" s="41" t="s">
        <v>21</v>
      </c>
      <c r="Q30" s="41" t="s">
        <v>21</v>
      </c>
      <c r="R30" s="41" t="s">
        <v>21</v>
      </c>
      <c r="S30" s="51" t="s">
        <v>21</v>
      </c>
      <c r="T30" s="51" t="s">
        <v>21</v>
      </c>
      <c r="U30" s="41" t="s">
        <v>21</v>
      </c>
      <c r="V30" s="41" t="s">
        <v>21</v>
      </c>
      <c r="W30" s="41" t="s">
        <v>21</v>
      </c>
      <c r="X30" s="41" t="s">
        <v>21</v>
      </c>
      <c r="Y30" s="41" t="s">
        <v>21</v>
      </c>
      <c r="Z30" s="41" t="s">
        <v>21</v>
      </c>
      <c r="AA30" s="41" t="s">
        <v>21</v>
      </c>
      <c r="AB30" s="41" t="s">
        <v>21</v>
      </c>
      <c r="AC30" s="41" t="s">
        <v>21</v>
      </c>
      <c r="AD30" s="41" t="s">
        <v>21</v>
      </c>
      <c r="AE30" s="51" t="s">
        <v>21</v>
      </c>
      <c r="AF30" s="51" t="s">
        <v>21</v>
      </c>
      <c r="AG30" s="51" t="s">
        <v>21</v>
      </c>
      <c r="AH30" s="51" t="s">
        <v>21</v>
      </c>
      <c r="AI30" s="41" t="s">
        <v>21</v>
      </c>
      <c r="AJ30" s="51" t="s">
        <v>21</v>
      </c>
      <c r="AK30" s="51" t="s">
        <v>21</v>
      </c>
      <c r="AL30" s="51" t="s">
        <v>21</v>
      </c>
      <c r="AM30" s="51" t="s">
        <v>21</v>
      </c>
      <c r="AN30" s="44">
        <f>SUM(H30:AM30)</f>
        <v>1</v>
      </c>
      <c r="AO30" s="80">
        <v>216.07687999999999</v>
      </c>
      <c r="AP30" s="80">
        <f t="shared" si="0"/>
        <v>648.23063999999999</v>
      </c>
      <c r="AQ30" s="83" t="s">
        <v>209</v>
      </c>
      <c r="AMI30"/>
    </row>
    <row r="31" spans="2:1023" ht="38.25" customHeight="1" x14ac:dyDescent="0.3">
      <c r="B31" s="56" t="s">
        <v>109</v>
      </c>
      <c r="C31" s="57" t="s">
        <v>211</v>
      </c>
      <c r="D31" s="49" t="s">
        <v>212</v>
      </c>
      <c r="E31" s="56" t="s">
        <v>213</v>
      </c>
      <c r="F31" s="49" t="s">
        <v>214</v>
      </c>
      <c r="G31" s="50" t="s">
        <v>215</v>
      </c>
      <c r="H31" s="51">
        <v>1</v>
      </c>
      <c r="I31" s="51">
        <v>1</v>
      </c>
      <c r="J31" s="51" t="s">
        <v>21</v>
      </c>
      <c r="K31" s="51">
        <v>2</v>
      </c>
      <c r="L31" s="58" t="s">
        <v>21</v>
      </c>
      <c r="M31" s="53" t="s">
        <v>21</v>
      </c>
      <c r="N31" s="51">
        <v>1</v>
      </c>
      <c r="O31" s="51" t="s">
        <v>21</v>
      </c>
      <c r="P31" s="51" t="s">
        <v>21</v>
      </c>
      <c r="Q31" s="51" t="s">
        <v>21</v>
      </c>
      <c r="R31" s="51" t="s">
        <v>21</v>
      </c>
      <c r="S31" s="51" t="s">
        <v>21</v>
      </c>
      <c r="T31" s="51" t="s">
        <v>21</v>
      </c>
      <c r="U31" s="51" t="s">
        <v>115</v>
      </c>
      <c r="V31" s="51" t="s">
        <v>21</v>
      </c>
      <c r="W31" s="51" t="s">
        <v>21</v>
      </c>
      <c r="X31" s="51" t="s">
        <v>21</v>
      </c>
      <c r="Y31" s="51" t="s">
        <v>21</v>
      </c>
      <c r="Z31" s="51" t="s">
        <v>115</v>
      </c>
      <c r="AA31" s="51" t="s">
        <v>21</v>
      </c>
      <c r="AB31" s="51" t="s">
        <v>115</v>
      </c>
      <c r="AC31" s="51" t="s">
        <v>21</v>
      </c>
      <c r="AD31" s="51" t="s">
        <v>21</v>
      </c>
      <c r="AE31" s="51" t="s">
        <v>21</v>
      </c>
      <c r="AF31" s="51" t="s">
        <v>21</v>
      </c>
      <c r="AG31" s="51" t="s">
        <v>21</v>
      </c>
      <c r="AH31" s="51" t="s">
        <v>21</v>
      </c>
      <c r="AI31" s="51" t="s">
        <v>21</v>
      </c>
      <c r="AJ31" s="51" t="s">
        <v>21</v>
      </c>
      <c r="AK31" s="51" t="s">
        <v>21</v>
      </c>
      <c r="AL31" s="51" t="s">
        <v>21</v>
      </c>
      <c r="AM31" s="51" t="s">
        <v>21</v>
      </c>
      <c r="AN31" s="44">
        <f>SUM(H31:AM31)</f>
        <v>5</v>
      </c>
      <c r="AO31" s="81">
        <v>1.1688700000000001</v>
      </c>
      <c r="AP31" s="80">
        <f>(AO32*AN32)*3</f>
        <v>3889.38375</v>
      </c>
      <c r="AQ31" s="27" t="s">
        <v>214</v>
      </c>
    </row>
    <row r="32" spans="2:1023" x14ac:dyDescent="0.3">
      <c r="B32" s="56" t="s">
        <v>109</v>
      </c>
      <c r="C32" s="57" t="s">
        <v>216</v>
      </c>
      <c r="D32" s="49" t="s">
        <v>217</v>
      </c>
      <c r="E32" s="56" t="s">
        <v>213</v>
      </c>
      <c r="F32" s="49" t="s">
        <v>218</v>
      </c>
      <c r="G32" s="50" t="s">
        <v>219</v>
      </c>
      <c r="H32" s="51">
        <v>1</v>
      </c>
      <c r="I32" s="51" t="s">
        <v>21</v>
      </c>
      <c r="J32" s="51">
        <v>1</v>
      </c>
      <c r="K32" s="51">
        <v>1</v>
      </c>
      <c r="L32" s="52">
        <v>1</v>
      </c>
      <c r="M32" s="53">
        <v>1</v>
      </c>
      <c r="N32" s="51" t="s">
        <v>21</v>
      </c>
      <c r="O32" s="51" t="s">
        <v>21</v>
      </c>
      <c r="P32" s="51" t="s">
        <v>21</v>
      </c>
      <c r="Q32" s="51" t="s">
        <v>21</v>
      </c>
      <c r="R32" s="51" t="s">
        <v>21</v>
      </c>
      <c r="S32" s="51" t="s">
        <v>21</v>
      </c>
      <c r="T32" s="51" t="s">
        <v>21</v>
      </c>
      <c r="U32" s="51" t="s">
        <v>21</v>
      </c>
      <c r="V32" s="51" t="s">
        <v>21</v>
      </c>
      <c r="W32" s="51" t="s">
        <v>21</v>
      </c>
      <c r="X32" s="51" t="s">
        <v>21</v>
      </c>
      <c r="Y32" s="51" t="s">
        <v>21</v>
      </c>
      <c r="Z32" s="51" t="s">
        <v>21</v>
      </c>
      <c r="AA32" s="51" t="s">
        <v>21</v>
      </c>
      <c r="AB32" s="51" t="s">
        <v>115</v>
      </c>
      <c r="AC32" s="51" t="s">
        <v>21</v>
      </c>
      <c r="AD32" s="51" t="s">
        <v>21</v>
      </c>
      <c r="AE32" s="51" t="s">
        <v>21</v>
      </c>
      <c r="AF32" s="51" t="s">
        <v>21</v>
      </c>
      <c r="AG32" s="51" t="s">
        <v>21</v>
      </c>
      <c r="AH32" s="51" t="s">
        <v>21</v>
      </c>
      <c r="AI32" s="51" t="s">
        <v>21</v>
      </c>
      <c r="AJ32" s="51" t="s">
        <v>21</v>
      </c>
      <c r="AK32" s="51" t="s">
        <v>21</v>
      </c>
      <c r="AL32" s="51" t="s">
        <v>21</v>
      </c>
      <c r="AM32" s="51" t="s">
        <v>21</v>
      </c>
      <c r="AN32" s="44">
        <f>SUM(H32:AM32)</f>
        <v>5</v>
      </c>
      <c r="AO32" s="81">
        <v>259.29225000000002</v>
      </c>
      <c r="AQ32" s="27" t="s">
        <v>218</v>
      </c>
    </row>
    <row r="33" spans="1:1022" s="94" customFormat="1" ht="24" x14ac:dyDescent="0.3">
      <c r="A33" s="85"/>
      <c r="B33" s="86" t="s">
        <v>109</v>
      </c>
      <c r="C33" s="87" t="s">
        <v>577</v>
      </c>
      <c r="D33" s="86" t="s">
        <v>578</v>
      </c>
      <c r="E33" s="86" t="s">
        <v>579</v>
      </c>
      <c r="F33" s="86" t="s">
        <v>484</v>
      </c>
      <c r="G33" s="88" t="s">
        <v>580</v>
      </c>
      <c r="H33" s="89">
        <v>1</v>
      </c>
      <c r="I33" s="85"/>
      <c r="J33" s="90"/>
      <c r="K33" s="85"/>
      <c r="L33" s="85"/>
      <c r="M33" s="85"/>
      <c r="N33" s="85"/>
      <c r="O33" s="85"/>
      <c r="P33" s="85"/>
      <c r="Q33" s="91"/>
      <c r="R33" s="91"/>
      <c r="S33" s="85"/>
      <c r="T33" s="91"/>
      <c r="U33" s="85"/>
      <c r="V33" s="85"/>
      <c r="W33" s="85"/>
      <c r="X33" s="85"/>
      <c r="Y33" s="85"/>
      <c r="Z33" s="85"/>
      <c r="AA33" s="85"/>
      <c r="AB33" s="91"/>
      <c r="AC33" s="85"/>
      <c r="AD33" s="85"/>
      <c r="AE33" s="85"/>
      <c r="AF33" s="85"/>
      <c r="AG33" s="85"/>
      <c r="AH33" s="85"/>
      <c r="AI33" s="85"/>
      <c r="AJ33" s="85"/>
      <c r="AK33" s="85"/>
      <c r="AL33" s="85"/>
      <c r="AM33" s="85"/>
      <c r="AN33" s="85"/>
      <c r="AO33" s="92"/>
      <c r="AP33" s="85"/>
      <c r="AQ33" s="93"/>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c r="CY33" s="85"/>
      <c r="CZ33" s="85"/>
      <c r="DA33" s="85"/>
      <c r="DB33" s="85"/>
      <c r="DC33" s="85"/>
      <c r="DD33" s="85"/>
      <c r="DE33" s="85"/>
      <c r="DF33" s="85"/>
      <c r="DG33" s="85"/>
      <c r="DH33" s="85"/>
      <c r="DI33" s="85"/>
      <c r="DJ33" s="85"/>
      <c r="DK33" s="85"/>
      <c r="DL33" s="85"/>
      <c r="DM33" s="85"/>
      <c r="DN33" s="85"/>
      <c r="DO33" s="85"/>
      <c r="DP33" s="85"/>
      <c r="DQ33" s="85"/>
      <c r="DR33" s="85"/>
      <c r="DS33" s="85"/>
      <c r="DT33" s="85"/>
      <c r="DU33" s="85"/>
      <c r="DV33" s="85"/>
      <c r="DW33" s="85"/>
      <c r="DX33" s="85"/>
      <c r="DY33" s="85"/>
      <c r="DZ33" s="85"/>
      <c r="EA33" s="85"/>
      <c r="EB33" s="85"/>
      <c r="EC33" s="85"/>
      <c r="ED33" s="85"/>
      <c r="EE33" s="85"/>
      <c r="EF33" s="85"/>
      <c r="EG33" s="85"/>
      <c r="EH33" s="85"/>
      <c r="EI33" s="85"/>
      <c r="EJ33" s="85"/>
      <c r="EK33" s="85"/>
      <c r="EL33" s="85"/>
      <c r="EM33" s="85"/>
      <c r="EN33" s="85"/>
      <c r="EO33" s="85"/>
      <c r="EP33" s="85"/>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5"/>
      <c r="FO33" s="85"/>
      <c r="FP33" s="85"/>
      <c r="FQ33" s="85"/>
      <c r="FR33" s="85"/>
      <c r="FS33" s="85"/>
      <c r="FT33" s="85"/>
      <c r="FU33" s="85"/>
      <c r="FV33" s="85"/>
      <c r="FW33" s="85"/>
      <c r="FX33" s="85"/>
      <c r="FY33" s="85"/>
      <c r="FZ33" s="85"/>
      <c r="GA33" s="85"/>
      <c r="GB33" s="85"/>
      <c r="GC33" s="85"/>
      <c r="GD33" s="85"/>
      <c r="GE33" s="85"/>
      <c r="GF33" s="85"/>
      <c r="GG33" s="85"/>
      <c r="GH33" s="85"/>
      <c r="GI33" s="85"/>
      <c r="GJ33" s="85"/>
      <c r="GK33" s="85"/>
      <c r="GL33" s="85"/>
      <c r="GM33" s="85"/>
      <c r="GN33" s="85"/>
      <c r="GO33" s="85"/>
      <c r="GP33" s="85"/>
      <c r="GQ33" s="85"/>
      <c r="GR33" s="85"/>
      <c r="GS33" s="85"/>
      <c r="GT33" s="85"/>
      <c r="GU33" s="85"/>
      <c r="GV33" s="85"/>
      <c r="GW33" s="85"/>
      <c r="GX33" s="85"/>
      <c r="GY33" s="85"/>
      <c r="GZ33" s="85"/>
      <c r="HA33" s="85"/>
      <c r="HB33" s="85"/>
      <c r="HC33" s="85"/>
      <c r="HD33" s="85"/>
      <c r="HE33" s="85"/>
      <c r="HF33" s="85"/>
      <c r="HG33" s="85"/>
      <c r="HH33" s="85"/>
      <c r="HI33" s="85"/>
      <c r="HJ33" s="85"/>
      <c r="HK33" s="85"/>
      <c r="HL33" s="85"/>
      <c r="HM33" s="85"/>
      <c r="HN33" s="85"/>
      <c r="HO33" s="85"/>
      <c r="HP33" s="85"/>
      <c r="HQ33" s="85"/>
      <c r="HR33" s="85"/>
      <c r="HS33" s="85"/>
      <c r="HT33" s="85"/>
      <c r="HU33" s="85"/>
      <c r="HV33" s="85"/>
      <c r="HW33" s="85"/>
      <c r="HX33" s="85"/>
      <c r="HY33" s="85"/>
      <c r="HZ33" s="85"/>
      <c r="IA33" s="85"/>
      <c r="IB33" s="85"/>
      <c r="IC33" s="85"/>
      <c r="ID33" s="85"/>
      <c r="IE33" s="85"/>
      <c r="IF33" s="85"/>
      <c r="IG33" s="85"/>
      <c r="IH33" s="85"/>
      <c r="II33" s="85"/>
      <c r="IJ33" s="85"/>
      <c r="IK33" s="85"/>
      <c r="IL33" s="85"/>
      <c r="IM33" s="85"/>
      <c r="IN33" s="85"/>
      <c r="IO33" s="85"/>
      <c r="IP33" s="85"/>
      <c r="IQ33" s="85"/>
      <c r="IR33" s="85"/>
      <c r="IS33" s="85"/>
      <c r="IT33" s="85"/>
      <c r="IU33" s="85"/>
      <c r="IV33" s="85"/>
      <c r="IW33" s="85"/>
      <c r="IX33" s="85"/>
      <c r="IY33" s="85"/>
      <c r="IZ33" s="85"/>
      <c r="JA33" s="85"/>
      <c r="JB33" s="85"/>
      <c r="JC33" s="85"/>
      <c r="JD33" s="85"/>
      <c r="JE33" s="85"/>
      <c r="JF33" s="85"/>
      <c r="JG33" s="85"/>
      <c r="JH33" s="85"/>
      <c r="JI33" s="85"/>
      <c r="JJ33" s="85"/>
      <c r="JK33" s="85"/>
      <c r="JL33" s="85"/>
      <c r="JM33" s="85"/>
      <c r="JN33" s="85"/>
      <c r="JO33" s="85"/>
      <c r="JP33" s="85"/>
      <c r="JQ33" s="85"/>
      <c r="JR33" s="85"/>
      <c r="JS33" s="85"/>
      <c r="JT33" s="85"/>
      <c r="JU33" s="85"/>
      <c r="JV33" s="85"/>
      <c r="JW33" s="85"/>
      <c r="JX33" s="85"/>
      <c r="JY33" s="85"/>
      <c r="JZ33" s="85"/>
      <c r="KA33" s="85"/>
      <c r="KB33" s="85"/>
      <c r="KC33" s="85"/>
      <c r="KD33" s="85"/>
      <c r="KE33" s="85"/>
      <c r="KF33" s="85"/>
      <c r="KG33" s="85"/>
      <c r="KH33" s="85"/>
      <c r="KI33" s="85"/>
      <c r="KJ33" s="85"/>
      <c r="KK33" s="85"/>
      <c r="KL33" s="85"/>
      <c r="KM33" s="85"/>
      <c r="KN33" s="85"/>
      <c r="KO33" s="85"/>
      <c r="KP33" s="85"/>
      <c r="KQ33" s="85"/>
      <c r="KR33" s="85"/>
      <c r="KS33" s="85"/>
      <c r="KT33" s="85"/>
      <c r="KU33" s="85"/>
      <c r="KV33" s="85"/>
      <c r="KW33" s="85"/>
      <c r="KX33" s="85"/>
      <c r="KY33" s="85"/>
      <c r="KZ33" s="85"/>
      <c r="LA33" s="85"/>
      <c r="LB33" s="85"/>
      <c r="LC33" s="85"/>
      <c r="LD33" s="85"/>
      <c r="LE33" s="85"/>
      <c r="LF33" s="85"/>
      <c r="LG33" s="85"/>
      <c r="LH33" s="85"/>
      <c r="LI33" s="85"/>
      <c r="LJ33" s="85"/>
      <c r="LK33" s="85"/>
      <c r="LL33" s="85"/>
      <c r="LM33" s="85"/>
      <c r="LN33" s="85"/>
      <c r="LO33" s="85"/>
      <c r="LP33" s="85"/>
      <c r="LQ33" s="85"/>
      <c r="LR33" s="85"/>
      <c r="LS33" s="85"/>
      <c r="LT33" s="85"/>
      <c r="LU33" s="85"/>
      <c r="LV33" s="85"/>
      <c r="LW33" s="85"/>
      <c r="LX33" s="85"/>
      <c r="LY33" s="85"/>
      <c r="LZ33" s="85"/>
      <c r="MA33" s="85"/>
      <c r="MB33" s="85"/>
      <c r="MC33" s="85"/>
      <c r="MD33" s="85"/>
      <c r="ME33" s="85"/>
      <c r="MF33" s="85"/>
      <c r="MG33" s="85"/>
      <c r="MH33" s="85"/>
      <c r="MI33" s="85"/>
      <c r="MJ33" s="85"/>
      <c r="MK33" s="85"/>
      <c r="ML33" s="85"/>
      <c r="MM33" s="85"/>
      <c r="MN33" s="85"/>
      <c r="MO33" s="85"/>
      <c r="MP33" s="85"/>
      <c r="MQ33" s="85"/>
      <c r="MR33" s="85"/>
      <c r="MS33" s="85"/>
      <c r="MT33" s="85"/>
      <c r="MU33" s="85"/>
      <c r="MV33" s="85"/>
      <c r="MW33" s="85"/>
      <c r="MX33" s="85"/>
      <c r="MY33" s="85"/>
      <c r="MZ33" s="85"/>
      <c r="NA33" s="85"/>
      <c r="NB33" s="85"/>
      <c r="NC33" s="85"/>
      <c r="ND33" s="85"/>
      <c r="NE33" s="85"/>
      <c r="NF33" s="85"/>
      <c r="NG33" s="85"/>
      <c r="NH33" s="85"/>
      <c r="NI33" s="85"/>
      <c r="NJ33" s="85"/>
      <c r="NK33" s="85"/>
      <c r="NL33" s="85"/>
      <c r="NM33" s="85"/>
      <c r="NN33" s="85"/>
      <c r="NO33" s="85"/>
      <c r="NP33" s="85"/>
      <c r="NQ33" s="85"/>
      <c r="NR33" s="85"/>
      <c r="NS33" s="85"/>
      <c r="NT33" s="85"/>
      <c r="NU33" s="85"/>
      <c r="NV33" s="85"/>
      <c r="NW33" s="85"/>
      <c r="NX33" s="85"/>
      <c r="NY33" s="85"/>
      <c r="NZ33" s="85"/>
      <c r="OA33" s="85"/>
      <c r="OB33" s="85"/>
      <c r="OC33" s="85"/>
      <c r="OD33" s="85"/>
      <c r="OE33" s="85"/>
      <c r="OF33" s="85"/>
      <c r="OG33" s="85"/>
      <c r="OH33" s="85"/>
      <c r="OI33" s="85"/>
      <c r="OJ33" s="85"/>
      <c r="OK33" s="85"/>
      <c r="OL33" s="85"/>
      <c r="OM33" s="85"/>
      <c r="ON33" s="85"/>
      <c r="OO33" s="85"/>
      <c r="OP33" s="85"/>
      <c r="OQ33" s="85"/>
      <c r="OR33" s="85"/>
      <c r="OS33" s="85"/>
      <c r="OT33" s="85"/>
      <c r="OU33" s="85"/>
      <c r="OV33" s="85"/>
      <c r="OW33" s="85"/>
      <c r="OX33" s="85"/>
      <c r="OY33" s="85"/>
      <c r="OZ33" s="85"/>
      <c r="PA33" s="85"/>
      <c r="PB33" s="85"/>
      <c r="PC33" s="85"/>
      <c r="PD33" s="85"/>
      <c r="PE33" s="85"/>
      <c r="PF33" s="85"/>
      <c r="PG33" s="85"/>
      <c r="PH33" s="85"/>
      <c r="PI33" s="85"/>
      <c r="PJ33" s="85"/>
      <c r="PK33" s="85"/>
      <c r="PL33" s="85"/>
      <c r="PM33" s="85"/>
      <c r="PN33" s="85"/>
      <c r="PO33" s="85"/>
      <c r="PP33" s="85"/>
      <c r="PQ33" s="85"/>
      <c r="PR33" s="85"/>
      <c r="PS33" s="85"/>
      <c r="PT33" s="85"/>
      <c r="PU33" s="85"/>
      <c r="PV33" s="85"/>
      <c r="PW33" s="85"/>
      <c r="PX33" s="85"/>
      <c r="PY33" s="85"/>
      <c r="PZ33" s="85"/>
      <c r="QA33" s="85"/>
      <c r="QB33" s="85"/>
      <c r="QC33" s="85"/>
      <c r="QD33" s="85"/>
      <c r="QE33" s="85"/>
      <c r="QF33" s="85"/>
      <c r="QG33" s="85"/>
      <c r="QH33" s="85"/>
      <c r="QI33" s="85"/>
      <c r="QJ33" s="85"/>
      <c r="QK33" s="85"/>
      <c r="QL33" s="85"/>
      <c r="QM33" s="85"/>
      <c r="QN33" s="85"/>
      <c r="QO33" s="85"/>
      <c r="QP33" s="85"/>
      <c r="QQ33" s="85"/>
      <c r="QR33" s="85"/>
      <c r="QS33" s="85"/>
      <c r="QT33" s="85"/>
      <c r="QU33" s="85"/>
      <c r="QV33" s="85"/>
      <c r="QW33" s="85"/>
      <c r="QX33" s="85"/>
      <c r="QY33" s="85"/>
      <c r="QZ33" s="85"/>
      <c r="RA33" s="85"/>
      <c r="RB33" s="85"/>
      <c r="RC33" s="85"/>
      <c r="RD33" s="85"/>
      <c r="RE33" s="85"/>
      <c r="RF33" s="85"/>
      <c r="RG33" s="85"/>
      <c r="RH33" s="85"/>
      <c r="RI33" s="85"/>
      <c r="RJ33" s="85"/>
      <c r="RK33" s="85"/>
      <c r="RL33" s="85"/>
      <c r="RM33" s="85"/>
      <c r="RN33" s="85"/>
      <c r="RO33" s="85"/>
      <c r="RP33" s="85"/>
      <c r="RQ33" s="85"/>
      <c r="RR33" s="85"/>
      <c r="RS33" s="85"/>
      <c r="RT33" s="85"/>
      <c r="RU33" s="85"/>
      <c r="RV33" s="85"/>
      <c r="RW33" s="85"/>
      <c r="RX33" s="85"/>
      <c r="RY33" s="85"/>
      <c r="RZ33" s="85"/>
      <c r="SA33" s="85"/>
      <c r="SB33" s="85"/>
      <c r="SC33" s="85"/>
      <c r="SD33" s="85"/>
      <c r="SE33" s="85"/>
      <c r="SF33" s="85"/>
      <c r="SG33" s="85"/>
      <c r="SH33" s="85"/>
      <c r="SI33" s="85"/>
      <c r="SJ33" s="85"/>
      <c r="SK33" s="85"/>
      <c r="SL33" s="85"/>
      <c r="SM33" s="85"/>
      <c r="SN33" s="85"/>
      <c r="SO33" s="85"/>
      <c r="SP33" s="85"/>
      <c r="SQ33" s="85"/>
      <c r="SR33" s="85"/>
      <c r="SS33" s="85"/>
      <c r="ST33" s="85"/>
      <c r="SU33" s="85"/>
      <c r="SV33" s="85"/>
      <c r="SW33" s="85"/>
      <c r="SX33" s="85"/>
      <c r="SY33" s="85"/>
      <c r="SZ33" s="85"/>
      <c r="TA33" s="85"/>
      <c r="TB33" s="85"/>
      <c r="TC33" s="85"/>
      <c r="TD33" s="85"/>
      <c r="TE33" s="85"/>
      <c r="TF33" s="85"/>
      <c r="TG33" s="85"/>
      <c r="TH33" s="85"/>
      <c r="TI33" s="85"/>
      <c r="TJ33" s="85"/>
      <c r="TK33" s="85"/>
      <c r="TL33" s="85"/>
      <c r="TM33" s="85"/>
      <c r="TN33" s="85"/>
      <c r="TO33" s="85"/>
      <c r="TP33" s="85"/>
      <c r="TQ33" s="85"/>
      <c r="TR33" s="85"/>
      <c r="TS33" s="85"/>
      <c r="TT33" s="85"/>
      <c r="TU33" s="85"/>
      <c r="TV33" s="85"/>
      <c r="TW33" s="85"/>
      <c r="TX33" s="85"/>
      <c r="TY33" s="85"/>
      <c r="TZ33" s="85"/>
      <c r="UA33" s="85"/>
      <c r="UB33" s="85"/>
      <c r="UC33" s="85"/>
      <c r="UD33" s="85"/>
      <c r="UE33" s="85"/>
      <c r="UF33" s="85"/>
      <c r="UG33" s="85"/>
      <c r="UH33" s="85"/>
      <c r="UI33" s="85"/>
      <c r="UJ33" s="85"/>
      <c r="UK33" s="85"/>
      <c r="UL33" s="85"/>
      <c r="UM33" s="85"/>
      <c r="UN33" s="85"/>
      <c r="UO33" s="85"/>
      <c r="UP33" s="85"/>
      <c r="UQ33" s="85"/>
      <c r="UR33" s="85"/>
      <c r="US33" s="85"/>
      <c r="UT33" s="85"/>
      <c r="UU33" s="85"/>
      <c r="UV33" s="85"/>
      <c r="UW33" s="85"/>
      <c r="UX33" s="85"/>
      <c r="UY33" s="85"/>
      <c r="UZ33" s="85"/>
      <c r="VA33" s="85"/>
      <c r="VB33" s="85"/>
      <c r="VC33" s="85"/>
      <c r="VD33" s="85"/>
      <c r="VE33" s="85"/>
      <c r="VF33" s="85"/>
      <c r="VG33" s="85"/>
      <c r="VH33" s="85"/>
      <c r="VI33" s="85"/>
      <c r="VJ33" s="85"/>
      <c r="VK33" s="85"/>
      <c r="VL33" s="85"/>
      <c r="VM33" s="85"/>
      <c r="VN33" s="85"/>
      <c r="VO33" s="85"/>
      <c r="VP33" s="85"/>
      <c r="VQ33" s="85"/>
      <c r="VR33" s="85"/>
      <c r="VS33" s="85"/>
      <c r="VT33" s="85"/>
      <c r="VU33" s="85"/>
      <c r="VV33" s="85"/>
      <c r="VW33" s="85"/>
      <c r="VX33" s="85"/>
      <c r="VY33" s="85"/>
      <c r="VZ33" s="85"/>
      <c r="WA33" s="85"/>
      <c r="WB33" s="85"/>
      <c r="WC33" s="85"/>
      <c r="WD33" s="85"/>
      <c r="WE33" s="85"/>
      <c r="WF33" s="85"/>
      <c r="WG33" s="85"/>
      <c r="WH33" s="85"/>
      <c r="WI33" s="85"/>
      <c r="WJ33" s="85"/>
      <c r="WK33" s="85"/>
      <c r="WL33" s="85"/>
      <c r="WM33" s="85"/>
      <c r="WN33" s="85"/>
      <c r="WO33" s="85"/>
      <c r="WP33" s="85"/>
      <c r="WQ33" s="85"/>
      <c r="WR33" s="85"/>
      <c r="WS33" s="85"/>
      <c r="WT33" s="85"/>
      <c r="WU33" s="85"/>
      <c r="WV33" s="85"/>
      <c r="WW33" s="85"/>
      <c r="WX33" s="85"/>
      <c r="WY33" s="85"/>
      <c r="WZ33" s="85"/>
      <c r="XA33" s="85"/>
      <c r="XB33" s="85"/>
      <c r="XC33" s="85"/>
      <c r="XD33" s="85"/>
      <c r="XE33" s="85"/>
      <c r="XF33" s="85"/>
      <c r="XG33" s="85"/>
      <c r="XH33" s="85"/>
      <c r="XI33" s="85"/>
      <c r="XJ33" s="85"/>
      <c r="XK33" s="85"/>
      <c r="XL33" s="85"/>
      <c r="XM33" s="85"/>
      <c r="XN33" s="85"/>
      <c r="XO33" s="85"/>
      <c r="XP33" s="85"/>
      <c r="XQ33" s="85"/>
      <c r="XR33" s="85"/>
      <c r="XS33" s="85"/>
      <c r="XT33" s="85"/>
      <c r="XU33" s="85"/>
      <c r="XV33" s="85"/>
      <c r="XW33" s="85"/>
      <c r="XX33" s="85"/>
      <c r="XY33" s="85"/>
      <c r="XZ33" s="85"/>
      <c r="YA33" s="85"/>
      <c r="YB33" s="85"/>
      <c r="YC33" s="85"/>
      <c r="YD33" s="85"/>
      <c r="YE33" s="85"/>
      <c r="YF33" s="85"/>
      <c r="YG33" s="85"/>
      <c r="YH33" s="85"/>
      <c r="YI33" s="85"/>
      <c r="YJ33" s="85"/>
      <c r="YK33" s="85"/>
      <c r="YL33" s="85"/>
      <c r="YM33" s="85"/>
      <c r="YN33" s="85"/>
      <c r="YO33" s="85"/>
      <c r="YP33" s="85"/>
      <c r="YQ33" s="85"/>
      <c r="YR33" s="85"/>
      <c r="YS33" s="85"/>
      <c r="YT33" s="85"/>
      <c r="YU33" s="85"/>
      <c r="YV33" s="85"/>
      <c r="YW33" s="85"/>
      <c r="YX33" s="85"/>
      <c r="YY33" s="85"/>
      <c r="YZ33" s="85"/>
      <c r="ZA33" s="85"/>
      <c r="ZB33" s="85"/>
      <c r="ZC33" s="85"/>
      <c r="ZD33" s="85"/>
      <c r="ZE33" s="85"/>
      <c r="ZF33" s="85"/>
      <c r="ZG33" s="85"/>
      <c r="ZH33" s="85"/>
      <c r="ZI33" s="85"/>
      <c r="ZJ33" s="85"/>
      <c r="ZK33" s="85"/>
      <c r="ZL33" s="85"/>
      <c r="ZM33" s="85"/>
      <c r="ZN33" s="85"/>
      <c r="ZO33" s="85"/>
      <c r="ZP33" s="85"/>
      <c r="ZQ33" s="85"/>
      <c r="ZR33" s="85"/>
      <c r="ZS33" s="85"/>
      <c r="ZT33" s="85"/>
      <c r="ZU33" s="85"/>
      <c r="ZV33" s="85"/>
      <c r="ZW33" s="85"/>
      <c r="ZX33" s="85"/>
      <c r="ZY33" s="85"/>
      <c r="ZZ33" s="85"/>
      <c r="AAA33" s="85"/>
      <c r="AAB33" s="85"/>
      <c r="AAC33" s="85"/>
      <c r="AAD33" s="85"/>
      <c r="AAE33" s="85"/>
      <c r="AAF33" s="85"/>
      <c r="AAG33" s="85"/>
      <c r="AAH33" s="85"/>
      <c r="AAI33" s="85"/>
      <c r="AAJ33" s="85"/>
      <c r="AAK33" s="85"/>
      <c r="AAL33" s="85"/>
      <c r="AAM33" s="85"/>
      <c r="AAN33" s="85"/>
      <c r="AAO33" s="85"/>
      <c r="AAP33" s="85"/>
      <c r="AAQ33" s="85"/>
      <c r="AAR33" s="85"/>
      <c r="AAS33" s="85"/>
      <c r="AAT33" s="85"/>
      <c r="AAU33" s="85"/>
      <c r="AAV33" s="85"/>
      <c r="AAW33" s="85"/>
      <c r="AAX33" s="85"/>
      <c r="AAY33" s="85"/>
      <c r="AAZ33" s="85"/>
      <c r="ABA33" s="85"/>
      <c r="ABB33" s="85"/>
      <c r="ABC33" s="85"/>
      <c r="ABD33" s="85"/>
      <c r="ABE33" s="85"/>
      <c r="ABF33" s="85"/>
      <c r="ABG33" s="85"/>
      <c r="ABH33" s="85"/>
      <c r="ABI33" s="85"/>
      <c r="ABJ33" s="85"/>
      <c r="ABK33" s="85"/>
      <c r="ABL33" s="85"/>
      <c r="ABM33" s="85"/>
      <c r="ABN33" s="85"/>
      <c r="ABO33" s="85"/>
      <c r="ABP33" s="85"/>
      <c r="ABQ33" s="85"/>
      <c r="ABR33" s="85"/>
      <c r="ABS33" s="85"/>
      <c r="ABT33" s="85"/>
      <c r="ABU33" s="85"/>
      <c r="ABV33" s="85"/>
      <c r="ABW33" s="85"/>
      <c r="ABX33" s="85"/>
      <c r="ABY33" s="85"/>
      <c r="ABZ33" s="85"/>
      <c r="ACA33" s="85"/>
      <c r="ACB33" s="85"/>
      <c r="ACC33" s="85"/>
      <c r="ACD33" s="85"/>
      <c r="ACE33" s="85"/>
      <c r="ACF33" s="85"/>
      <c r="ACG33" s="85"/>
      <c r="ACH33" s="85"/>
      <c r="ACI33" s="85"/>
      <c r="ACJ33" s="85"/>
      <c r="ACK33" s="85"/>
      <c r="ACL33" s="85"/>
      <c r="ACM33" s="85"/>
      <c r="ACN33" s="85"/>
      <c r="ACO33" s="85"/>
      <c r="ACP33" s="85"/>
      <c r="ACQ33" s="85"/>
      <c r="ACR33" s="85"/>
      <c r="ACS33" s="85"/>
      <c r="ACT33" s="85"/>
      <c r="ACU33" s="85"/>
      <c r="ACV33" s="85"/>
      <c r="ACW33" s="85"/>
      <c r="ACX33" s="85"/>
      <c r="ACY33" s="85"/>
      <c r="ACZ33" s="85"/>
      <c r="ADA33" s="85"/>
      <c r="ADB33" s="85"/>
      <c r="ADC33" s="85"/>
      <c r="ADD33" s="85"/>
      <c r="ADE33" s="85"/>
      <c r="ADF33" s="85"/>
      <c r="ADG33" s="85"/>
      <c r="ADH33" s="85"/>
      <c r="ADI33" s="85"/>
      <c r="ADJ33" s="85"/>
      <c r="ADK33" s="85"/>
      <c r="ADL33" s="85"/>
      <c r="ADM33" s="85"/>
      <c r="ADN33" s="85"/>
      <c r="ADO33" s="85"/>
      <c r="ADP33" s="85"/>
      <c r="ADQ33" s="85"/>
      <c r="ADR33" s="85"/>
      <c r="ADS33" s="85"/>
      <c r="ADT33" s="85"/>
      <c r="ADU33" s="85"/>
      <c r="ADV33" s="85"/>
      <c r="ADW33" s="85"/>
      <c r="ADX33" s="85"/>
      <c r="ADY33" s="85"/>
      <c r="ADZ33" s="85"/>
      <c r="AEA33" s="85"/>
      <c r="AEB33" s="85"/>
      <c r="AEC33" s="85"/>
      <c r="AED33" s="85"/>
      <c r="AEE33" s="85"/>
      <c r="AEF33" s="85"/>
      <c r="AEG33" s="85"/>
      <c r="AEH33" s="85"/>
      <c r="AEI33" s="85"/>
      <c r="AEJ33" s="85"/>
      <c r="AEK33" s="85"/>
      <c r="AEL33" s="85"/>
      <c r="AEM33" s="85"/>
      <c r="AEN33" s="85"/>
      <c r="AEO33" s="85"/>
      <c r="AEP33" s="85"/>
      <c r="AEQ33" s="85"/>
      <c r="AER33" s="85"/>
      <c r="AES33" s="85"/>
      <c r="AET33" s="85"/>
      <c r="AEU33" s="85"/>
      <c r="AEV33" s="85"/>
      <c r="AEW33" s="85"/>
      <c r="AEX33" s="85"/>
      <c r="AEY33" s="85"/>
      <c r="AEZ33" s="85"/>
      <c r="AFA33" s="85"/>
      <c r="AFB33" s="85"/>
      <c r="AFC33" s="85"/>
      <c r="AFD33" s="85"/>
      <c r="AFE33" s="85"/>
      <c r="AFF33" s="85"/>
      <c r="AFG33" s="85"/>
      <c r="AFH33" s="85"/>
      <c r="AFI33" s="85"/>
      <c r="AFJ33" s="85"/>
      <c r="AFK33" s="85"/>
      <c r="AFL33" s="85"/>
      <c r="AFM33" s="85"/>
      <c r="AFN33" s="85"/>
      <c r="AFO33" s="85"/>
      <c r="AFP33" s="85"/>
      <c r="AFQ33" s="85"/>
      <c r="AFR33" s="85"/>
      <c r="AFS33" s="85"/>
      <c r="AFT33" s="85"/>
      <c r="AFU33" s="85"/>
      <c r="AFV33" s="85"/>
      <c r="AFW33" s="85"/>
      <c r="AFX33" s="85"/>
      <c r="AFY33" s="85"/>
      <c r="AFZ33" s="85"/>
      <c r="AGA33" s="85"/>
      <c r="AGB33" s="85"/>
      <c r="AGC33" s="85"/>
      <c r="AGD33" s="85"/>
      <c r="AGE33" s="85"/>
      <c r="AGF33" s="85"/>
      <c r="AGG33" s="85"/>
      <c r="AGH33" s="85"/>
      <c r="AGI33" s="85"/>
      <c r="AGJ33" s="85"/>
      <c r="AGK33" s="85"/>
      <c r="AGL33" s="85"/>
      <c r="AGM33" s="85"/>
      <c r="AGN33" s="85"/>
      <c r="AGO33" s="85"/>
      <c r="AGP33" s="85"/>
      <c r="AGQ33" s="85"/>
      <c r="AGR33" s="85"/>
      <c r="AGS33" s="85"/>
      <c r="AGT33" s="85"/>
      <c r="AGU33" s="85"/>
      <c r="AGV33" s="85"/>
      <c r="AGW33" s="85"/>
      <c r="AGX33" s="85"/>
      <c r="AGY33" s="85"/>
      <c r="AGZ33" s="85"/>
      <c r="AHA33" s="85"/>
      <c r="AHB33" s="85"/>
      <c r="AHC33" s="85"/>
      <c r="AHD33" s="85"/>
      <c r="AHE33" s="85"/>
      <c r="AHF33" s="85"/>
      <c r="AHG33" s="85"/>
      <c r="AHH33" s="85"/>
      <c r="AHI33" s="85"/>
      <c r="AHJ33" s="85"/>
      <c r="AHK33" s="85"/>
      <c r="AHL33" s="85"/>
      <c r="AHM33" s="85"/>
      <c r="AHN33" s="85"/>
      <c r="AHO33" s="85"/>
      <c r="AHP33" s="85"/>
      <c r="AHQ33" s="85"/>
      <c r="AHR33" s="85"/>
      <c r="AHS33" s="85"/>
      <c r="AHT33" s="85"/>
      <c r="AHU33" s="85"/>
      <c r="AHV33" s="85"/>
      <c r="AHW33" s="85"/>
      <c r="AHX33" s="85"/>
      <c r="AHY33" s="85"/>
      <c r="AHZ33" s="85"/>
      <c r="AIA33" s="85"/>
      <c r="AIB33" s="85"/>
      <c r="AIC33" s="85"/>
      <c r="AID33" s="85"/>
      <c r="AIE33" s="85"/>
      <c r="AIF33" s="85"/>
      <c r="AIG33" s="85"/>
      <c r="AIH33" s="85"/>
      <c r="AII33" s="85"/>
      <c r="AIJ33" s="85"/>
      <c r="AIK33" s="85"/>
      <c r="AIL33" s="85"/>
      <c r="AIM33" s="85"/>
      <c r="AIN33" s="85"/>
      <c r="AIO33" s="85"/>
      <c r="AIP33" s="85"/>
      <c r="AIQ33" s="85"/>
      <c r="AIR33" s="85"/>
      <c r="AIS33" s="85"/>
      <c r="AIT33" s="85"/>
      <c r="AIU33" s="85"/>
      <c r="AIV33" s="85"/>
      <c r="AIW33" s="85"/>
      <c r="AIX33" s="85"/>
      <c r="AIY33" s="85"/>
      <c r="AIZ33" s="85"/>
      <c r="AJA33" s="85"/>
      <c r="AJB33" s="85"/>
      <c r="AJC33" s="85"/>
      <c r="AJD33" s="85"/>
      <c r="AJE33" s="85"/>
      <c r="AJF33" s="85"/>
      <c r="AJG33" s="85"/>
      <c r="AJH33" s="85"/>
      <c r="AJI33" s="85"/>
      <c r="AJJ33" s="85"/>
      <c r="AJK33" s="85"/>
      <c r="AJL33" s="85"/>
      <c r="AJM33" s="85"/>
      <c r="AJN33" s="85"/>
      <c r="AJO33" s="85"/>
      <c r="AJP33" s="85"/>
      <c r="AJQ33" s="85"/>
      <c r="AJR33" s="85"/>
      <c r="AJS33" s="85"/>
      <c r="AJT33" s="85"/>
      <c r="AJU33" s="85"/>
      <c r="AJV33" s="85"/>
      <c r="AJW33" s="85"/>
      <c r="AJX33" s="85"/>
      <c r="AJY33" s="85"/>
      <c r="AJZ33" s="85"/>
      <c r="AKA33" s="85"/>
      <c r="AKB33" s="85"/>
      <c r="AKC33" s="85"/>
      <c r="AKD33" s="85"/>
      <c r="AKE33" s="85"/>
      <c r="AKF33" s="85"/>
      <c r="AKG33" s="85"/>
      <c r="AKH33" s="85"/>
      <c r="AKI33" s="85"/>
      <c r="AKJ33" s="85"/>
      <c r="AKK33" s="85"/>
      <c r="AKL33" s="85"/>
      <c r="AKM33" s="85"/>
      <c r="AKN33" s="85"/>
      <c r="AKO33" s="85"/>
      <c r="AKP33" s="85"/>
      <c r="AKQ33" s="85"/>
      <c r="AKR33" s="85"/>
      <c r="AKS33" s="85"/>
      <c r="AKT33" s="85"/>
      <c r="AKU33" s="85"/>
      <c r="AKV33" s="85"/>
      <c r="AKW33" s="85"/>
      <c r="AKX33" s="85"/>
      <c r="AKY33" s="85"/>
      <c r="AKZ33" s="85"/>
      <c r="ALA33" s="85"/>
      <c r="ALB33" s="85"/>
      <c r="ALC33" s="85"/>
      <c r="ALD33" s="85"/>
      <c r="ALE33" s="85"/>
      <c r="ALF33" s="85"/>
      <c r="ALG33" s="85"/>
      <c r="ALH33" s="85"/>
      <c r="ALI33" s="85"/>
      <c r="ALJ33" s="85"/>
      <c r="ALK33" s="85"/>
      <c r="ALL33" s="85"/>
      <c r="ALM33" s="85"/>
      <c r="ALN33" s="85"/>
      <c r="ALO33" s="85"/>
      <c r="ALP33" s="85"/>
      <c r="ALQ33" s="85"/>
      <c r="ALR33" s="85"/>
      <c r="ALS33" s="85"/>
      <c r="ALT33" s="85"/>
      <c r="ALU33" s="85"/>
      <c r="ALV33" s="85"/>
      <c r="ALW33" s="85"/>
      <c r="ALX33" s="85"/>
      <c r="ALY33" s="85"/>
      <c r="ALZ33" s="85"/>
      <c r="AMA33" s="85"/>
      <c r="AMB33" s="85"/>
      <c r="AMC33" s="85"/>
      <c r="AMD33" s="85"/>
      <c r="AME33" s="85"/>
      <c r="AMF33" s="85"/>
      <c r="AMG33" s="85"/>
      <c r="AMH33" s="85"/>
    </row>
    <row r="34" spans="1:1022" s="94" customFormat="1" ht="24" x14ac:dyDescent="0.3">
      <c r="A34" s="85"/>
      <c r="B34" s="86" t="s">
        <v>109</v>
      </c>
      <c r="C34" s="87" t="s">
        <v>577</v>
      </c>
      <c r="D34" s="86" t="s">
        <v>578</v>
      </c>
      <c r="E34" s="86" t="s">
        <v>579</v>
      </c>
      <c r="F34" s="86" t="s">
        <v>484</v>
      </c>
      <c r="G34" s="88" t="s">
        <v>580</v>
      </c>
      <c r="H34" s="89">
        <v>0</v>
      </c>
      <c r="I34" s="85"/>
      <c r="J34" s="85"/>
      <c r="K34" s="85"/>
      <c r="L34" s="85"/>
      <c r="M34" s="85"/>
      <c r="N34" s="85"/>
      <c r="O34" s="85"/>
      <c r="P34" s="85"/>
      <c r="Q34" s="85"/>
      <c r="R34" s="85"/>
      <c r="S34" s="85"/>
      <c r="T34" s="91"/>
      <c r="U34" s="85"/>
      <c r="V34" s="85"/>
      <c r="W34" s="85"/>
      <c r="X34" s="85"/>
      <c r="Y34" s="85"/>
      <c r="Z34" s="85"/>
      <c r="AA34" s="85"/>
      <c r="AB34" s="85"/>
      <c r="AC34" s="85"/>
      <c r="AD34" s="85"/>
      <c r="AE34" s="85"/>
      <c r="AF34" s="85"/>
      <c r="AG34" s="85"/>
      <c r="AH34" s="85"/>
      <c r="AI34" s="85"/>
      <c r="AJ34" s="85"/>
      <c r="AK34" s="85"/>
      <c r="AL34" s="85"/>
      <c r="AM34" s="85"/>
      <c r="AN34" s="85"/>
      <c r="AO34" s="92"/>
      <c r="AP34" s="85"/>
      <c r="AQ34" s="93"/>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c r="CY34" s="85"/>
      <c r="CZ34" s="85"/>
      <c r="DA34" s="85"/>
      <c r="DB34" s="85"/>
      <c r="DC34" s="85"/>
      <c r="DD34" s="85"/>
      <c r="DE34" s="85"/>
      <c r="DF34" s="85"/>
      <c r="DG34" s="85"/>
      <c r="DH34" s="85"/>
      <c r="DI34" s="85"/>
      <c r="DJ34" s="85"/>
      <c r="DK34" s="85"/>
      <c r="DL34" s="85"/>
      <c r="DM34" s="85"/>
      <c r="DN34" s="85"/>
      <c r="DO34" s="85"/>
      <c r="DP34" s="85"/>
      <c r="DQ34" s="85"/>
      <c r="DR34" s="85"/>
      <c r="DS34" s="85"/>
      <c r="DT34" s="85"/>
      <c r="DU34" s="85"/>
      <c r="DV34" s="85"/>
      <c r="DW34" s="85"/>
      <c r="DX34" s="85"/>
      <c r="DY34" s="85"/>
      <c r="DZ34" s="85"/>
      <c r="EA34" s="85"/>
      <c r="EB34" s="85"/>
      <c r="EC34" s="85"/>
      <c r="ED34" s="85"/>
      <c r="EE34" s="85"/>
      <c r="EF34" s="85"/>
      <c r="EG34" s="85"/>
      <c r="EH34" s="85"/>
      <c r="EI34" s="85"/>
      <c r="EJ34" s="85"/>
      <c r="EK34" s="85"/>
      <c r="EL34" s="85"/>
      <c r="EM34" s="85"/>
      <c r="EN34" s="85"/>
      <c r="EO34" s="85"/>
      <c r="EP34" s="85"/>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5"/>
      <c r="FO34" s="85"/>
      <c r="FP34" s="85"/>
      <c r="FQ34" s="85"/>
      <c r="FR34" s="85"/>
      <c r="FS34" s="85"/>
      <c r="FT34" s="85"/>
      <c r="FU34" s="85"/>
      <c r="FV34" s="85"/>
      <c r="FW34" s="85"/>
      <c r="FX34" s="85"/>
      <c r="FY34" s="85"/>
      <c r="FZ34" s="85"/>
      <c r="GA34" s="85"/>
      <c r="GB34" s="85"/>
      <c r="GC34" s="85"/>
      <c r="GD34" s="85"/>
      <c r="GE34" s="85"/>
      <c r="GF34" s="85"/>
      <c r="GG34" s="85"/>
      <c r="GH34" s="85"/>
      <c r="GI34" s="85"/>
      <c r="GJ34" s="85"/>
      <c r="GK34" s="85"/>
      <c r="GL34" s="85"/>
      <c r="GM34" s="85"/>
      <c r="GN34" s="85"/>
      <c r="GO34" s="85"/>
      <c r="GP34" s="85"/>
      <c r="GQ34" s="85"/>
      <c r="GR34" s="85"/>
      <c r="GS34" s="85"/>
      <c r="GT34" s="85"/>
      <c r="GU34" s="85"/>
      <c r="GV34" s="85"/>
      <c r="GW34" s="85"/>
      <c r="GX34" s="85"/>
      <c r="GY34" s="85"/>
      <c r="GZ34" s="85"/>
      <c r="HA34" s="85"/>
      <c r="HB34" s="85"/>
      <c r="HC34" s="85"/>
      <c r="HD34" s="85"/>
      <c r="HE34" s="85"/>
      <c r="HF34" s="85"/>
      <c r="HG34" s="85"/>
      <c r="HH34" s="85"/>
      <c r="HI34" s="85"/>
      <c r="HJ34" s="85"/>
      <c r="HK34" s="85"/>
      <c r="HL34" s="85"/>
      <c r="HM34" s="85"/>
      <c r="HN34" s="85"/>
      <c r="HO34" s="85"/>
      <c r="HP34" s="85"/>
      <c r="HQ34" s="85"/>
      <c r="HR34" s="85"/>
      <c r="HS34" s="85"/>
      <c r="HT34" s="85"/>
      <c r="HU34" s="85"/>
      <c r="HV34" s="85"/>
      <c r="HW34" s="85"/>
      <c r="HX34" s="85"/>
      <c r="HY34" s="85"/>
      <c r="HZ34" s="85"/>
      <c r="IA34" s="85"/>
      <c r="IB34" s="85"/>
      <c r="IC34" s="85"/>
      <c r="ID34" s="85"/>
      <c r="IE34" s="85"/>
      <c r="IF34" s="85"/>
      <c r="IG34" s="85"/>
      <c r="IH34" s="85"/>
      <c r="II34" s="85"/>
      <c r="IJ34" s="85"/>
      <c r="IK34" s="85"/>
      <c r="IL34" s="85"/>
      <c r="IM34" s="85"/>
      <c r="IN34" s="85"/>
      <c r="IO34" s="85"/>
      <c r="IP34" s="85"/>
      <c r="IQ34" s="85"/>
      <c r="IR34" s="85"/>
      <c r="IS34" s="85"/>
      <c r="IT34" s="85"/>
      <c r="IU34" s="85"/>
      <c r="IV34" s="85"/>
      <c r="IW34" s="85"/>
      <c r="IX34" s="85"/>
      <c r="IY34" s="85"/>
      <c r="IZ34" s="85"/>
      <c r="JA34" s="85"/>
      <c r="JB34" s="85"/>
      <c r="JC34" s="85"/>
      <c r="JD34" s="85"/>
      <c r="JE34" s="85"/>
      <c r="JF34" s="85"/>
      <c r="JG34" s="85"/>
      <c r="JH34" s="85"/>
      <c r="JI34" s="85"/>
      <c r="JJ34" s="85"/>
      <c r="JK34" s="85"/>
      <c r="JL34" s="85"/>
      <c r="JM34" s="85"/>
      <c r="JN34" s="85"/>
      <c r="JO34" s="85"/>
      <c r="JP34" s="85"/>
      <c r="JQ34" s="85"/>
      <c r="JR34" s="85"/>
      <c r="JS34" s="85"/>
      <c r="JT34" s="85"/>
      <c r="JU34" s="85"/>
      <c r="JV34" s="85"/>
      <c r="JW34" s="85"/>
      <c r="JX34" s="85"/>
      <c r="JY34" s="85"/>
      <c r="JZ34" s="85"/>
      <c r="KA34" s="85"/>
      <c r="KB34" s="85"/>
      <c r="KC34" s="85"/>
      <c r="KD34" s="85"/>
      <c r="KE34" s="85"/>
      <c r="KF34" s="85"/>
      <c r="KG34" s="85"/>
      <c r="KH34" s="85"/>
      <c r="KI34" s="85"/>
      <c r="KJ34" s="85"/>
      <c r="KK34" s="85"/>
      <c r="KL34" s="85"/>
      <c r="KM34" s="85"/>
      <c r="KN34" s="85"/>
      <c r="KO34" s="85"/>
      <c r="KP34" s="85"/>
      <c r="KQ34" s="85"/>
      <c r="KR34" s="85"/>
      <c r="KS34" s="85"/>
      <c r="KT34" s="85"/>
      <c r="KU34" s="85"/>
      <c r="KV34" s="85"/>
      <c r="KW34" s="85"/>
      <c r="KX34" s="85"/>
      <c r="KY34" s="85"/>
      <c r="KZ34" s="85"/>
      <c r="LA34" s="85"/>
      <c r="LB34" s="85"/>
      <c r="LC34" s="85"/>
      <c r="LD34" s="85"/>
      <c r="LE34" s="85"/>
      <c r="LF34" s="85"/>
      <c r="LG34" s="85"/>
      <c r="LH34" s="85"/>
      <c r="LI34" s="85"/>
      <c r="LJ34" s="85"/>
      <c r="LK34" s="85"/>
      <c r="LL34" s="85"/>
      <c r="LM34" s="85"/>
      <c r="LN34" s="85"/>
      <c r="LO34" s="85"/>
      <c r="LP34" s="85"/>
      <c r="LQ34" s="85"/>
      <c r="LR34" s="85"/>
      <c r="LS34" s="85"/>
      <c r="LT34" s="85"/>
      <c r="LU34" s="85"/>
      <c r="LV34" s="85"/>
      <c r="LW34" s="85"/>
      <c r="LX34" s="85"/>
      <c r="LY34" s="85"/>
      <c r="LZ34" s="85"/>
      <c r="MA34" s="85"/>
      <c r="MB34" s="85"/>
      <c r="MC34" s="85"/>
      <c r="MD34" s="85"/>
      <c r="ME34" s="85"/>
      <c r="MF34" s="85"/>
      <c r="MG34" s="85"/>
      <c r="MH34" s="85"/>
      <c r="MI34" s="85"/>
      <c r="MJ34" s="85"/>
      <c r="MK34" s="85"/>
      <c r="ML34" s="85"/>
      <c r="MM34" s="85"/>
      <c r="MN34" s="85"/>
      <c r="MO34" s="85"/>
      <c r="MP34" s="85"/>
      <c r="MQ34" s="85"/>
      <c r="MR34" s="85"/>
      <c r="MS34" s="85"/>
      <c r="MT34" s="85"/>
      <c r="MU34" s="85"/>
      <c r="MV34" s="85"/>
      <c r="MW34" s="85"/>
      <c r="MX34" s="85"/>
      <c r="MY34" s="85"/>
      <c r="MZ34" s="85"/>
      <c r="NA34" s="85"/>
      <c r="NB34" s="85"/>
      <c r="NC34" s="85"/>
      <c r="ND34" s="85"/>
      <c r="NE34" s="85"/>
      <c r="NF34" s="85"/>
      <c r="NG34" s="85"/>
      <c r="NH34" s="85"/>
      <c r="NI34" s="85"/>
      <c r="NJ34" s="85"/>
      <c r="NK34" s="85"/>
      <c r="NL34" s="85"/>
      <c r="NM34" s="85"/>
      <c r="NN34" s="85"/>
      <c r="NO34" s="85"/>
      <c r="NP34" s="85"/>
      <c r="NQ34" s="85"/>
      <c r="NR34" s="85"/>
      <c r="NS34" s="85"/>
      <c r="NT34" s="85"/>
      <c r="NU34" s="85"/>
      <c r="NV34" s="85"/>
      <c r="NW34" s="85"/>
      <c r="NX34" s="85"/>
      <c r="NY34" s="85"/>
      <c r="NZ34" s="85"/>
      <c r="OA34" s="85"/>
      <c r="OB34" s="85"/>
      <c r="OC34" s="85"/>
      <c r="OD34" s="85"/>
      <c r="OE34" s="85"/>
      <c r="OF34" s="85"/>
      <c r="OG34" s="85"/>
      <c r="OH34" s="85"/>
      <c r="OI34" s="85"/>
      <c r="OJ34" s="85"/>
      <c r="OK34" s="85"/>
      <c r="OL34" s="85"/>
      <c r="OM34" s="85"/>
      <c r="ON34" s="85"/>
      <c r="OO34" s="85"/>
      <c r="OP34" s="85"/>
      <c r="OQ34" s="85"/>
      <c r="OR34" s="85"/>
      <c r="OS34" s="85"/>
      <c r="OT34" s="85"/>
      <c r="OU34" s="85"/>
      <c r="OV34" s="85"/>
      <c r="OW34" s="85"/>
      <c r="OX34" s="85"/>
      <c r="OY34" s="85"/>
      <c r="OZ34" s="85"/>
      <c r="PA34" s="85"/>
      <c r="PB34" s="85"/>
      <c r="PC34" s="85"/>
      <c r="PD34" s="85"/>
      <c r="PE34" s="85"/>
      <c r="PF34" s="85"/>
      <c r="PG34" s="85"/>
      <c r="PH34" s="85"/>
      <c r="PI34" s="85"/>
      <c r="PJ34" s="85"/>
      <c r="PK34" s="85"/>
      <c r="PL34" s="85"/>
      <c r="PM34" s="85"/>
      <c r="PN34" s="85"/>
      <c r="PO34" s="85"/>
      <c r="PP34" s="85"/>
      <c r="PQ34" s="85"/>
      <c r="PR34" s="85"/>
      <c r="PS34" s="85"/>
      <c r="PT34" s="85"/>
      <c r="PU34" s="85"/>
      <c r="PV34" s="85"/>
      <c r="PW34" s="85"/>
      <c r="PX34" s="85"/>
      <c r="PY34" s="85"/>
      <c r="PZ34" s="85"/>
      <c r="QA34" s="85"/>
      <c r="QB34" s="85"/>
      <c r="QC34" s="85"/>
      <c r="QD34" s="85"/>
      <c r="QE34" s="85"/>
      <c r="QF34" s="85"/>
      <c r="QG34" s="85"/>
      <c r="QH34" s="85"/>
      <c r="QI34" s="85"/>
      <c r="QJ34" s="85"/>
      <c r="QK34" s="85"/>
      <c r="QL34" s="85"/>
      <c r="QM34" s="85"/>
      <c r="QN34" s="85"/>
      <c r="QO34" s="85"/>
      <c r="QP34" s="85"/>
      <c r="QQ34" s="85"/>
      <c r="QR34" s="85"/>
      <c r="QS34" s="85"/>
      <c r="QT34" s="85"/>
      <c r="QU34" s="85"/>
      <c r="QV34" s="85"/>
      <c r="QW34" s="85"/>
      <c r="QX34" s="85"/>
      <c r="QY34" s="85"/>
      <c r="QZ34" s="85"/>
      <c r="RA34" s="85"/>
      <c r="RB34" s="85"/>
      <c r="RC34" s="85"/>
      <c r="RD34" s="85"/>
      <c r="RE34" s="85"/>
      <c r="RF34" s="85"/>
      <c r="RG34" s="85"/>
      <c r="RH34" s="85"/>
      <c r="RI34" s="85"/>
      <c r="RJ34" s="85"/>
      <c r="RK34" s="85"/>
      <c r="RL34" s="85"/>
      <c r="RM34" s="85"/>
      <c r="RN34" s="85"/>
      <c r="RO34" s="85"/>
      <c r="RP34" s="85"/>
      <c r="RQ34" s="85"/>
      <c r="RR34" s="85"/>
      <c r="RS34" s="85"/>
      <c r="RT34" s="85"/>
      <c r="RU34" s="85"/>
      <c r="RV34" s="85"/>
      <c r="RW34" s="85"/>
      <c r="RX34" s="85"/>
      <c r="RY34" s="85"/>
      <c r="RZ34" s="85"/>
      <c r="SA34" s="85"/>
      <c r="SB34" s="85"/>
      <c r="SC34" s="85"/>
      <c r="SD34" s="85"/>
      <c r="SE34" s="85"/>
      <c r="SF34" s="85"/>
      <c r="SG34" s="85"/>
      <c r="SH34" s="85"/>
      <c r="SI34" s="85"/>
      <c r="SJ34" s="85"/>
      <c r="SK34" s="85"/>
      <c r="SL34" s="85"/>
      <c r="SM34" s="85"/>
      <c r="SN34" s="85"/>
      <c r="SO34" s="85"/>
      <c r="SP34" s="85"/>
      <c r="SQ34" s="85"/>
      <c r="SR34" s="85"/>
      <c r="SS34" s="85"/>
      <c r="ST34" s="85"/>
      <c r="SU34" s="85"/>
      <c r="SV34" s="85"/>
      <c r="SW34" s="85"/>
      <c r="SX34" s="85"/>
      <c r="SY34" s="85"/>
      <c r="SZ34" s="85"/>
      <c r="TA34" s="85"/>
      <c r="TB34" s="85"/>
      <c r="TC34" s="85"/>
      <c r="TD34" s="85"/>
      <c r="TE34" s="85"/>
      <c r="TF34" s="85"/>
      <c r="TG34" s="85"/>
      <c r="TH34" s="85"/>
      <c r="TI34" s="85"/>
      <c r="TJ34" s="85"/>
      <c r="TK34" s="85"/>
      <c r="TL34" s="85"/>
      <c r="TM34" s="85"/>
      <c r="TN34" s="85"/>
      <c r="TO34" s="85"/>
      <c r="TP34" s="85"/>
      <c r="TQ34" s="85"/>
      <c r="TR34" s="85"/>
      <c r="TS34" s="85"/>
      <c r="TT34" s="85"/>
      <c r="TU34" s="85"/>
      <c r="TV34" s="85"/>
      <c r="TW34" s="85"/>
      <c r="TX34" s="85"/>
      <c r="TY34" s="85"/>
      <c r="TZ34" s="85"/>
      <c r="UA34" s="85"/>
      <c r="UB34" s="85"/>
      <c r="UC34" s="85"/>
      <c r="UD34" s="85"/>
      <c r="UE34" s="85"/>
      <c r="UF34" s="85"/>
      <c r="UG34" s="85"/>
      <c r="UH34" s="85"/>
      <c r="UI34" s="85"/>
      <c r="UJ34" s="85"/>
      <c r="UK34" s="85"/>
      <c r="UL34" s="85"/>
      <c r="UM34" s="85"/>
      <c r="UN34" s="85"/>
      <c r="UO34" s="85"/>
      <c r="UP34" s="85"/>
      <c r="UQ34" s="85"/>
      <c r="UR34" s="85"/>
      <c r="US34" s="85"/>
      <c r="UT34" s="85"/>
      <c r="UU34" s="85"/>
      <c r="UV34" s="85"/>
      <c r="UW34" s="85"/>
      <c r="UX34" s="85"/>
      <c r="UY34" s="85"/>
      <c r="UZ34" s="85"/>
      <c r="VA34" s="85"/>
      <c r="VB34" s="85"/>
      <c r="VC34" s="85"/>
      <c r="VD34" s="85"/>
      <c r="VE34" s="85"/>
      <c r="VF34" s="85"/>
      <c r="VG34" s="85"/>
      <c r="VH34" s="85"/>
      <c r="VI34" s="85"/>
      <c r="VJ34" s="85"/>
      <c r="VK34" s="85"/>
      <c r="VL34" s="85"/>
      <c r="VM34" s="85"/>
      <c r="VN34" s="85"/>
      <c r="VO34" s="85"/>
      <c r="VP34" s="85"/>
      <c r="VQ34" s="85"/>
      <c r="VR34" s="85"/>
      <c r="VS34" s="85"/>
      <c r="VT34" s="85"/>
      <c r="VU34" s="85"/>
      <c r="VV34" s="85"/>
      <c r="VW34" s="85"/>
      <c r="VX34" s="85"/>
      <c r="VY34" s="85"/>
      <c r="VZ34" s="85"/>
      <c r="WA34" s="85"/>
      <c r="WB34" s="85"/>
      <c r="WC34" s="85"/>
      <c r="WD34" s="85"/>
      <c r="WE34" s="85"/>
      <c r="WF34" s="85"/>
      <c r="WG34" s="85"/>
      <c r="WH34" s="85"/>
      <c r="WI34" s="85"/>
      <c r="WJ34" s="85"/>
      <c r="WK34" s="85"/>
      <c r="WL34" s="85"/>
      <c r="WM34" s="85"/>
      <c r="WN34" s="85"/>
      <c r="WO34" s="85"/>
      <c r="WP34" s="85"/>
      <c r="WQ34" s="85"/>
      <c r="WR34" s="85"/>
      <c r="WS34" s="85"/>
      <c r="WT34" s="85"/>
      <c r="WU34" s="85"/>
      <c r="WV34" s="85"/>
      <c r="WW34" s="85"/>
      <c r="WX34" s="85"/>
      <c r="WY34" s="85"/>
      <c r="WZ34" s="85"/>
      <c r="XA34" s="85"/>
      <c r="XB34" s="85"/>
      <c r="XC34" s="85"/>
      <c r="XD34" s="85"/>
      <c r="XE34" s="85"/>
      <c r="XF34" s="85"/>
      <c r="XG34" s="85"/>
      <c r="XH34" s="85"/>
      <c r="XI34" s="85"/>
      <c r="XJ34" s="85"/>
      <c r="XK34" s="85"/>
      <c r="XL34" s="85"/>
      <c r="XM34" s="85"/>
      <c r="XN34" s="85"/>
      <c r="XO34" s="85"/>
      <c r="XP34" s="85"/>
      <c r="XQ34" s="85"/>
      <c r="XR34" s="85"/>
      <c r="XS34" s="85"/>
      <c r="XT34" s="85"/>
      <c r="XU34" s="85"/>
      <c r="XV34" s="85"/>
      <c r="XW34" s="85"/>
      <c r="XX34" s="85"/>
      <c r="XY34" s="85"/>
      <c r="XZ34" s="85"/>
      <c r="YA34" s="85"/>
      <c r="YB34" s="85"/>
      <c r="YC34" s="85"/>
      <c r="YD34" s="85"/>
      <c r="YE34" s="85"/>
      <c r="YF34" s="85"/>
      <c r="YG34" s="85"/>
      <c r="YH34" s="85"/>
      <c r="YI34" s="85"/>
      <c r="YJ34" s="85"/>
      <c r="YK34" s="85"/>
      <c r="YL34" s="85"/>
      <c r="YM34" s="85"/>
      <c r="YN34" s="85"/>
      <c r="YO34" s="85"/>
      <c r="YP34" s="85"/>
      <c r="YQ34" s="85"/>
      <c r="YR34" s="85"/>
      <c r="YS34" s="85"/>
      <c r="YT34" s="85"/>
      <c r="YU34" s="85"/>
      <c r="YV34" s="85"/>
      <c r="YW34" s="85"/>
      <c r="YX34" s="85"/>
      <c r="YY34" s="85"/>
      <c r="YZ34" s="85"/>
      <c r="ZA34" s="85"/>
      <c r="ZB34" s="85"/>
      <c r="ZC34" s="85"/>
      <c r="ZD34" s="85"/>
      <c r="ZE34" s="85"/>
      <c r="ZF34" s="85"/>
      <c r="ZG34" s="85"/>
      <c r="ZH34" s="85"/>
      <c r="ZI34" s="85"/>
      <c r="ZJ34" s="85"/>
      <c r="ZK34" s="85"/>
      <c r="ZL34" s="85"/>
      <c r="ZM34" s="85"/>
      <c r="ZN34" s="85"/>
      <c r="ZO34" s="85"/>
      <c r="ZP34" s="85"/>
      <c r="ZQ34" s="85"/>
      <c r="ZR34" s="85"/>
      <c r="ZS34" s="85"/>
      <c r="ZT34" s="85"/>
      <c r="ZU34" s="85"/>
      <c r="ZV34" s="85"/>
      <c r="ZW34" s="85"/>
      <c r="ZX34" s="85"/>
      <c r="ZY34" s="85"/>
      <c r="ZZ34" s="85"/>
      <c r="AAA34" s="85"/>
      <c r="AAB34" s="85"/>
      <c r="AAC34" s="85"/>
      <c r="AAD34" s="85"/>
      <c r="AAE34" s="85"/>
      <c r="AAF34" s="85"/>
      <c r="AAG34" s="85"/>
      <c r="AAH34" s="85"/>
      <c r="AAI34" s="85"/>
      <c r="AAJ34" s="85"/>
      <c r="AAK34" s="85"/>
      <c r="AAL34" s="85"/>
      <c r="AAM34" s="85"/>
      <c r="AAN34" s="85"/>
      <c r="AAO34" s="85"/>
      <c r="AAP34" s="85"/>
      <c r="AAQ34" s="85"/>
      <c r="AAR34" s="85"/>
      <c r="AAS34" s="85"/>
      <c r="AAT34" s="85"/>
      <c r="AAU34" s="85"/>
      <c r="AAV34" s="85"/>
      <c r="AAW34" s="85"/>
      <c r="AAX34" s="85"/>
      <c r="AAY34" s="85"/>
      <c r="AAZ34" s="85"/>
      <c r="ABA34" s="85"/>
      <c r="ABB34" s="85"/>
      <c r="ABC34" s="85"/>
      <c r="ABD34" s="85"/>
      <c r="ABE34" s="85"/>
      <c r="ABF34" s="85"/>
      <c r="ABG34" s="85"/>
      <c r="ABH34" s="85"/>
      <c r="ABI34" s="85"/>
      <c r="ABJ34" s="85"/>
      <c r="ABK34" s="85"/>
      <c r="ABL34" s="85"/>
      <c r="ABM34" s="85"/>
      <c r="ABN34" s="85"/>
      <c r="ABO34" s="85"/>
      <c r="ABP34" s="85"/>
      <c r="ABQ34" s="85"/>
      <c r="ABR34" s="85"/>
      <c r="ABS34" s="85"/>
      <c r="ABT34" s="85"/>
      <c r="ABU34" s="85"/>
      <c r="ABV34" s="85"/>
      <c r="ABW34" s="85"/>
      <c r="ABX34" s="85"/>
      <c r="ABY34" s="85"/>
      <c r="ABZ34" s="85"/>
      <c r="ACA34" s="85"/>
      <c r="ACB34" s="85"/>
      <c r="ACC34" s="85"/>
      <c r="ACD34" s="85"/>
      <c r="ACE34" s="85"/>
      <c r="ACF34" s="85"/>
      <c r="ACG34" s="85"/>
      <c r="ACH34" s="85"/>
      <c r="ACI34" s="85"/>
      <c r="ACJ34" s="85"/>
      <c r="ACK34" s="85"/>
      <c r="ACL34" s="85"/>
      <c r="ACM34" s="85"/>
      <c r="ACN34" s="85"/>
      <c r="ACO34" s="85"/>
      <c r="ACP34" s="85"/>
      <c r="ACQ34" s="85"/>
      <c r="ACR34" s="85"/>
      <c r="ACS34" s="85"/>
      <c r="ACT34" s="85"/>
      <c r="ACU34" s="85"/>
      <c r="ACV34" s="85"/>
      <c r="ACW34" s="85"/>
      <c r="ACX34" s="85"/>
      <c r="ACY34" s="85"/>
      <c r="ACZ34" s="85"/>
      <c r="ADA34" s="85"/>
      <c r="ADB34" s="85"/>
      <c r="ADC34" s="85"/>
      <c r="ADD34" s="85"/>
      <c r="ADE34" s="85"/>
      <c r="ADF34" s="85"/>
      <c r="ADG34" s="85"/>
      <c r="ADH34" s="85"/>
      <c r="ADI34" s="85"/>
      <c r="ADJ34" s="85"/>
      <c r="ADK34" s="85"/>
      <c r="ADL34" s="85"/>
      <c r="ADM34" s="85"/>
      <c r="ADN34" s="85"/>
      <c r="ADO34" s="85"/>
      <c r="ADP34" s="85"/>
      <c r="ADQ34" s="85"/>
      <c r="ADR34" s="85"/>
      <c r="ADS34" s="85"/>
      <c r="ADT34" s="85"/>
      <c r="ADU34" s="85"/>
      <c r="ADV34" s="85"/>
      <c r="ADW34" s="85"/>
      <c r="ADX34" s="85"/>
      <c r="ADY34" s="85"/>
      <c r="ADZ34" s="85"/>
      <c r="AEA34" s="85"/>
      <c r="AEB34" s="85"/>
      <c r="AEC34" s="85"/>
      <c r="AED34" s="85"/>
      <c r="AEE34" s="85"/>
      <c r="AEF34" s="85"/>
      <c r="AEG34" s="85"/>
      <c r="AEH34" s="85"/>
      <c r="AEI34" s="85"/>
      <c r="AEJ34" s="85"/>
      <c r="AEK34" s="85"/>
      <c r="AEL34" s="85"/>
      <c r="AEM34" s="85"/>
      <c r="AEN34" s="85"/>
      <c r="AEO34" s="85"/>
      <c r="AEP34" s="85"/>
      <c r="AEQ34" s="85"/>
      <c r="AER34" s="85"/>
      <c r="AES34" s="85"/>
      <c r="AET34" s="85"/>
      <c r="AEU34" s="85"/>
      <c r="AEV34" s="85"/>
      <c r="AEW34" s="85"/>
      <c r="AEX34" s="85"/>
      <c r="AEY34" s="85"/>
      <c r="AEZ34" s="85"/>
      <c r="AFA34" s="85"/>
      <c r="AFB34" s="85"/>
      <c r="AFC34" s="85"/>
      <c r="AFD34" s="85"/>
      <c r="AFE34" s="85"/>
      <c r="AFF34" s="85"/>
      <c r="AFG34" s="85"/>
      <c r="AFH34" s="85"/>
      <c r="AFI34" s="85"/>
      <c r="AFJ34" s="85"/>
      <c r="AFK34" s="85"/>
      <c r="AFL34" s="85"/>
      <c r="AFM34" s="85"/>
      <c r="AFN34" s="85"/>
      <c r="AFO34" s="85"/>
      <c r="AFP34" s="85"/>
      <c r="AFQ34" s="85"/>
      <c r="AFR34" s="85"/>
      <c r="AFS34" s="85"/>
      <c r="AFT34" s="85"/>
      <c r="AFU34" s="85"/>
      <c r="AFV34" s="85"/>
      <c r="AFW34" s="85"/>
      <c r="AFX34" s="85"/>
      <c r="AFY34" s="85"/>
      <c r="AFZ34" s="85"/>
      <c r="AGA34" s="85"/>
      <c r="AGB34" s="85"/>
      <c r="AGC34" s="85"/>
      <c r="AGD34" s="85"/>
      <c r="AGE34" s="85"/>
      <c r="AGF34" s="85"/>
      <c r="AGG34" s="85"/>
      <c r="AGH34" s="85"/>
      <c r="AGI34" s="85"/>
      <c r="AGJ34" s="85"/>
      <c r="AGK34" s="85"/>
      <c r="AGL34" s="85"/>
      <c r="AGM34" s="85"/>
      <c r="AGN34" s="85"/>
      <c r="AGO34" s="85"/>
      <c r="AGP34" s="85"/>
      <c r="AGQ34" s="85"/>
      <c r="AGR34" s="85"/>
      <c r="AGS34" s="85"/>
      <c r="AGT34" s="85"/>
      <c r="AGU34" s="85"/>
      <c r="AGV34" s="85"/>
      <c r="AGW34" s="85"/>
      <c r="AGX34" s="85"/>
      <c r="AGY34" s="85"/>
      <c r="AGZ34" s="85"/>
      <c r="AHA34" s="85"/>
      <c r="AHB34" s="85"/>
      <c r="AHC34" s="85"/>
      <c r="AHD34" s="85"/>
      <c r="AHE34" s="85"/>
      <c r="AHF34" s="85"/>
      <c r="AHG34" s="85"/>
      <c r="AHH34" s="85"/>
      <c r="AHI34" s="85"/>
      <c r="AHJ34" s="85"/>
      <c r="AHK34" s="85"/>
      <c r="AHL34" s="85"/>
      <c r="AHM34" s="85"/>
      <c r="AHN34" s="85"/>
      <c r="AHO34" s="85"/>
      <c r="AHP34" s="85"/>
      <c r="AHQ34" s="85"/>
      <c r="AHR34" s="85"/>
      <c r="AHS34" s="85"/>
      <c r="AHT34" s="85"/>
      <c r="AHU34" s="85"/>
      <c r="AHV34" s="85"/>
      <c r="AHW34" s="85"/>
      <c r="AHX34" s="85"/>
      <c r="AHY34" s="85"/>
      <c r="AHZ34" s="85"/>
      <c r="AIA34" s="85"/>
      <c r="AIB34" s="85"/>
      <c r="AIC34" s="85"/>
      <c r="AID34" s="85"/>
      <c r="AIE34" s="85"/>
      <c r="AIF34" s="85"/>
      <c r="AIG34" s="85"/>
      <c r="AIH34" s="85"/>
      <c r="AII34" s="85"/>
      <c r="AIJ34" s="85"/>
      <c r="AIK34" s="85"/>
      <c r="AIL34" s="85"/>
      <c r="AIM34" s="85"/>
      <c r="AIN34" s="85"/>
      <c r="AIO34" s="85"/>
      <c r="AIP34" s="85"/>
      <c r="AIQ34" s="85"/>
      <c r="AIR34" s="85"/>
      <c r="AIS34" s="85"/>
      <c r="AIT34" s="85"/>
      <c r="AIU34" s="85"/>
      <c r="AIV34" s="85"/>
      <c r="AIW34" s="85"/>
      <c r="AIX34" s="85"/>
      <c r="AIY34" s="85"/>
      <c r="AIZ34" s="85"/>
      <c r="AJA34" s="85"/>
      <c r="AJB34" s="85"/>
      <c r="AJC34" s="85"/>
      <c r="AJD34" s="85"/>
      <c r="AJE34" s="85"/>
      <c r="AJF34" s="85"/>
      <c r="AJG34" s="85"/>
      <c r="AJH34" s="85"/>
      <c r="AJI34" s="85"/>
      <c r="AJJ34" s="85"/>
      <c r="AJK34" s="85"/>
      <c r="AJL34" s="85"/>
      <c r="AJM34" s="85"/>
      <c r="AJN34" s="85"/>
      <c r="AJO34" s="85"/>
      <c r="AJP34" s="85"/>
      <c r="AJQ34" s="85"/>
      <c r="AJR34" s="85"/>
      <c r="AJS34" s="85"/>
      <c r="AJT34" s="85"/>
      <c r="AJU34" s="85"/>
      <c r="AJV34" s="85"/>
      <c r="AJW34" s="85"/>
      <c r="AJX34" s="85"/>
      <c r="AJY34" s="85"/>
      <c r="AJZ34" s="85"/>
      <c r="AKA34" s="85"/>
      <c r="AKB34" s="85"/>
      <c r="AKC34" s="85"/>
      <c r="AKD34" s="85"/>
      <c r="AKE34" s="85"/>
      <c r="AKF34" s="85"/>
      <c r="AKG34" s="85"/>
      <c r="AKH34" s="85"/>
      <c r="AKI34" s="85"/>
      <c r="AKJ34" s="85"/>
      <c r="AKK34" s="85"/>
      <c r="AKL34" s="85"/>
      <c r="AKM34" s="85"/>
      <c r="AKN34" s="85"/>
      <c r="AKO34" s="85"/>
      <c r="AKP34" s="85"/>
      <c r="AKQ34" s="85"/>
      <c r="AKR34" s="85"/>
      <c r="AKS34" s="85"/>
      <c r="AKT34" s="85"/>
      <c r="AKU34" s="85"/>
      <c r="AKV34" s="85"/>
      <c r="AKW34" s="85"/>
      <c r="AKX34" s="85"/>
      <c r="AKY34" s="85"/>
      <c r="AKZ34" s="85"/>
      <c r="ALA34" s="85"/>
      <c r="ALB34" s="85"/>
      <c r="ALC34" s="85"/>
      <c r="ALD34" s="85"/>
      <c r="ALE34" s="85"/>
      <c r="ALF34" s="85"/>
      <c r="ALG34" s="85"/>
      <c r="ALH34" s="85"/>
      <c r="ALI34" s="85"/>
      <c r="ALJ34" s="85"/>
      <c r="ALK34" s="85"/>
      <c r="ALL34" s="85"/>
      <c r="ALM34" s="85"/>
      <c r="ALN34" s="85"/>
      <c r="ALO34" s="85"/>
      <c r="ALP34" s="85"/>
      <c r="ALQ34" s="85"/>
      <c r="ALR34" s="85"/>
      <c r="ALS34" s="85"/>
      <c r="ALT34" s="85"/>
      <c r="ALU34" s="85"/>
      <c r="ALV34" s="85"/>
      <c r="ALW34" s="85"/>
      <c r="ALX34" s="85"/>
      <c r="ALY34" s="85"/>
      <c r="ALZ34" s="85"/>
      <c r="AMA34" s="85"/>
      <c r="AMB34" s="85"/>
      <c r="AMC34" s="85"/>
      <c r="AMD34" s="85"/>
      <c r="AME34" s="85"/>
      <c r="AMF34" s="85"/>
      <c r="AMG34" s="85"/>
      <c r="AMH34" s="85"/>
    </row>
    <row r="35" spans="1:1022" x14ac:dyDescent="0.3">
      <c r="AO35" s="81"/>
    </row>
  </sheetData>
  <autoFilter ref="A4:AMI34" xr:uid="{00000000-0001-0000-0200-000000000000}"/>
  <pageMargins left="0.70833333333333304" right="0.70833333333333304" top="1.1416666666666699" bottom="1.1416666666666699" header="0.511811023622047" footer="0.511811023622047"/>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R139"/>
  <sheetViews>
    <sheetView zoomScaleNormal="100" workbookViewId="0">
      <selection activeCellId="1" sqref="AC33 A1"/>
    </sheetView>
  </sheetViews>
  <sheetFormatPr defaultColWidth="8.77734375" defaultRowHeight="14.4" x14ac:dyDescent="0.3"/>
  <cols>
    <col min="2" max="2" width="153.109375" customWidth="1"/>
    <col min="3" max="3" width="61.88671875" customWidth="1"/>
    <col min="4" max="4" width="50.6640625" customWidth="1"/>
    <col min="5" max="5" width="53.109375" customWidth="1"/>
    <col min="6" max="7" width="62" customWidth="1"/>
    <col min="8" max="8" width="62" style="59" customWidth="1"/>
    <col min="9" max="44" width="62" customWidth="1"/>
  </cols>
  <sheetData>
    <row r="2" spans="2:44" ht="2.25" customHeight="1" x14ac:dyDescent="0.3"/>
    <row r="3" spans="2:44" ht="23.25" customHeight="1" x14ac:dyDescent="0.3">
      <c r="G3" t="s">
        <v>220</v>
      </c>
      <c r="I3" t="s">
        <v>220</v>
      </c>
      <c r="K3" t="s">
        <v>220</v>
      </c>
      <c r="M3" t="s">
        <v>220</v>
      </c>
      <c r="O3" t="s">
        <v>220</v>
      </c>
      <c r="Q3" t="s">
        <v>221</v>
      </c>
      <c r="S3" t="s">
        <v>221</v>
      </c>
      <c r="U3" t="s">
        <v>221</v>
      </c>
      <c r="W3" t="s">
        <v>221</v>
      </c>
      <c r="Y3" t="s">
        <v>222</v>
      </c>
      <c r="AA3" t="s">
        <v>222</v>
      </c>
      <c r="AC3" t="s">
        <v>222</v>
      </c>
      <c r="AE3" t="s">
        <v>223</v>
      </c>
      <c r="AG3" t="s">
        <v>223</v>
      </c>
      <c r="AI3" t="s">
        <v>223</v>
      </c>
      <c r="AK3" t="s">
        <v>223</v>
      </c>
      <c r="AM3" t="s">
        <v>223</v>
      </c>
      <c r="AO3" t="s">
        <v>224</v>
      </c>
      <c r="AQ3" t="s">
        <v>224</v>
      </c>
    </row>
    <row r="4" spans="2:44" ht="28.8" x14ac:dyDescent="0.3">
      <c r="B4" s="60" t="s">
        <v>73</v>
      </c>
      <c r="C4" s="60" t="s">
        <v>72</v>
      </c>
      <c r="D4" s="60" t="s">
        <v>225</v>
      </c>
      <c r="E4" s="60" t="s">
        <v>75</v>
      </c>
      <c r="F4" s="61" t="s">
        <v>226</v>
      </c>
      <c r="G4" s="62" t="s">
        <v>227</v>
      </c>
      <c r="H4" s="63" t="s">
        <v>228</v>
      </c>
      <c r="I4" s="62" t="s">
        <v>229</v>
      </c>
      <c r="J4" s="63" t="s">
        <v>230</v>
      </c>
      <c r="K4" s="62" t="s">
        <v>231</v>
      </c>
      <c r="L4" s="63" t="s">
        <v>232</v>
      </c>
      <c r="M4" s="62" t="s">
        <v>233</v>
      </c>
      <c r="N4" s="63" t="s">
        <v>234</v>
      </c>
      <c r="O4" s="62" t="s">
        <v>109</v>
      </c>
      <c r="P4" s="63" t="s">
        <v>235</v>
      </c>
      <c r="Q4" s="62" t="s">
        <v>236</v>
      </c>
      <c r="R4" s="63" t="s">
        <v>237</v>
      </c>
      <c r="S4" s="62" t="s">
        <v>238</v>
      </c>
      <c r="T4" s="63" t="s">
        <v>239</v>
      </c>
      <c r="U4" s="62" t="s">
        <v>16</v>
      </c>
      <c r="V4" s="63" t="s">
        <v>240</v>
      </c>
      <c r="W4" s="62" t="s">
        <v>26</v>
      </c>
      <c r="X4" s="63" t="s">
        <v>241</v>
      </c>
      <c r="Y4" s="62" t="s">
        <v>30</v>
      </c>
      <c r="Z4" s="63" t="s">
        <v>242</v>
      </c>
      <c r="AA4" s="62" t="s">
        <v>14</v>
      </c>
      <c r="AB4" s="63" t="s">
        <v>243</v>
      </c>
      <c r="AC4" s="62" t="s">
        <v>19</v>
      </c>
      <c r="AD4" s="63" t="s">
        <v>244</v>
      </c>
      <c r="AE4" s="62" t="s">
        <v>7</v>
      </c>
      <c r="AF4" s="63" t="s">
        <v>245</v>
      </c>
      <c r="AG4" s="62" t="s">
        <v>246</v>
      </c>
      <c r="AH4" s="63" t="s">
        <v>247</v>
      </c>
      <c r="AI4" s="62" t="s">
        <v>11</v>
      </c>
      <c r="AJ4" s="63" t="s">
        <v>248</v>
      </c>
      <c r="AK4" s="62" t="s">
        <v>24</v>
      </c>
      <c r="AL4" s="63" t="s">
        <v>249</v>
      </c>
      <c r="AM4" s="62" t="s">
        <v>28</v>
      </c>
      <c r="AN4" s="63" t="s">
        <v>250</v>
      </c>
      <c r="AO4" s="62" t="s">
        <v>251</v>
      </c>
      <c r="AP4" s="63" t="s">
        <v>252</v>
      </c>
      <c r="AQ4" s="62" t="s">
        <v>33</v>
      </c>
      <c r="AR4" s="63" t="s">
        <v>253</v>
      </c>
    </row>
    <row r="5" spans="2:44" x14ac:dyDescent="0.3">
      <c r="B5" s="64" t="s">
        <v>254</v>
      </c>
      <c r="C5" s="64" t="s">
        <v>255</v>
      </c>
      <c r="D5" s="64" t="s">
        <v>256</v>
      </c>
      <c r="E5" s="64" t="s">
        <v>257</v>
      </c>
      <c r="F5" s="65">
        <v>1.35E-2</v>
      </c>
      <c r="G5" s="66">
        <v>3925000</v>
      </c>
      <c r="H5" s="67">
        <v>52987.5</v>
      </c>
      <c r="I5" s="66">
        <v>0</v>
      </c>
      <c r="J5" s="67">
        <v>0</v>
      </c>
      <c r="K5" s="66">
        <v>1850101</v>
      </c>
      <c r="L5" s="67">
        <v>24976.363499999999</v>
      </c>
      <c r="M5" s="66">
        <v>612750</v>
      </c>
      <c r="N5" s="67">
        <v>8272.125</v>
      </c>
      <c r="O5" s="66">
        <v>0</v>
      </c>
      <c r="P5" s="67">
        <v>0</v>
      </c>
      <c r="Q5" s="66">
        <v>5389891.5</v>
      </c>
      <c r="R5" s="67">
        <f t="shared" ref="R5:R36" si="0">Q5*F5</f>
        <v>72763.535250000001</v>
      </c>
      <c r="S5" s="66">
        <v>1689848</v>
      </c>
      <c r="T5" s="67">
        <v>22812.948</v>
      </c>
      <c r="U5" s="66">
        <v>0</v>
      </c>
      <c r="V5" s="67">
        <f t="shared" ref="V5:V36" si="1">U5*F5</f>
        <v>0</v>
      </c>
      <c r="W5" s="66">
        <v>113986</v>
      </c>
      <c r="X5" s="67">
        <v>1538.8109999999999</v>
      </c>
      <c r="Y5" s="66">
        <v>2509074</v>
      </c>
      <c r="Z5" s="67">
        <v>33872.499000000003</v>
      </c>
      <c r="AA5" s="66">
        <v>6700000</v>
      </c>
      <c r="AB5" s="67">
        <v>90450</v>
      </c>
      <c r="AC5" s="66">
        <v>0</v>
      </c>
      <c r="AD5" s="67">
        <v>0</v>
      </c>
      <c r="AE5" s="66">
        <v>45972819.979000002</v>
      </c>
      <c r="AF5" s="67">
        <v>620633.0697165</v>
      </c>
      <c r="AG5" s="66">
        <v>0</v>
      </c>
      <c r="AH5" s="67">
        <v>0</v>
      </c>
      <c r="AI5" s="66">
        <v>3532303</v>
      </c>
      <c r="AJ5" s="67">
        <v>47686.090499999998</v>
      </c>
      <c r="AK5" s="66">
        <v>0</v>
      </c>
      <c r="AL5" s="67">
        <v>0</v>
      </c>
      <c r="AM5" s="66">
        <v>41126</v>
      </c>
      <c r="AN5" s="67">
        <v>555.20100000000002</v>
      </c>
      <c r="AO5" s="66">
        <v>1371402</v>
      </c>
      <c r="AP5" s="67">
        <v>18513.927</v>
      </c>
      <c r="AQ5" s="66">
        <v>277897.63</v>
      </c>
      <c r="AR5" s="67">
        <v>3751.6180049999998</v>
      </c>
    </row>
    <row r="6" spans="2:44" x14ac:dyDescent="0.3">
      <c r="B6" s="64" t="s">
        <v>254</v>
      </c>
      <c r="C6" s="64" t="s">
        <v>258</v>
      </c>
      <c r="D6" s="64" t="s">
        <v>259</v>
      </c>
      <c r="E6" s="64" t="s">
        <v>260</v>
      </c>
      <c r="F6" s="65">
        <v>5.9335077031261702E-2</v>
      </c>
      <c r="G6" s="66">
        <v>0</v>
      </c>
      <c r="H6" s="67">
        <v>0</v>
      </c>
      <c r="I6" s="66">
        <v>0</v>
      </c>
      <c r="J6" s="67">
        <v>0</v>
      </c>
      <c r="K6" s="66">
        <v>0</v>
      </c>
      <c r="L6" s="67">
        <v>0</v>
      </c>
      <c r="M6" s="66">
        <v>0</v>
      </c>
      <c r="N6" s="67">
        <v>0</v>
      </c>
      <c r="O6" s="66">
        <v>0</v>
      </c>
      <c r="P6" s="67">
        <v>0</v>
      </c>
      <c r="Q6" s="66">
        <v>0</v>
      </c>
      <c r="R6" s="67">
        <f t="shared" si="0"/>
        <v>0</v>
      </c>
      <c r="S6" s="66">
        <v>0</v>
      </c>
      <c r="T6" s="67">
        <v>0</v>
      </c>
      <c r="U6" s="66">
        <v>0</v>
      </c>
      <c r="V6" s="67">
        <f t="shared" si="1"/>
        <v>0</v>
      </c>
      <c r="W6" s="66">
        <v>0</v>
      </c>
      <c r="X6" s="67">
        <v>0</v>
      </c>
      <c r="Y6" s="66">
        <v>2506422</v>
      </c>
      <c r="Z6" s="67">
        <v>148718.742442849</v>
      </c>
      <c r="AA6" s="66">
        <v>0</v>
      </c>
      <c r="AB6" s="67">
        <v>0</v>
      </c>
      <c r="AC6" s="66">
        <v>128</v>
      </c>
      <c r="AD6" s="67">
        <v>7.5948898600014996</v>
      </c>
      <c r="AE6" s="66">
        <v>0</v>
      </c>
      <c r="AF6" s="67">
        <v>0</v>
      </c>
      <c r="AG6" s="66">
        <v>0</v>
      </c>
      <c r="AH6" s="67">
        <v>0</v>
      </c>
      <c r="AI6" s="66">
        <v>0</v>
      </c>
      <c r="AJ6" s="67">
        <v>0</v>
      </c>
      <c r="AK6" s="66">
        <v>0</v>
      </c>
      <c r="AL6" s="67">
        <v>0</v>
      </c>
      <c r="AM6" s="66">
        <v>0</v>
      </c>
      <c r="AN6" s="67">
        <v>0</v>
      </c>
      <c r="AO6" s="66">
        <v>3060</v>
      </c>
      <c r="AP6" s="67">
        <v>181.56533571566101</v>
      </c>
      <c r="AQ6" s="66">
        <v>0</v>
      </c>
      <c r="AR6" s="67">
        <v>0</v>
      </c>
    </row>
    <row r="7" spans="2:44" x14ac:dyDescent="0.3">
      <c r="B7" s="64" t="s">
        <v>254</v>
      </c>
      <c r="C7" s="64" t="s">
        <v>261</v>
      </c>
      <c r="D7" s="64" t="s">
        <v>262</v>
      </c>
      <c r="E7" s="64" t="s">
        <v>260</v>
      </c>
      <c r="F7" s="65">
        <v>0.1</v>
      </c>
      <c r="G7" s="66">
        <v>0</v>
      </c>
      <c r="H7" s="67">
        <v>0</v>
      </c>
      <c r="I7" s="66">
        <v>0</v>
      </c>
      <c r="J7" s="67">
        <v>0</v>
      </c>
      <c r="K7" s="66">
        <v>0</v>
      </c>
      <c r="L7" s="67">
        <v>0</v>
      </c>
      <c r="M7" s="66">
        <v>0</v>
      </c>
      <c r="N7" s="67">
        <v>0</v>
      </c>
      <c r="O7" s="66">
        <v>0</v>
      </c>
      <c r="P7" s="67">
        <v>0</v>
      </c>
      <c r="Q7" s="66">
        <v>0</v>
      </c>
      <c r="R7" s="67">
        <f t="shared" si="0"/>
        <v>0</v>
      </c>
      <c r="S7" s="66">
        <v>0</v>
      </c>
      <c r="T7" s="67">
        <v>0</v>
      </c>
      <c r="U7" s="66">
        <v>0</v>
      </c>
      <c r="V7" s="67">
        <f t="shared" si="1"/>
        <v>0</v>
      </c>
      <c r="W7" s="66">
        <v>0</v>
      </c>
      <c r="X7" s="67">
        <v>0</v>
      </c>
      <c r="Y7" s="66">
        <v>20877094</v>
      </c>
      <c r="Z7" s="67">
        <v>2087709.4</v>
      </c>
      <c r="AA7" s="66">
        <v>0</v>
      </c>
      <c r="AB7" s="67">
        <v>0</v>
      </c>
      <c r="AC7" s="66">
        <v>0</v>
      </c>
      <c r="AD7" s="67">
        <v>0</v>
      </c>
      <c r="AE7" s="66">
        <v>0</v>
      </c>
      <c r="AF7" s="67">
        <v>0</v>
      </c>
      <c r="AG7" s="66">
        <v>0</v>
      </c>
      <c r="AH7" s="67">
        <v>0</v>
      </c>
      <c r="AI7" s="66">
        <v>0</v>
      </c>
      <c r="AJ7" s="67">
        <v>0</v>
      </c>
      <c r="AK7" s="66">
        <v>0</v>
      </c>
      <c r="AL7" s="67">
        <v>0</v>
      </c>
      <c r="AM7" s="66">
        <v>0</v>
      </c>
      <c r="AN7" s="67">
        <v>0</v>
      </c>
      <c r="AO7" s="66">
        <v>0</v>
      </c>
      <c r="AP7" s="67">
        <v>0</v>
      </c>
      <c r="AQ7" s="66">
        <v>0</v>
      </c>
      <c r="AR7" s="67">
        <v>0</v>
      </c>
    </row>
    <row r="8" spans="2:44" x14ac:dyDescent="0.3">
      <c r="B8" s="64" t="s">
        <v>254</v>
      </c>
      <c r="C8" s="64" t="s">
        <v>263</v>
      </c>
      <c r="D8" s="64" t="s">
        <v>264</v>
      </c>
      <c r="E8" s="64" t="s">
        <v>260</v>
      </c>
      <c r="F8" s="65">
        <v>0.125</v>
      </c>
      <c r="G8" s="66">
        <v>0</v>
      </c>
      <c r="H8" s="67">
        <v>0</v>
      </c>
      <c r="I8" s="66">
        <v>0</v>
      </c>
      <c r="J8" s="67">
        <v>0</v>
      </c>
      <c r="K8" s="66">
        <v>0</v>
      </c>
      <c r="L8" s="67">
        <v>0</v>
      </c>
      <c r="M8" s="66">
        <v>0</v>
      </c>
      <c r="N8" s="67">
        <v>0</v>
      </c>
      <c r="O8" s="66">
        <v>0</v>
      </c>
      <c r="P8" s="67">
        <v>0</v>
      </c>
      <c r="Q8" s="66">
        <v>0</v>
      </c>
      <c r="R8" s="67">
        <f t="shared" si="0"/>
        <v>0</v>
      </c>
      <c r="S8" s="66">
        <v>212130</v>
      </c>
      <c r="T8" s="67">
        <v>26516.25</v>
      </c>
      <c r="U8" s="66">
        <v>0</v>
      </c>
      <c r="V8" s="67">
        <f t="shared" si="1"/>
        <v>0</v>
      </c>
      <c r="W8" s="66">
        <v>0</v>
      </c>
      <c r="X8" s="67">
        <v>0</v>
      </c>
      <c r="Y8" s="66">
        <v>3286731</v>
      </c>
      <c r="Z8" s="67">
        <v>410841.375</v>
      </c>
      <c r="AA8" s="66">
        <v>0</v>
      </c>
      <c r="AB8" s="67">
        <v>0</v>
      </c>
      <c r="AC8" s="66">
        <v>0</v>
      </c>
      <c r="AD8" s="67">
        <v>0</v>
      </c>
      <c r="AE8" s="66">
        <v>0</v>
      </c>
      <c r="AF8" s="67">
        <v>0</v>
      </c>
      <c r="AG8" s="66">
        <v>0</v>
      </c>
      <c r="AH8" s="67">
        <v>0</v>
      </c>
      <c r="AI8" s="66">
        <v>2465522</v>
      </c>
      <c r="AJ8" s="67">
        <v>308190.25</v>
      </c>
      <c r="AK8" s="66">
        <v>0</v>
      </c>
      <c r="AL8" s="67">
        <v>0</v>
      </c>
      <c r="AM8" s="66">
        <v>0</v>
      </c>
      <c r="AN8" s="67">
        <v>0</v>
      </c>
      <c r="AO8" s="66">
        <v>14183008</v>
      </c>
      <c r="AP8" s="67">
        <v>1772876</v>
      </c>
      <c r="AQ8" s="66">
        <v>3593300</v>
      </c>
      <c r="AR8" s="67">
        <v>449162.5</v>
      </c>
    </row>
    <row r="9" spans="2:44" x14ac:dyDescent="0.3">
      <c r="B9" s="64" t="s">
        <v>254</v>
      </c>
      <c r="C9" s="64" t="s">
        <v>265</v>
      </c>
      <c r="D9" s="64" t="s">
        <v>266</v>
      </c>
      <c r="E9" s="64" t="s">
        <v>260</v>
      </c>
      <c r="F9" s="65">
        <v>0.28000000000000003</v>
      </c>
      <c r="G9" s="66">
        <v>0</v>
      </c>
      <c r="H9" s="67">
        <v>0</v>
      </c>
      <c r="I9" s="66">
        <v>0</v>
      </c>
      <c r="J9" s="67">
        <v>0</v>
      </c>
      <c r="K9" s="66">
        <v>0</v>
      </c>
      <c r="L9" s="67">
        <v>0</v>
      </c>
      <c r="M9" s="66">
        <v>0</v>
      </c>
      <c r="N9" s="67">
        <v>0</v>
      </c>
      <c r="O9" s="66">
        <v>0</v>
      </c>
      <c r="P9" s="67">
        <v>0</v>
      </c>
      <c r="Q9" s="66">
        <v>0</v>
      </c>
      <c r="R9" s="67">
        <f t="shared" si="0"/>
        <v>0</v>
      </c>
      <c r="S9" s="66">
        <v>0</v>
      </c>
      <c r="T9" s="67">
        <v>0</v>
      </c>
      <c r="U9" s="66">
        <v>0</v>
      </c>
      <c r="V9" s="67">
        <f t="shared" si="1"/>
        <v>0</v>
      </c>
      <c r="W9" s="66">
        <v>0</v>
      </c>
      <c r="X9" s="67">
        <v>0</v>
      </c>
      <c r="Y9" s="66">
        <v>0</v>
      </c>
      <c r="Z9" s="67">
        <v>0</v>
      </c>
      <c r="AA9" s="66">
        <v>0</v>
      </c>
      <c r="AB9" s="67">
        <v>0</v>
      </c>
      <c r="AC9" s="66">
        <v>0</v>
      </c>
      <c r="AD9" s="67">
        <v>0</v>
      </c>
      <c r="AE9" s="66">
        <v>0</v>
      </c>
      <c r="AF9" s="67">
        <v>0</v>
      </c>
      <c r="AG9" s="66">
        <v>0</v>
      </c>
      <c r="AH9" s="67">
        <v>0</v>
      </c>
      <c r="AI9" s="66">
        <v>0</v>
      </c>
      <c r="AJ9" s="67">
        <v>0</v>
      </c>
      <c r="AK9" s="66">
        <v>0</v>
      </c>
      <c r="AL9" s="67">
        <v>0</v>
      </c>
      <c r="AM9" s="66">
        <v>0</v>
      </c>
      <c r="AN9" s="67">
        <v>0</v>
      </c>
      <c r="AO9" s="66">
        <v>0</v>
      </c>
      <c r="AP9" s="67">
        <v>0</v>
      </c>
      <c r="AQ9" s="66">
        <v>0</v>
      </c>
      <c r="AR9" s="67">
        <v>0</v>
      </c>
    </row>
    <row r="10" spans="2:44" x14ac:dyDescent="0.3">
      <c r="B10" s="64" t="s">
        <v>267</v>
      </c>
      <c r="C10" s="64" t="s">
        <v>111</v>
      </c>
      <c r="D10" s="64" t="s">
        <v>118</v>
      </c>
      <c r="E10" s="64" t="s">
        <v>114</v>
      </c>
      <c r="F10" s="65">
        <v>3923.85</v>
      </c>
      <c r="G10" s="66">
        <v>8</v>
      </c>
      <c r="H10" s="67">
        <v>31390.799999999999</v>
      </c>
      <c r="I10" s="66">
        <v>0</v>
      </c>
      <c r="J10" s="67">
        <v>0</v>
      </c>
      <c r="K10" s="66">
        <v>7</v>
      </c>
      <c r="L10" s="67">
        <v>27466.95</v>
      </c>
      <c r="M10" s="66">
        <v>3</v>
      </c>
      <c r="N10" s="67">
        <v>11771.55</v>
      </c>
      <c r="O10" s="66">
        <v>4</v>
      </c>
      <c r="P10" s="67">
        <v>15695.4</v>
      </c>
      <c r="Q10" s="66">
        <v>21</v>
      </c>
      <c r="R10" s="67">
        <f t="shared" si="0"/>
        <v>82400.849999999991</v>
      </c>
      <c r="S10" s="66">
        <v>0</v>
      </c>
      <c r="T10" s="67">
        <v>0</v>
      </c>
      <c r="U10" s="66">
        <v>3</v>
      </c>
      <c r="V10" s="67">
        <f t="shared" si="1"/>
        <v>11771.55</v>
      </c>
      <c r="W10" s="66">
        <v>1</v>
      </c>
      <c r="X10" s="67">
        <v>3923.85</v>
      </c>
      <c r="Y10" s="66">
        <v>3</v>
      </c>
      <c r="Z10" s="67">
        <v>11771.55</v>
      </c>
      <c r="AA10" s="66">
        <v>3</v>
      </c>
      <c r="AB10" s="67">
        <v>11771.55</v>
      </c>
      <c r="AC10" s="66">
        <v>1</v>
      </c>
      <c r="AD10" s="67">
        <v>3923.85</v>
      </c>
      <c r="AE10" s="66">
        <v>16</v>
      </c>
      <c r="AF10" s="67">
        <v>62781.599999999999</v>
      </c>
      <c r="AG10" s="66">
        <v>2</v>
      </c>
      <c r="AH10" s="67">
        <v>7847.7</v>
      </c>
      <c r="AI10" s="66">
        <v>7</v>
      </c>
      <c r="AJ10" s="67">
        <v>27466.95</v>
      </c>
      <c r="AK10" s="66">
        <v>3</v>
      </c>
      <c r="AL10" s="67">
        <v>11771.55</v>
      </c>
      <c r="AM10" s="66">
        <v>0</v>
      </c>
      <c r="AN10" s="67">
        <v>0</v>
      </c>
      <c r="AO10" s="66">
        <v>0</v>
      </c>
      <c r="AP10" s="67">
        <v>0</v>
      </c>
      <c r="AQ10" s="66">
        <v>0</v>
      </c>
      <c r="AR10" s="67">
        <v>0</v>
      </c>
    </row>
    <row r="11" spans="2:44" x14ac:dyDescent="0.3">
      <c r="B11" s="64" t="s">
        <v>267</v>
      </c>
      <c r="C11" s="64" t="s">
        <v>111</v>
      </c>
      <c r="D11" s="64" t="s">
        <v>113</v>
      </c>
      <c r="E11" s="64" t="s">
        <v>114</v>
      </c>
      <c r="F11" s="65">
        <v>1696.8</v>
      </c>
      <c r="G11" s="66">
        <v>2</v>
      </c>
      <c r="H11" s="67">
        <v>3393.6</v>
      </c>
      <c r="I11" s="66">
        <v>0</v>
      </c>
      <c r="J11" s="67">
        <v>0</v>
      </c>
      <c r="K11" s="66">
        <v>1</v>
      </c>
      <c r="L11" s="67">
        <v>1696.8</v>
      </c>
      <c r="M11" s="66">
        <v>0</v>
      </c>
      <c r="N11" s="67">
        <v>0</v>
      </c>
      <c r="O11" s="66">
        <v>5</v>
      </c>
      <c r="P11" s="67">
        <v>8484</v>
      </c>
      <c r="Q11" s="66">
        <v>13</v>
      </c>
      <c r="R11" s="67">
        <f t="shared" si="0"/>
        <v>22058.399999999998</v>
      </c>
      <c r="S11" s="66">
        <v>6</v>
      </c>
      <c r="T11" s="67">
        <v>10180.799999999999</v>
      </c>
      <c r="U11" s="66">
        <v>20</v>
      </c>
      <c r="V11" s="67">
        <f t="shared" si="1"/>
        <v>33936</v>
      </c>
      <c r="W11" s="66">
        <v>6</v>
      </c>
      <c r="X11" s="67">
        <v>10180.799999999999</v>
      </c>
      <c r="Y11" s="66">
        <v>16</v>
      </c>
      <c r="Z11" s="67">
        <v>27148.799999999999</v>
      </c>
      <c r="AA11" s="66">
        <v>9</v>
      </c>
      <c r="AB11" s="67">
        <v>15271.2</v>
      </c>
      <c r="AC11" s="66">
        <v>4</v>
      </c>
      <c r="AD11" s="67">
        <v>6787.2</v>
      </c>
      <c r="AE11" s="66">
        <v>14</v>
      </c>
      <c r="AF11" s="67">
        <v>23755.200000000001</v>
      </c>
      <c r="AG11" s="66">
        <v>5</v>
      </c>
      <c r="AH11" s="67">
        <v>8484</v>
      </c>
      <c r="AI11" s="66">
        <v>9</v>
      </c>
      <c r="AJ11" s="67">
        <v>15271.2</v>
      </c>
      <c r="AK11" s="66">
        <v>2</v>
      </c>
      <c r="AL11" s="67">
        <v>3393.6</v>
      </c>
      <c r="AM11" s="66">
        <v>5</v>
      </c>
      <c r="AN11" s="67">
        <v>8484</v>
      </c>
      <c r="AO11" s="66">
        <v>0</v>
      </c>
      <c r="AP11" s="67">
        <v>0</v>
      </c>
      <c r="AQ11" s="66">
        <v>0</v>
      </c>
      <c r="AR11" s="67">
        <v>0</v>
      </c>
    </row>
    <row r="12" spans="2:44" x14ac:dyDescent="0.3">
      <c r="B12" s="64" t="s">
        <v>267</v>
      </c>
      <c r="C12" s="64" t="s">
        <v>111</v>
      </c>
      <c r="D12" s="64" t="s">
        <v>268</v>
      </c>
      <c r="E12" s="64" t="s">
        <v>114</v>
      </c>
      <c r="F12" s="65">
        <v>212.1</v>
      </c>
      <c r="G12" s="66">
        <v>2</v>
      </c>
      <c r="H12" s="67">
        <v>424.2</v>
      </c>
      <c r="I12" s="66">
        <v>4</v>
      </c>
      <c r="J12" s="67">
        <v>848.4</v>
      </c>
      <c r="K12" s="66">
        <v>1</v>
      </c>
      <c r="L12" s="67">
        <v>212.1</v>
      </c>
      <c r="M12" s="66">
        <v>0</v>
      </c>
      <c r="N12" s="67">
        <v>0</v>
      </c>
      <c r="O12" s="66">
        <v>0</v>
      </c>
      <c r="P12" s="67">
        <v>0</v>
      </c>
      <c r="Q12" s="66">
        <v>18</v>
      </c>
      <c r="R12" s="67">
        <f t="shared" si="0"/>
        <v>3817.7999999999997</v>
      </c>
      <c r="S12" s="66">
        <v>5</v>
      </c>
      <c r="T12" s="67">
        <v>1060.5</v>
      </c>
      <c r="U12" s="66">
        <v>1</v>
      </c>
      <c r="V12" s="67">
        <f t="shared" si="1"/>
        <v>212.1</v>
      </c>
      <c r="W12" s="66">
        <v>0</v>
      </c>
      <c r="X12" s="67">
        <v>0</v>
      </c>
      <c r="Y12" s="66">
        <v>4</v>
      </c>
      <c r="Z12" s="67">
        <v>848.4</v>
      </c>
      <c r="AA12" s="66">
        <v>0</v>
      </c>
      <c r="AB12" s="67">
        <v>0</v>
      </c>
      <c r="AC12" s="66">
        <v>0</v>
      </c>
      <c r="AD12" s="67">
        <v>0</v>
      </c>
      <c r="AE12" s="66">
        <v>1</v>
      </c>
      <c r="AF12" s="67">
        <v>212.1</v>
      </c>
      <c r="AG12" s="66">
        <v>5</v>
      </c>
      <c r="AH12" s="67">
        <v>1060.5</v>
      </c>
      <c r="AI12" s="66">
        <v>20</v>
      </c>
      <c r="AJ12" s="67">
        <v>4242</v>
      </c>
      <c r="AK12" s="66">
        <v>6</v>
      </c>
      <c r="AL12" s="67">
        <v>1272.5999999999999</v>
      </c>
      <c r="AM12" s="66">
        <v>1</v>
      </c>
      <c r="AN12" s="67">
        <v>212.1</v>
      </c>
      <c r="AO12" s="66">
        <v>10</v>
      </c>
      <c r="AP12" s="67">
        <v>2121</v>
      </c>
      <c r="AQ12" s="66">
        <v>0</v>
      </c>
      <c r="AR12" s="67">
        <v>0</v>
      </c>
    </row>
    <row r="13" spans="2:44" x14ac:dyDescent="0.3">
      <c r="B13" s="64" t="s">
        <v>267</v>
      </c>
      <c r="C13" s="64" t="s">
        <v>111</v>
      </c>
      <c r="D13" s="64" t="s">
        <v>269</v>
      </c>
      <c r="E13" s="64" t="s">
        <v>114</v>
      </c>
      <c r="F13" s="65">
        <v>6893.25</v>
      </c>
      <c r="G13" s="66">
        <v>6</v>
      </c>
      <c r="H13" s="67">
        <v>41359.5</v>
      </c>
      <c r="I13" s="66">
        <v>10</v>
      </c>
      <c r="J13" s="67">
        <v>68932.5</v>
      </c>
      <c r="K13" s="66">
        <v>5</v>
      </c>
      <c r="L13" s="67">
        <v>34466.25</v>
      </c>
      <c r="M13" s="66">
        <v>1</v>
      </c>
      <c r="N13" s="67">
        <v>6893.25</v>
      </c>
      <c r="O13" s="66">
        <v>0</v>
      </c>
      <c r="P13" s="67">
        <v>0</v>
      </c>
      <c r="Q13" s="66">
        <v>0</v>
      </c>
      <c r="R13" s="67">
        <f t="shared" si="0"/>
        <v>0</v>
      </c>
      <c r="S13" s="66">
        <v>5</v>
      </c>
      <c r="T13" s="67">
        <v>34466.25</v>
      </c>
      <c r="U13" s="66">
        <v>5</v>
      </c>
      <c r="V13" s="67">
        <f t="shared" si="1"/>
        <v>34466.25</v>
      </c>
      <c r="W13" s="66">
        <v>0</v>
      </c>
      <c r="X13" s="67">
        <v>0</v>
      </c>
      <c r="Y13" s="66">
        <v>8</v>
      </c>
      <c r="Z13" s="67">
        <v>55146</v>
      </c>
      <c r="AA13" s="66">
        <v>6</v>
      </c>
      <c r="AB13" s="67">
        <v>41359.5</v>
      </c>
      <c r="AC13" s="66">
        <v>0</v>
      </c>
      <c r="AD13" s="67">
        <v>0</v>
      </c>
      <c r="AE13" s="66">
        <v>0</v>
      </c>
      <c r="AF13" s="67">
        <v>0</v>
      </c>
      <c r="AG13" s="66">
        <v>8</v>
      </c>
      <c r="AH13" s="67">
        <v>55146</v>
      </c>
      <c r="AI13" s="66">
        <v>9</v>
      </c>
      <c r="AJ13" s="67">
        <v>62039.25</v>
      </c>
      <c r="AK13" s="66">
        <v>0</v>
      </c>
      <c r="AL13" s="67">
        <v>0</v>
      </c>
      <c r="AM13" s="66">
        <v>0</v>
      </c>
      <c r="AN13" s="67">
        <v>0</v>
      </c>
      <c r="AO13" s="66">
        <v>4</v>
      </c>
      <c r="AP13" s="67">
        <v>27573</v>
      </c>
      <c r="AQ13" s="66">
        <v>0</v>
      </c>
      <c r="AR13" s="67">
        <v>0</v>
      </c>
    </row>
    <row r="14" spans="2:44" x14ac:dyDescent="0.3">
      <c r="B14" s="64" t="s">
        <v>267</v>
      </c>
      <c r="C14" s="64" t="s">
        <v>140</v>
      </c>
      <c r="D14" s="64" t="s">
        <v>141</v>
      </c>
      <c r="E14" s="64" t="s">
        <v>142</v>
      </c>
      <c r="F14" s="65">
        <v>1.111</v>
      </c>
      <c r="G14" s="66">
        <v>29794</v>
      </c>
      <c r="H14" s="67">
        <v>33101.133999999998</v>
      </c>
      <c r="I14" s="66">
        <v>121315</v>
      </c>
      <c r="J14" s="67">
        <v>134780.965</v>
      </c>
      <c r="K14" s="66">
        <v>83400</v>
      </c>
      <c r="L14" s="67">
        <v>92657.4</v>
      </c>
      <c r="M14" s="66">
        <v>18089</v>
      </c>
      <c r="N14" s="67">
        <v>20096.879000000001</v>
      </c>
      <c r="O14" s="66">
        <v>11849</v>
      </c>
      <c r="P14" s="67">
        <v>13164.239</v>
      </c>
      <c r="Q14" s="66">
        <v>61547.63</v>
      </c>
      <c r="R14" s="67">
        <f t="shared" si="0"/>
        <v>68379.416929999992</v>
      </c>
      <c r="S14" s="66">
        <v>96878</v>
      </c>
      <c r="T14" s="67">
        <v>107631.458</v>
      </c>
      <c r="U14" s="66">
        <v>103735</v>
      </c>
      <c r="V14" s="67">
        <f t="shared" si="1"/>
        <v>115249.58499999999</v>
      </c>
      <c r="W14" s="66">
        <v>7642</v>
      </c>
      <c r="X14" s="67">
        <v>8490.2620000000006</v>
      </c>
      <c r="Y14" s="66">
        <v>35336.5</v>
      </c>
      <c r="Z14" s="67">
        <v>39258.851499999997</v>
      </c>
      <c r="AA14" s="66">
        <v>165500</v>
      </c>
      <c r="AB14" s="67">
        <v>183870.5</v>
      </c>
      <c r="AC14" s="66">
        <v>960</v>
      </c>
      <c r="AD14" s="67">
        <v>1066.56</v>
      </c>
      <c r="AE14" s="66">
        <v>85894</v>
      </c>
      <c r="AF14" s="67">
        <v>95428.233999999997</v>
      </c>
      <c r="AG14" s="66">
        <v>41862.239999999998</v>
      </c>
      <c r="AH14" s="67">
        <v>46508.948640000002</v>
      </c>
      <c r="AI14" s="66">
        <v>105405</v>
      </c>
      <c r="AJ14" s="67">
        <v>117104.955</v>
      </c>
      <c r="AK14" s="66">
        <v>708</v>
      </c>
      <c r="AL14" s="67">
        <v>786.58799999999997</v>
      </c>
      <c r="AM14" s="66">
        <v>4232</v>
      </c>
      <c r="AN14" s="67">
        <v>4701.7520000000004</v>
      </c>
      <c r="AO14" s="66">
        <v>67843</v>
      </c>
      <c r="AP14" s="67">
        <v>75373.573000000004</v>
      </c>
      <c r="AQ14" s="66">
        <v>0</v>
      </c>
      <c r="AR14" s="67">
        <v>0</v>
      </c>
    </row>
    <row r="15" spans="2:44" x14ac:dyDescent="0.3">
      <c r="B15" s="64" t="s">
        <v>267</v>
      </c>
      <c r="C15" s="64" t="s">
        <v>124</v>
      </c>
      <c r="D15" s="64" t="s">
        <v>125</v>
      </c>
      <c r="E15" s="64" t="s">
        <v>126</v>
      </c>
      <c r="F15" s="65">
        <v>1.111</v>
      </c>
      <c r="G15" s="66">
        <v>29794</v>
      </c>
      <c r="H15" s="67">
        <v>33101.133999999998</v>
      </c>
      <c r="I15" s="66">
        <v>95677</v>
      </c>
      <c r="J15" s="67">
        <v>106297.147</v>
      </c>
      <c r="K15" s="66">
        <v>104262</v>
      </c>
      <c r="L15" s="67">
        <v>115835.08199999999</v>
      </c>
      <c r="M15" s="66">
        <v>26480</v>
      </c>
      <c r="N15" s="67">
        <v>29419.279999999999</v>
      </c>
      <c r="O15" s="66">
        <v>18134</v>
      </c>
      <c r="P15" s="67">
        <v>20146.874</v>
      </c>
      <c r="Q15" s="66">
        <v>32145</v>
      </c>
      <c r="R15" s="67">
        <f t="shared" si="0"/>
        <v>35713.095000000001</v>
      </c>
      <c r="S15" s="66">
        <v>106738</v>
      </c>
      <c r="T15" s="67">
        <v>118585.91800000001</v>
      </c>
      <c r="U15" s="66">
        <v>68548</v>
      </c>
      <c r="V15" s="67">
        <f t="shared" si="1"/>
        <v>76156.827999999994</v>
      </c>
      <c r="W15" s="66">
        <v>2057</v>
      </c>
      <c r="X15" s="67">
        <v>2285.3270000000002</v>
      </c>
      <c r="Y15" s="66">
        <v>199477.92</v>
      </c>
      <c r="Z15" s="67">
        <v>221619.96911999999</v>
      </c>
      <c r="AA15" s="66">
        <v>207000</v>
      </c>
      <c r="AB15" s="67">
        <v>229977</v>
      </c>
      <c r="AC15" s="66">
        <v>0</v>
      </c>
      <c r="AD15" s="67">
        <v>0</v>
      </c>
      <c r="AE15" s="66">
        <v>109192</v>
      </c>
      <c r="AF15" s="67">
        <v>121312.31200000001</v>
      </c>
      <c r="AG15" s="66">
        <v>86146.69</v>
      </c>
      <c r="AH15" s="67">
        <v>95708.972590000005</v>
      </c>
      <c r="AI15" s="66">
        <v>146184</v>
      </c>
      <c r="AJ15" s="67">
        <v>162410.424</v>
      </c>
      <c r="AK15" s="66">
        <v>18271</v>
      </c>
      <c r="AL15" s="67">
        <v>20299.080999999998</v>
      </c>
      <c r="AM15" s="66">
        <v>26635.46</v>
      </c>
      <c r="AN15" s="67">
        <v>29591.996060000001</v>
      </c>
      <c r="AO15" s="66">
        <v>75793</v>
      </c>
      <c r="AP15" s="67">
        <v>84206.023000000001</v>
      </c>
      <c r="AQ15" s="66">
        <v>0</v>
      </c>
      <c r="AR15" s="67">
        <v>0</v>
      </c>
    </row>
    <row r="16" spans="2:44" x14ac:dyDescent="0.3">
      <c r="B16" s="64" t="s">
        <v>267</v>
      </c>
      <c r="C16" s="64" t="s">
        <v>270</v>
      </c>
      <c r="D16" s="64" t="s">
        <v>271</v>
      </c>
      <c r="E16" s="64" t="s">
        <v>272</v>
      </c>
      <c r="F16" s="65">
        <v>557.52</v>
      </c>
      <c r="G16" s="66">
        <v>3</v>
      </c>
      <c r="H16" s="67">
        <v>1672.56</v>
      </c>
      <c r="I16" s="66">
        <v>13</v>
      </c>
      <c r="J16" s="67">
        <v>7247.76</v>
      </c>
      <c r="K16" s="66">
        <v>0</v>
      </c>
      <c r="L16" s="67">
        <v>0</v>
      </c>
      <c r="M16" s="66">
        <v>3</v>
      </c>
      <c r="N16" s="67">
        <v>1672.56</v>
      </c>
      <c r="O16" s="66">
        <v>0</v>
      </c>
      <c r="P16" s="67">
        <v>0</v>
      </c>
      <c r="Q16" s="66">
        <v>4</v>
      </c>
      <c r="R16" s="67">
        <f t="shared" si="0"/>
        <v>2230.08</v>
      </c>
      <c r="S16" s="66">
        <v>4</v>
      </c>
      <c r="T16" s="67">
        <v>2230.08</v>
      </c>
      <c r="U16" s="66">
        <v>0</v>
      </c>
      <c r="V16" s="67">
        <f t="shared" si="1"/>
        <v>0</v>
      </c>
      <c r="W16" s="66">
        <v>0</v>
      </c>
      <c r="X16" s="67">
        <v>0</v>
      </c>
      <c r="Y16" s="66">
        <v>26</v>
      </c>
      <c r="Z16" s="67">
        <v>14495.52</v>
      </c>
      <c r="AA16" s="66">
        <v>7</v>
      </c>
      <c r="AB16" s="67">
        <v>3902.64</v>
      </c>
      <c r="AC16" s="66">
        <v>1</v>
      </c>
      <c r="AD16" s="67">
        <v>557.52</v>
      </c>
      <c r="AE16" s="66">
        <v>15</v>
      </c>
      <c r="AF16" s="67">
        <v>8362.7999999999993</v>
      </c>
      <c r="AG16" s="66">
        <v>2</v>
      </c>
      <c r="AH16" s="67">
        <v>1115.04</v>
      </c>
      <c r="AI16" s="66">
        <v>11</v>
      </c>
      <c r="AJ16" s="67">
        <v>6132.72</v>
      </c>
      <c r="AK16" s="66">
        <v>0</v>
      </c>
      <c r="AL16" s="67">
        <v>0</v>
      </c>
      <c r="AM16" s="66">
        <v>0</v>
      </c>
      <c r="AN16" s="67">
        <v>0</v>
      </c>
      <c r="AO16" s="66">
        <v>5</v>
      </c>
      <c r="AP16" s="67">
        <v>2787.6</v>
      </c>
      <c r="AQ16" s="66">
        <v>0</v>
      </c>
      <c r="AR16" s="67">
        <v>0</v>
      </c>
    </row>
    <row r="17" spans="2:44" x14ac:dyDescent="0.3">
      <c r="B17" s="64" t="s">
        <v>267</v>
      </c>
      <c r="C17" s="64" t="s">
        <v>273</v>
      </c>
      <c r="D17" s="64" t="s">
        <v>274</v>
      </c>
      <c r="E17" s="64" t="s">
        <v>114</v>
      </c>
      <c r="F17" s="65">
        <v>13786.5</v>
      </c>
      <c r="G17" s="66">
        <v>0</v>
      </c>
      <c r="H17" s="67">
        <v>0</v>
      </c>
      <c r="I17" s="66">
        <v>0</v>
      </c>
      <c r="J17" s="67">
        <v>0</v>
      </c>
      <c r="K17" s="66">
        <v>0</v>
      </c>
      <c r="L17" s="67">
        <v>0</v>
      </c>
      <c r="M17" s="66">
        <v>0</v>
      </c>
      <c r="N17" s="67">
        <v>0</v>
      </c>
      <c r="O17" s="66">
        <v>0</v>
      </c>
      <c r="P17" s="67">
        <v>0</v>
      </c>
      <c r="Q17" s="66">
        <v>0</v>
      </c>
      <c r="R17" s="67">
        <f t="shared" si="0"/>
        <v>0</v>
      </c>
      <c r="S17" s="66">
        <v>0</v>
      </c>
      <c r="T17" s="67">
        <v>0</v>
      </c>
      <c r="U17" s="66">
        <v>0</v>
      </c>
      <c r="V17" s="67">
        <f t="shared" si="1"/>
        <v>0</v>
      </c>
      <c r="W17" s="66">
        <v>0</v>
      </c>
      <c r="X17" s="67">
        <v>0</v>
      </c>
      <c r="Y17" s="66">
        <v>0</v>
      </c>
      <c r="Z17" s="67">
        <v>0</v>
      </c>
      <c r="AA17" s="66">
        <v>0</v>
      </c>
      <c r="AB17" s="67">
        <v>0</v>
      </c>
      <c r="AC17" s="66">
        <v>0</v>
      </c>
      <c r="AD17" s="67">
        <v>0</v>
      </c>
      <c r="AE17" s="66">
        <v>0</v>
      </c>
      <c r="AF17" s="67">
        <v>0</v>
      </c>
      <c r="AG17" s="66">
        <v>0</v>
      </c>
      <c r="AH17" s="67">
        <v>0</v>
      </c>
      <c r="AI17" s="66">
        <v>0</v>
      </c>
      <c r="AJ17" s="67">
        <v>0</v>
      </c>
      <c r="AK17" s="66">
        <v>0</v>
      </c>
      <c r="AL17" s="67">
        <v>0</v>
      </c>
      <c r="AM17" s="66">
        <v>0</v>
      </c>
      <c r="AN17" s="67">
        <v>0</v>
      </c>
      <c r="AO17" s="66">
        <v>2</v>
      </c>
      <c r="AP17" s="67">
        <v>27573</v>
      </c>
      <c r="AQ17" s="66">
        <v>0</v>
      </c>
      <c r="AR17" s="67">
        <v>0</v>
      </c>
    </row>
    <row r="18" spans="2:44" x14ac:dyDescent="0.3">
      <c r="B18" s="64" t="s">
        <v>267</v>
      </c>
      <c r="C18" s="64" t="s">
        <v>275</v>
      </c>
      <c r="D18" s="64" t="s">
        <v>276</v>
      </c>
      <c r="E18" s="64" t="s">
        <v>277</v>
      </c>
      <c r="F18" s="65">
        <v>11.11</v>
      </c>
      <c r="G18" s="66">
        <v>62</v>
      </c>
      <c r="H18" s="67">
        <v>688.82</v>
      </c>
      <c r="I18" s="66">
        <v>0</v>
      </c>
      <c r="J18" s="67">
        <v>0</v>
      </c>
      <c r="K18" s="66">
        <v>100</v>
      </c>
      <c r="L18" s="67">
        <v>1111</v>
      </c>
      <c r="M18" s="66">
        <v>0</v>
      </c>
      <c r="N18" s="67">
        <v>0</v>
      </c>
      <c r="O18" s="66">
        <v>0</v>
      </c>
      <c r="P18" s="67">
        <v>0</v>
      </c>
      <c r="Q18" s="66">
        <v>0</v>
      </c>
      <c r="R18" s="67">
        <f t="shared" si="0"/>
        <v>0</v>
      </c>
      <c r="S18" s="66">
        <v>0</v>
      </c>
      <c r="T18" s="67">
        <v>0</v>
      </c>
      <c r="U18" s="66">
        <v>0</v>
      </c>
      <c r="V18" s="67">
        <f t="shared" si="1"/>
        <v>0</v>
      </c>
      <c r="W18" s="66">
        <v>0</v>
      </c>
      <c r="X18" s="67">
        <v>0</v>
      </c>
      <c r="Y18" s="66">
        <v>42</v>
      </c>
      <c r="Z18" s="67">
        <v>466.62</v>
      </c>
      <c r="AA18" s="66">
        <v>0</v>
      </c>
      <c r="AB18" s="67">
        <v>0</v>
      </c>
      <c r="AC18" s="66">
        <v>0</v>
      </c>
      <c r="AD18" s="67">
        <v>0</v>
      </c>
      <c r="AE18" s="66">
        <v>0</v>
      </c>
      <c r="AF18" s="67">
        <v>0</v>
      </c>
      <c r="AG18" s="66">
        <v>0</v>
      </c>
      <c r="AH18" s="67">
        <v>0</v>
      </c>
      <c r="AI18" s="66">
        <v>0</v>
      </c>
      <c r="AJ18" s="67">
        <v>0</v>
      </c>
      <c r="AK18" s="66">
        <v>0</v>
      </c>
      <c r="AL18" s="67">
        <v>0</v>
      </c>
      <c r="AM18" s="66">
        <v>3</v>
      </c>
      <c r="AN18" s="67">
        <v>33.33</v>
      </c>
      <c r="AO18" s="66">
        <v>0</v>
      </c>
      <c r="AP18" s="67">
        <v>0</v>
      </c>
      <c r="AQ18" s="66">
        <v>0</v>
      </c>
      <c r="AR18" s="67">
        <v>0</v>
      </c>
    </row>
    <row r="19" spans="2:44" x14ac:dyDescent="0.3">
      <c r="B19" s="64" t="s">
        <v>267</v>
      </c>
      <c r="C19" s="64" t="s">
        <v>278</v>
      </c>
      <c r="D19" s="64" t="s">
        <v>279</v>
      </c>
      <c r="E19" s="64" t="s">
        <v>280</v>
      </c>
      <c r="F19" s="65">
        <v>456.52</v>
      </c>
      <c r="G19" s="66">
        <v>32</v>
      </c>
      <c r="H19" s="67">
        <v>14608.64</v>
      </c>
      <c r="I19" s="66">
        <v>138</v>
      </c>
      <c r="J19" s="67">
        <v>62999.76</v>
      </c>
      <c r="K19" s="66">
        <v>1</v>
      </c>
      <c r="L19" s="67">
        <v>456.52</v>
      </c>
      <c r="M19" s="66">
        <v>2</v>
      </c>
      <c r="N19" s="67">
        <v>913.04</v>
      </c>
      <c r="O19" s="66">
        <v>0</v>
      </c>
      <c r="P19" s="67">
        <v>0</v>
      </c>
      <c r="Q19" s="66">
        <v>0</v>
      </c>
      <c r="R19" s="67">
        <f t="shared" si="0"/>
        <v>0</v>
      </c>
      <c r="S19" s="66">
        <v>25</v>
      </c>
      <c r="T19" s="67">
        <v>11413</v>
      </c>
      <c r="U19" s="66">
        <v>2</v>
      </c>
      <c r="V19" s="67">
        <f t="shared" si="1"/>
        <v>913.04</v>
      </c>
      <c r="W19" s="66">
        <v>3</v>
      </c>
      <c r="X19" s="67">
        <v>1369.56</v>
      </c>
      <c r="Y19" s="66">
        <v>20</v>
      </c>
      <c r="Z19" s="67">
        <v>9130.4</v>
      </c>
      <c r="AA19" s="66">
        <v>13</v>
      </c>
      <c r="AB19" s="67">
        <v>5934.76</v>
      </c>
      <c r="AC19" s="66">
        <v>18</v>
      </c>
      <c r="AD19" s="67">
        <v>8217.36</v>
      </c>
      <c r="AE19" s="66">
        <v>58</v>
      </c>
      <c r="AF19" s="67">
        <v>26478.16</v>
      </c>
      <c r="AG19" s="66">
        <v>6</v>
      </c>
      <c r="AH19" s="67">
        <v>2739.12</v>
      </c>
      <c r="AI19" s="66">
        <v>4</v>
      </c>
      <c r="AJ19" s="67">
        <v>1826.08</v>
      </c>
      <c r="AK19" s="66">
        <v>0</v>
      </c>
      <c r="AL19" s="67">
        <v>0</v>
      </c>
      <c r="AM19" s="66">
        <v>11</v>
      </c>
      <c r="AN19" s="67">
        <v>5021.72</v>
      </c>
      <c r="AO19" s="66">
        <v>13</v>
      </c>
      <c r="AP19" s="67">
        <v>5934.76</v>
      </c>
      <c r="AQ19" s="66">
        <v>0</v>
      </c>
      <c r="AR19" s="67">
        <v>0</v>
      </c>
    </row>
    <row r="20" spans="2:44" x14ac:dyDescent="0.3">
      <c r="B20" s="64" t="s">
        <v>267</v>
      </c>
      <c r="C20" s="64" t="s">
        <v>278</v>
      </c>
      <c r="D20" s="64" t="s">
        <v>281</v>
      </c>
      <c r="E20" s="64" t="s">
        <v>280</v>
      </c>
      <c r="F20" s="65">
        <v>234.32</v>
      </c>
      <c r="G20" s="66">
        <v>2</v>
      </c>
      <c r="H20" s="67">
        <v>468.64</v>
      </c>
      <c r="I20" s="66">
        <v>2</v>
      </c>
      <c r="J20" s="67">
        <v>468.64</v>
      </c>
      <c r="K20" s="66">
        <v>3</v>
      </c>
      <c r="L20" s="67">
        <v>702.96</v>
      </c>
      <c r="M20" s="66">
        <v>0</v>
      </c>
      <c r="N20" s="67">
        <v>0</v>
      </c>
      <c r="O20" s="66">
        <v>0</v>
      </c>
      <c r="P20" s="67">
        <v>0</v>
      </c>
      <c r="Q20" s="66">
        <v>0</v>
      </c>
      <c r="R20" s="67">
        <f t="shared" si="0"/>
        <v>0</v>
      </c>
      <c r="S20" s="66">
        <v>21</v>
      </c>
      <c r="T20" s="67">
        <v>4920.72</v>
      </c>
      <c r="U20" s="66">
        <v>32</v>
      </c>
      <c r="V20" s="67">
        <f t="shared" si="1"/>
        <v>7498.24</v>
      </c>
      <c r="W20" s="66">
        <v>0</v>
      </c>
      <c r="X20" s="67">
        <v>0</v>
      </c>
      <c r="Y20" s="66">
        <v>9</v>
      </c>
      <c r="Z20" s="67">
        <v>2108.88</v>
      </c>
      <c r="AA20" s="66">
        <v>53</v>
      </c>
      <c r="AB20" s="67">
        <v>12418.96</v>
      </c>
      <c r="AC20" s="66">
        <v>7</v>
      </c>
      <c r="AD20" s="67">
        <v>1640.24</v>
      </c>
      <c r="AE20" s="66">
        <v>1</v>
      </c>
      <c r="AF20" s="67">
        <v>234.32</v>
      </c>
      <c r="AG20" s="66">
        <v>16</v>
      </c>
      <c r="AH20" s="67">
        <v>3749.12</v>
      </c>
      <c r="AI20" s="66">
        <v>27</v>
      </c>
      <c r="AJ20" s="67">
        <v>6326.64</v>
      </c>
      <c r="AK20" s="66">
        <v>1</v>
      </c>
      <c r="AL20" s="67">
        <v>234.32</v>
      </c>
      <c r="AM20" s="66">
        <v>15</v>
      </c>
      <c r="AN20" s="67">
        <v>3514.8</v>
      </c>
      <c r="AO20" s="66">
        <v>2</v>
      </c>
      <c r="AP20" s="67">
        <v>468.64</v>
      </c>
      <c r="AQ20" s="66">
        <v>0</v>
      </c>
      <c r="AR20" s="67">
        <v>0</v>
      </c>
    </row>
    <row r="21" spans="2:44" x14ac:dyDescent="0.3">
      <c r="B21" s="64" t="s">
        <v>267</v>
      </c>
      <c r="C21" s="64" t="s">
        <v>278</v>
      </c>
      <c r="D21" s="64" t="s">
        <v>282</v>
      </c>
      <c r="E21" s="64" t="s">
        <v>280</v>
      </c>
      <c r="F21" s="65">
        <v>679.73</v>
      </c>
      <c r="G21" s="66">
        <v>0</v>
      </c>
      <c r="H21" s="67">
        <v>0</v>
      </c>
      <c r="I21" s="66">
        <v>0</v>
      </c>
      <c r="J21" s="67">
        <v>0</v>
      </c>
      <c r="K21" s="66">
        <v>5</v>
      </c>
      <c r="L21" s="67">
        <v>3398.65</v>
      </c>
      <c r="M21" s="66">
        <v>0</v>
      </c>
      <c r="N21" s="67">
        <v>0</v>
      </c>
      <c r="O21" s="66">
        <v>0</v>
      </c>
      <c r="P21" s="67">
        <v>0</v>
      </c>
      <c r="Q21" s="66">
        <v>0</v>
      </c>
      <c r="R21" s="67">
        <f t="shared" si="0"/>
        <v>0</v>
      </c>
      <c r="S21" s="66">
        <v>0</v>
      </c>
      <c r="T21" s="67">
        <v>0</v>
      </c>
      <c r="U21" s="66">
        <v>0</v>
      </c>
      <c r="V21" s="67">
        <f t="shared" si="1"/>
        <v>0</v>
      </c>
      <c r="W21" s="66">
        <v>0</v>
      </c>
      <c r="X21" s="67">
        <v>0</v>
      </c>
      <c r="Y21" s="66">
        <v>7</v>
      </c>
      <c r="Z21" s="67">
        <v>4758.1099999999997</v>
      </c>
      <c r="AA21" s="66">
        <v>4</v>
      </c>
      <c r="AB21" s="67">
        <v>2718.92</v>
      </c>
      <c r="AC21" s="66">
        <v>0</v>
      </c>
      <c r="AD21" s="67">
        <v>0</v>
      </c>
      <c r="AE21" s="66">
        <v>0</v>
      </c>
      <c r="AF21" s="67">
        <v>0</v>
      </c>
      <c r="AG21" s="66">
        <v>2</v>
      </c>
      <c r="AH21" s="67">
        <v>1359.46</v>
      </c>
      <c r="AI21" s="66">
        <v>0</v>
      </c>
      <c r="AJ21" s="67">
        <v>0</v>
      </c>
      <c r="AK21" s="66">
        <v>0</v>
      </c>
      <c r="AL21" s="67">
        <v>0</v>
      </c>
      <c r="AM21" s="66">
        <v>0</v>
      </c>
      <c r="AN21" s="67">
        <v>0</v>
      </c>
      <c r="AO21" s="66">
        <v>5</v>
      </c>
      <c r="AP21" s="67">
        <v>3398.65</v>
      </c>
      <c r="AQ21" s="66">
        <v>0</v>
      </c>
      <c r="AR21" s="67">
        <v>0</v>
      </c>
    </row>
    <row r="22" spans="2:44" x14ac:dyDescent="0.3">
      <c r="B22" s="64" t="s">
        <v>267</v>
      </c>
      <c r="C22" s="64" t="s">
        <v>283</v>
      </c>
      <c r="D22" s="64" t="s">
        <v>284</v>
      </c>
      <c r="E22" s="64" t="s">
        <v>285</v>
      </c>
      <c r="F22" s="65">
        <v>3923.85</v>
      </c>
      <c r="G22" s="66">
        <v>2</v>
      </c>
      <c r="H22" s="67">
        <v>7847.7</v>
      </c>
      <c r="I22" s="66">
        <v>0</v>
      </c>
      <c r="J22" s="67">
        <v>0</v>
      </c>
      <c r="K22" s="66">
        <v>0</v>
      </c>
      <c r="L22" s="67">
        <v>0</v>
      </c>
      <c r="M22" s="66">
        <v>2</v>
      </c>
      <c r="N22" s="67">
        <v>7847.7</v>
      </c>
      <c r="O22" s="66">
        <v>0</v>
      </c>
      <c r="P22" s="67">
        <v>0</v>
      </c>
      <c r="Q22" s="66">
        <v>0</v>
      </c>
      <c r="R22" s="67">
        <f t="shared" si="0"/>
        <v>0</v>
      </c>
      <c r="S22" s="66">
        <v>1</v>
      </c>
      <c r="T22" s="67">
        <v>3923.85</v>
      </c>
      <c r="U22" s="66">
        <v>0</v>
      </c>
      <c r="V22" s="67">
        <f t="shared" si="1"/>
        <v>0</v>
      </c>
      <c r="W22" s="66">
        <v>0</v>
      </c>
      <c r="X22" s="67">
        <v>0</v>
      </c>
      <c r="Y22" s="66">
        <v>5</v>
      </c>
      <c r="Z22" s="67">
        <v>19619.25</v>
      </c>
      <c r="AA22" s="66">
        <v>4</v>
      </c>
      <c r="AB22" s="67">
        <v>15695.4</v>
      </c>
      <c r="AC22" s="66">
        <v>0</v>
      </c>
      <c r="AD22" s="67">
        <v>0</v>
      </c>
      <c r="AE22" s="66">
        <v>0</v>
      </c>
      <c r="AF22" s="67">
        <v>0</v>
      </c>
      <c r="AG22" s="66">
        <v>2</v>
      </c>
      <c r="AH22" s="67">
        <v>7847.7</v>
      </c>
      <c r="AI22" s="66">
        <v>0</v>
      </c>
      <c r="AJ22" s="67">
        <v>0</v>
      </c>
      <c r="AK22" s="66">
        <v>0</v>
      </c>
      <c r="AL22" s="67">
        <v>0</v>
      </c>
      <c r="AM22" s="66">
        <v>0</v>
      </c>
      <c r="AN22" s="67">
        <v>0</v>
      </c>
      <c r="AO22" s="66">
        <v>4</v>
      </c>
      <c r="AP22" s="67">
        <v>15695.4</v>
      </c>
      <c r="AQ22" s="66">
        <v>0</v>
      </c>
      <c r="AR22" s="67">
        <v>0</v>
      </c>
    </row>
    <row r="23" spans="2:44" x14ac:dyDescent="0.3">
      <c r="B23" s="64" t="s">
        <v>267</v>
      </c>
      <c r="C23" s="64" t="s">
        <v>286</v>
      </c>
      <c r="D23" s="64" t="s">
        <v>287</v>
      </c>
      <c r="E23" s="64" t="s">
        <v>288</v>
      </c>
      <c r="F23" s="65">
        <v>556.51</v>
      </c>
      <c r="G23" s="66">
        <v>0</v>
      </c>
      <c r="H23" s="67">
        <v>0</v>
      </c>
      <c r="I23" s="66">
        <v>0</v>
      </c>
      <c r="J23" s="67">
        <v>0</v>
      </c>
      <c r="K23" s="66">
        <v>0</v>
      </c>
      <c r="L23" s="67">
        <v>0</v>
      </c>
      <c r="M23" s="66">
        <v>3</v>
      </c>
      <c r="N23" s="67">
        <v>1669.53</v>
      </c>
      <c r="O23" s="66">
        <v>0</v>
      </c>
      <c r="P23" s="67">
        <v>0</v>
      </c>
      <c r="Q23" s="66">
        <v>0</v>
      </c>
      <c r="R23" s="67">
        <f t="shared" si="0"/>
        <v>0</v>
      </c>
      <c r="S23" s="66">
        <v>2</v>
      </c>
      <c r="T23" s="67">
        <v>1113.02</v>
      </c>
      <c r="U23" s="66">
        <v>0</v>
      </c>
      <c r="V23" s="67">
        <f t="shared" si="1"/>
        <v>0</v>
      </c>
      <c r="W23" s="66">
        <v>0</v>
      </c>
      <c r="X23" s="67">
        <v>0</v>
      </c>
      <c r="Y23" s="66">
        <v>0</v>
      </c>
      <c r="Z23" s="67">
        <v>0</v>
      </c>
      <c r="AA23" s="66">
        <v>3</v>
      </c>
      <c r="AB23" s="67">
        <v>1669.53</v>
      </c>
      <c r="AC23" s="66">
        <v>0</v>
      </c>
      <c r="AD23" s="67">
        <v>0</v>
      </c>
      <c r="AE23" s="66">
        <v>0</v>
      </c>
      <c r="AF23" s="67">
        <v>0</v>
      </c>
      <c r="AG23" s="66">
        <v>27</v>
      </c>
      <c r="AH23" s="67">
        <v>15025.77</v>
      </c>
      <c r="AI23" s="66">
        <v>37</v>
      </c>
      <c r="AJ23" s="67">
        <v>20590.87</v>
      </c>
      <c r="AK23" s="66">
        <v>0</v>
      </c>
      <c r="AL23" s="67">
        <v>0</v>
      </c>
      <c r="AM23" s="66">
        <v>0</v>
      </c>
      <c r="AN23" s="67">
        <v>0</v>
      </c>
      <c r="AO23" s="66">
        <v>0</v>
      </c>
      <c r="AP23" s="67">
        <v>0</v>
      </c>
      <c r="AQ23" s="66">
        <v>0</v>
      </c>
      <c r="AR23" s="67">
        <v>0</v>
      </c>
    </row>
    <row r="24" spans="2:44" x14ac:dyDescent="0.3">
      <c r="B24" s="64" t="s">
        <v>267</v>
      </c>
      <c r="C24" s="64" t="s">
        <v>289</v>
      </c>
      <c r="D24" s="64" t="s">
        <v>290</v>
      </c>
      <c r="E24" s="64" t="s">
        <v>291</v>
      </c>
      <c r="F24" s="65">
        <v>334.31</v>
      </c>
      <c r="G24" s="66">
        <v>0</v>
      </c>
      <c r="H24" s="67">
        <v>0</v>
      </c>
      <c r="I24" s="66">
        <v>0</v>
      </c>
      <c r="J24" s="67">
        <v>0</v>
      </c>
      <c r="K24" s="66">
        <v>0</v>
      </c>
      <c r="L24" s="67">
        <v>0</v>
      </c>
      <c r="M24" s="66">
        <v>0</v>
      </c>
      <c r="N24" s="67">
        <v>0</v>
      </c>
      <c r="O24" s="66">
        <v>0</v>
      </c>
      <c r="P24" s="67">
        <v>0</v>
      </c>
      <c r="Q24" s="66">
        <v>0</v>
      </c>
      <c r="R24" s="67">
        <f t="shared" si="0"/>
        <v>0</v>
      </c>
      <c r="S24" s="66">
        <v>0</v>
      </c>
      <c r="T24" s="67">
        <v>0</v>
      </c>
      <c r="U24" s="66">
        <v>0</v>
      </c>
      <c r="V24" s="67">
        <f t="shared" si="1"/>
        <v>0</v>
      </c>
      <c r="W24" s="66">
        <v>0</v>
      </c>
      <c r="X24" s="67">
        <v>0</v>
      </c>
      <c r="Y24" s="66">
        <v>0</v>
      </c>
      <c r="Z24" s="67">
        <v>0</v>
      </c>
      <c r="AA24" s="66">
        <v>0</v>
      </c>
      <c r="AB24" s="67">
        <v>0</v>
      </c>
      <c r="AC24" s="66">
        <v>0</v>
      </c>
      <c r="AD24" s="67">
        <v>0</v>
      </c>
      <c r="AE24" s="66">
        <v>0</v>
      </c>
      <c r="AF24" s="67">
        <v>0</v>
      </c>
      <c r="AG24" s="66">
        <v>0</v>
      </c>
      <c r="AH24" s="67">
        <v>0</v>
      </c>
      <c r="AI24" s="66">
        <v>4</v>
      </c>
      <c r="AJ24" s="67">
        <v>1337.24</v>
      </c>
      <c r="AK24" s="66">
        <v>0</v>
      </c>
      <c r="AL24" s="67">
        <v>0</v>
      </c>
      <c r="AM24" s="66">
        <v>0</v>
      </c>
      <c r="AN24" s="67">
        <v>0</v>
      </c>
      <c r="AO24" s="66">
        <v>0</v>
      </c>
      <c r="AP24" s="67">
        <v>0</v>
      </c>
      <c r="AQ24" s="66">
        <v>0</v>
      </c>
      <c r="AR24" s="67">
        <v>0</v>
      </c>
    </row>
    <row r="25" spans="2:44" x14ac:dyDescent="0.3">
      <c r="B25" s="64" t="s">
        <v>267</v>
      </c>
      <c r="C25" s="64" t="s">
        <v>292</v>
      </c>
      <c r="D25" s="64" t="s">
        <v>293</v>
      </c>
      <c r="E25" s="64" t="s">
        <v>294</v>
      </c>
      <c r="F25" s="65">
        <v>1.0605</v>
      </c>
      <c r="G25" s="66">
        <v>20400</v>
      </c>
      <c r="H25" s="67">
        <v>21634.2</v>
      </c>
      <c r="I25" s="66">
        <v>0</v>
      </c>
      <c r="J25" s="67">
        <v>0</v>
      </c>
      <c r="K25" s="66">
        <v>8760</v>
      </c>
      <c r="L25" s="67">
        <v>9289.98</v>
      </c>
      <c r="M25" s="66">
        <v>0</v>
      </c>
      <c r="N25" s="67">
        <v>0</v>
      </c>
      <c r="O25" s="66">
        <v>0</v>
      </c>
      <c r="P25" s="67">
        <v>0</v>
      </c>
      <c r="Q25" s="66">
        <v>33400</v>
      </c>
      <c r="R25" s="67">
        <f t="shared" si="0"/>
        <v>35420.699999999997</v>
      </c>
      <c r="S25" s="66">
        <v>17520</v>
      </c>
      <c r="T25" s="67">
        <v>18579.96</v>
      </c>
      <c r="U25" s="66">
        <v>0</v>
      </c>
      <c r="V25" s="67">
        <f t="shared" si="1"/>
        <v>0</v>
      </c>
      <c r="W25" s="66">
        <v>0</v>
      </c>
      <c r="X25" s="67">
        <v>0</v>
      </c>
      <c r="Y25" s="66">
        <v>12003.8</v>
      </c>
      <c r="Z25" s="67">
        <v>12730.0299</v>
      </c>
      <c r="AA25" s="66">
        <v>26360</v>
      </c>
      <c r="AB25" s="67">
        <v>27954.78</v>
      </c>
      <c r="AC25" s="66">
        <v>0</v>
      </c>
      <c r="AD25" s="67">
        <v>0</v>
      </c>
      <c r="AE25" s="66">
        <v>0</v>
      </c>
      <c r="AF25" s="67">
        <v>0</v>
      </c>
      <c r="AG25" s="66">
        <v>1</v>
      </c>
      <c r="AH25" s="67">
        <v>1.0605</v>
      </c>
      <c r="AI25" s="66">
        <v>35040</v>
      </c>
      <c r="AJ25" s="67">
        <v>37159.919999999998</v>
      </c>
      <c r="AK25" s="66">
        <v>0</v>
      </c>
      <c r="AL25" s="67">
        <v>0</v>
      </c>
      <c r="AM25" s="66">
        <v>0</v>
      </c>
      <c r="AN25" s="67">
        <v>0</v>
      </c>
      <c r="AO25" s="66">
        <v>0</v>
      </c>
      <c r="AP25" s="67">
        <v>0</v>
      </c>
      <c r="AQ25" s="66">
        <v>0</v>
      </c>
      <c r="AR25" s="67">
        <v>0</v>
      </c>
    </row>
    <row r="26" spans="2:44" x14ac:dyDescent="0.3">
      <c r="B26" s="64" t="s">
        <v>267</v>
      </c>
      <c r="C26" s="64" t="s">
        <v>295</v>
      </c>
      <c r="D26" s="64" t="s">
        <v>296</v>
      </c>
      <c r="E26" s="64" t="s">
        <v>294</v>
      </c>
      <c r="F26" s="65">
        <v>8.484</v>
      </c>
      <c r="G26" s="66">
        <v>6800</v>
      </c>
      <c r="H26" s="67">
        <v>57691.199999999997</v>
      </c>
      <c r="I26" s="66">
        <v>0</v>
      </c>
      <c r="J26" s="67">
        <v>0</v>
      </c>
      <c r="K26" s="66">
        <v>0</v>
      </c>
      <c r="L26" s="67">
        <v>0</v>
      </c>
      <c r="M26" s="66">
        <v>0</v>
      </c>
      <c r="N26" s="67">
        <v>0</v>
      </c>
      <c r="O26" s="66">
        <v>0</v>
      </c>
      <c r="P26" s="67">
        <v>0</v>
      </c>
      <c r="Q26" s="66">
        <v>0</v>
      </c>
      <c r="R26" s="67">
        <f t="shared" si="0"/>
        <v>0</v>
      </c>
      <c r="S26" s="66">
        <v>0</v>
      </c>
      <c r="T26" s="67">
        <v>0</v>
      </c>
      <c r="U26" s="66">
        <v>0</v>
      </c>
      <c r="V26" s="67">
        <f t="shared" si="1"/>
        <v>0</v>
      </c>
      <c r="W26" s="66">
        <v>0</v>
      </c>
      <c r="X26" s="67">
        <v>0</v>
      </c>
      <c r="Y26" s="66">
        <v>0</v>
      </c>
      <c r="Z26" s="67">
        <v>0</v>
      </c>
      <c r="AA26" s="66">
        <v>0</v>
      </c>
      <c r="AB26" s="67">
        <v>0</v>
      </c>
      <c r="AC26" s="66">
        <v>0</v>
      </c>
      <c r="AD26" s="67">
        <v>0</v>
      </c>
      <c r="AE26" s="66">
        <v>0</v>
      </c>
      <c r="AF26" s="67">
        <v>0</v>
      </c>
      <c r="AG26" s="66">
        <v>0</v>
      </c>
      <c r="AH26" s="67">
        <v>0</v>
      </c>
      <c r="AI26" s="66">
        <v>10000</v>
      </c>
      <c r="AJ26" s="67">
        <v>84840</v>
      </c>
      <c r="AK26" s="66">
        <v>0</v>
      </c>
      <c r="AL26" s="67">
        <v>0</v>
      </c>
      <c r="AM26" s="66">
        <v>0</v>
      </c>
      <c r="AN26" s="67">
        <v>0</v>
      </c>
      <c r="AO26" s="66">
        <v>0</v>
      </c>
      <c r="AP26" s="67">
        <v>0</v>
      </c>
      <c r="AQ26" s="66">
        <v>0</v>
      </c>
      <c r="AR26" s="67">
        <v>0</v>
      </c>
    </row>
    <row r="27" spans="2:44" x14ac:dyDescent="0.3">
      <c r="B27" s="64" t="s">
        <v>267</v>
      </c>
      <c r="C27" s="64" t="s">
        <v>295</v>
      </c>
      <c r="D27" s="64" t="s">
        <v>297</v>
      </c>
      <c r="E27" s="64" t="s">
        <v>294</v>
      </c>
      <c r="F27" s="65">
        <v>4.242</v>
      </c>
      <c r="G27" s="66">
        <v>0</v>
      </c>
      <c r="H27" s="67">
        <v>0</v>
      </c>
      <c r="I27" s="66">
        <v>0</v>
      </c>
      <c r="J27" s="67">
        <v>0</v>
      </c>
      <c r="K27" s="66">
        <v>0</v>
      </c>
      <c r="L27" s="67">
        <v>0</v>
      </c>
      <c r="M27" s="66">
        <v>0</v>
      </c>
      <c r="N27" s="67">
        <v>0</v>
      </c>
      <c r="O27" s="66">
        <v>0</v>
      </c>
      <c r="P27" s="67">
        <v>0</v>
      </c>
      <c r="Q27" s="66">
        <v>0</v>
      </c>
      <c r="R27" s="67">
        <f t="shared" si="0"/>
        <v>0</v>
      </c>
      <c r="S27" s="66">
        <v>0</v>
      </c>
      <c r="T27" s="67">
        <v>0</v>
      </c>
      <c r="U27" s="66">
        <v>0</v>
      </c>
      <c r="V27" s="67">
        <f t="shared" si="1"/>
        <v>0</v>
      </c>
      <c r="W27" s="66">
        <v>0</v>
      </c>
      <c r="X27" s="67">
        <v>0</v>
      </c>
      <c r="Y27" s="66">
        <v>7138.8</v>
      </c>
      <c r="Z27" s="67">
        <v>30282.7896</v>
      </c>
      <c r="AA27" s="66">
        <v>0</v>
      </c>
      <c r="AB27" s="67">
        <v>0</v>
      </c>
      <c r="AC27" s="66">
        <v>0</v>
      </c>
      <c r="AD27" s="67">
        <v>0</v>
      </c>
      <c r="AE27" s="66">
        <v>0</v>
      </c>
      <c r="AF27" s="67">
        <v>0</v>
      </c>
      <c r="AG27" s="66">
        <v>1</v>
      </c>
      <c r="AH27" s="67">
        <v>4.242</v>
      </c>
      <c r="AI27" s="66">
        <v>0</v>
      </c>
      <c r="AJ27" s="67">
        <v>0</v>
      </c>
      <c r="AK27" s="66">
        <v>0</v>
      </c>
      <c r="AL27" s="67">
        <v>0</v>
      </c>
      <c r="AM27" s="66">
        <v>0</v>
      </c>
      <c r="AN27" s="67">
        <v>0</v>
      </c>
      <c r="AO27" s="66">
        <v>0</v>
      </c>
      <c r="AP27" s="67">
        <v>0</v>
      </c>
      <c r="AQ27" s="66">
        <v>0</v>
      </c>
      <c r="AR27" s="67">
        <v>0</v>
      </c>
    </row>
    <row r="28" spans="2:44" x14ac:dyDescent="0.3">
      <c r="B28" s="64" t="s">
        <v>267</v>
      </c>
      <c r="C28" s="64" t="s">
        <v>295</v>
      </c>
      <c r="D28" s="64" t="s">
        <v>298</v>
      </c>
      <c r="E28" s="64" t="s">
        <v>294</v>
      </c>
      <c r="F28" s="65">
        <v>21.21</v>
      </c>
      <c r="G28" s="66">
        <v>13600</v>
      </c>
      <c r="H28" s="67">
        <v>288456</v>
      </c>
      <c r="I28" s="66">
        <v>1000</v>
      </c>
      <c r="J28" s="67">
        <v>21210</v>
      </c>
      <c r="K28" s="66">
        <v>8760</v>
      </c>
      <c r="L28" s="67">
        <v>185799.6</v>
      </c>
      <c r="M28" s="66">
        <v>0</v>
      </c>
      <c r="N28" s="67">
        <v>0</v>
      </c>
      <c r="O28" s="66">
        <v>0</v>
      </c>
      <c r="P28" s="67">
        <v>0</v>
      </c>
      <c r="Q28" s="66">
        <v>0</v>
      </c>
      <c r="R28" s="67">
        <f t="shared" si="0"/>
        <v>0</v>
      </c>
      <c r="S28" s="66">
        <v>3000</v>
      </c>
      <c r="T28" s="67">
        <v>63630</v>
      </c>
      <c r="U28" s="66">
        <v>0</v>
      </c>
      <c r="V28" s="67">
        <f t="shared" si="1"/>
        <v>0</v>
      </c>
      <c r="W28" s="66">
        <v>0</v>
      </c>
      <c r="X28" s="67">
        <v>0</v>
      </c>
      <c r="Y28" s="66">
        <v>4865</v>
      </c>
      <c r="Z28" s="67">
        <v>103186.65</v>
      </c>
      <c r="AA28" s="66">
        <v>720</v>
      </c>
      <c r="AB28" s="67">
        <v>15271.2</v>
      </c>
      <c r="AC28" s="66">
        <v>0</v>
      </c>
      <c r="AD28" s="67">
        <v>0</v>
      </c>
      <c r="AE28" s="66">
        <v>0</v>
      </c>
      <c r="AF28" s="67">
        <v>0</v>
      </c>
      <c r="AG28" s="66">
        <v>0</v>
      </c>
      <c r="AH28" s="67">
        <v>0</v>
      </c>
      <c r="AI28" s="66">
        <v>10000</v>
      </c>
      <c r="AJ28" s="67">
        <v>212100</v>
      </c>
      <c r="AK28" s="66">
        <v>0</v>
      </c>
      <c r="AL28" s="67">
        <v>0</v>
      </c>
      <c r="AM28" s="66">
        <v>0</v>
      </c>
      <c r="AN28" s="67">
        <v>0</v>
      </c>
      <c r="AO28" s="66">
        <v>0</v>
      </c>
      <c r="AP28" s="67">
        <v>0</v>
      </c>
      <c r="AQ28" s="66">
        <v>0</v>
      </c>
      <c r="AR28" s="67">
        <v>0</v>
      </c>
    </row>
    <row r="29" spans="2:44" x14ac:dyDescent="0.3">
      <c r="B29" s="64" t="s">
        <v>267</v>
      </c>
      <c r="C29" s="64" t="s">
        <v>120</v>
      </c>
      <c r="D29" s="64" t="s">
        <v>299</v>
      </c>
      <c r="E29" s="64" t="s">
        <v>122</v>
      </c>
      <c r="F29" s="65">
        <v>2333.1</v>
      </c>
      <c r="G29" s="66">
        <v>4</v>
      </c>
      <c r="H29" s="67">
        <v>9332.4</v>
      </c>
      <c r="I29" s="66">
        <v>0</v>
      </c>
      <c r="J29" s="67">
        <v>0</v>
      </c>
      <c r="K29" s="66">
        <v>5</v>
      </c>
      <c r="L29" s="67">
        <v>11665.5</v>
      </c>
      <c r="M29" s="66">
        <v>4</v>
      </c>
      <c r="N29" s="67">
        <v>9332.4</v>
      </c>
      <c r="O29" s="66">
        <v>0</v>
      </c>
      <c r="P29" s="67">
        <v>0</v>
      </c>
      <c r="Q29" s="66">
        <v>27</v>
      </c>
      <c r="R29" s="67">
        <f t="shared" si="0"/>
        <v>62993.7</v>
      </c>
      <c r="S29" s="66">
        <v>14</v>
      </c>
      <c r="T29" s="67">
        <v>32663.4</v>
      </c>
      <c r="U29" s="66">
        <v>14</v>
      </c>
      <c r="V29" s="67">
        <f t="shared" si="1"/>
        <v>32663.399999999998</v>
      </c>
      <c r="W29" s="66">
        <v>4</v>
      </c>
      <c r="X29" s="67">
        <v>9332.4</v>
      </c>
      <c r="Y29" s="66">
        <v>4</v>
      </c>
      <c r="Z29" s="67">
        <v>9332.4</v>
      </c>
      <c r="AA29" s="66">
        <v>3</v>
      </c>
      <c r="AB29" s="67">
        <v>6999.3</v>
      </c>
      <c r="AC29" s="66">
        <v>1</v>
      </c>
      <c r="AD29" s="67">
        <v>2333.1</v>
      </c>
      <c r="AE29" s="66">
        <v>45</v>
      </c>
      <c r="AF29" s="67">
        <v>104989.5</v>
      </c>
      <c r="AG29" s="66">
        <v>10</v>
      </c>
      <c r="AH29" s="67">
        <v>23331</v>
      </c>
      <c r="AI29" s="66">
        <v>8</v>
      </c>
      <c r="AJ29" s="67">
        <v>18664.8</v>
      </c>
      <c r="AK29" s="66">
        <v>1</v>
      </c>
      <c r="AL29" s="67">
        <v>2333.1</v>
      </c>
      <c r="AM29" s="66">
        <v>0</v>
      </c>
      <c r="AN29" s="67">
        <v>0</v>
      </c>
      <c r="AO29" s="66">
        <v>0</v>
      </c>
      <c r="AP29" s="67">
        <v>0</v>
      </c>
      <c r="AQ29" s="66">
        <v>0</v>
      </c>
      <c r="AR29" s="67">
        <v>0</v>
      </c>
    </row>
    <row r="30" spans="2:44" x14ac:dyDescent="0.3">
      <c r="B30" s="64" t="s">
        <v>267</v>
      </c>
      <c r="C30" s="64" t="s">
        <v>120</v>
      </c>
      <c r="D30" s="64" t="s">
        <v>300</v>
      </c>
      <c r="E30" s="64" t="s">
        <v>122</v>
      </c>
      <c r="F30" s="65">
        <v>3711.75</v>
      </c>
      <c r="G30" s="66">
        <v>7</v>
      </c>
      <c r="H30" s="67">
        <v>25982.25</v>
      </c>
      <c r="I30" s="66">
        <v>0</v>
      </c>
      <c r="J30" s="67">
        <v>0</v>
      </c>
      <c r="K30" s="66">
        <v>4</v>
      </c>
      <c r="L30" s="67">
        <v>14847</v>
      </c>
      <c r="M30" s="66">
        <v>5</v>
      </c>
      <c r="N30" s="67">
        <v>18558.75</v>
      </c>
      <c r="O30" s="66">
        <v>0</v>
      </c>
      <c r="P30" s="67">
        <v>0</v>
      </c>
      <c r="Q30" s="66">
        <v>0</v>
      </c>
      <c r="R30" s="67">
        <f t="shared" si="0"/>
        <v>0</v>
      </c>
      <c r="S30" s="66">
        <v>4</v>
      </c>
      <c r="T30" s="67">
        <v>14847</v>
      </c>
      <c r="U30" s="66">
        <v>3</v>
      </c>
      <c r="V30" s="67">
        <f t="shared" si="1"/>
        <v>11135.25</v>
      </c>
      <c r="W30" s="66">
        <v>0</v>
      </c>
      <c r="X30" s="67">
        <v>0</v>
      </c>
      <c r="Y30" s="66">
        <v>2</v>
      </c>
      <c r="Z30" s="67">
        <v>7423.5</v>
      </c>
      <c r="AA30" s="66">
        <v>5</v>
      </c>
      <c r="AB30" s="67">
        <v>18558.75</v>
      </c>
      <c r="AC30" s="66">
        <v>0</v>
      </c>
      <c r="AD30" s="67">
        <v>0</v>
      </c>
      <c r="AE30" s="66">
        <v>8</v>
      </c>
      <c r="AF30" s="67">
        <v>29694</v>
      </c>
      <c r="AG30" s="66">
        <v>2</v>
      </c>
      <c r="AH30" s="67">
        <v>7423.5</v>
      </c>
      <c r="AI30" s="66">
        <v>3</v>
      </c>
      <c r="AJ30" s="67">
        <v>11135.25</v>
      </c>
      <c r="AK30" s="66">
        <v>0</v>
      </c>
      <c r="AL30" s="67">
        <v>0</v>
      </c>
      <c r="AM30" s="66">
        <v>0</v>
      </c>
      <c r="AN30" s="67">
        <v>0</v>
      </c>
      <c r="AO30" s="66">
        <v>4</v>
      </c>
      <c r="AP30" s="67">
        <v>14847</v>
      </c>
      <c r="AQ30" s="66">
        <v>0</v>
      </c>
      <c r="AR30" s="67">
        <v>0</v>
      </c>
    </row>
    <row r="31" spans="2:44" x14ac:dyDescent="0.3">
      <c r="B31" s="64" t="s">
        <v>267</v>
      </c>
      <c r="C31" s="64" t="s">
        <v>120</v>
      </c>
      <c r="D31" s="64" t="s">
        <v>121</v>
      </c>
      <c r="E31" s="64" t="s">
        <v>122</v>
      </c>
      <c r="F31" s="65">
        <v>1272.5999999999999</v>
      </c>
      <c r="G31" s="66">
        <v>1</v>
      </c>
      <c r="H31" s="67">
        <v>1272.5999999999999</v>
      </c>
      <c r="I31" s="66">
        <v>154</v>
      </c>
      <c r="J31" s="67">
        <v>195980.4</v>
      </c>
      <c r="K31" s="66">
        <v>19</v>
      </c>
      <c r="L31" s="67">
        <v>24179.4</v>
      </c>
      <c r="M31" s="66">
        <v>0</v>
      </c>
      <c r="N31" s="67">
        <v>0</v>
      </c>
      <c r="O31" s="66">
        <v>5</v>
      </c>
      <c r="P31" s="67">
        <v>6363</v>
      </c>
      <c r="Q31" s="66">
        <v>2</v>
      </c>
      <c r="R31" s="67">
        <f t="shared" si="0"/>
        <v>2545.1999999999998</v>
      </c>
      <c r="S31" s="66">
        <v>6</v>
      </c>
      <c r="T31" s="67">
        <v>7635.6</v>
      </c>
      <c r="U31" s="66">
        <v>0</v>
      </c>
      <c r="V31" s="67">
        <f t="shared" si="1"/>
        <v>0</v>
      </c>
      <c r="W31" s="66">
        <v>0</v>
      </c>
      <c r="X31" s="67">
        <v>0</v>
      </c>
      <c r="Y31" s="66">
        <v>20</v>
      </c>
      <c r="Z31" s="67">
        <v>25452</v>
      </c>
      <c r="AA31" s="66">
        <v>7</v>
      </c>
      <c r="AB31" s="67">
        <v>8908.2000000000007</v>
      </c>
      <c r="AC31" s="66">
        <v>1</v>
      </c>
      <c r="AD31" s="67">
        <v>1272.5999999999999</v>
      </c>
      <c r="AE31" s="66">
        <v>2</v>
      </c>
      <c r="AF31" s="67">
        <v>2545.1999999999998</v>
      </c>
      <c r="AG31" s="66">
        <v>17</v>
      </c>
      <c r="AH31" s="67">
        <v>21634.2</v>
      </c>
      <c r="AI31" s="66">
        <v>12</v>
      </c>
      <c r="AJ31" s="67">
        <v>15271.2</v>
      </c>
      <c r="AK31" s="66">
        <v>10</v>
      </c>
      <c r="AL31" s="67">
        <v>12726</v>
      </c>
      <c r="AM31" s="66">
        <v>1</v>
      </c>
      <c r="AN31" s="67">
        <v>1272.5999999999999</v>
      </c>
      <c r="AO31" s="66">
        <v>0</v>
      </c>
      <c r="AP31" s="67">
        <v>0</v>
      </c>
      <c r="AQ31" s="66">
        <v>0</v>
      </c>
      <c r="AR31" s="67">
        <v>0</v>
      </c>
    </row>
    <row r="32" spans="2:44" x14ac:dyDescent="0.3">
      <c r="B32" s="64" t="s">
        <v>267</v>
      </c>
      <c r="C32" s="64" t="s">
        <v>120</v>
      </c>
      <c r="D32" s="64" t="s">
        <v>301</v>
      </c>
      <c r="E32" s="64" t="s">
        <v>122</v>
      </c>
      <c r="F32" s="65">
        <v>5832.75</v>
      </c>
      <c r="G32" s="66">
        <v>3</v>
      </c>
      <c r="H32" s="67">
        <v>17498.25</v>
      </c>
      <c r="I32" s="66">
        <v>0</v>
      </c>
      <c r="J32" s="67">
        <v>0</v>
      </c>
      <c r="K32" s="66">
        <v>3</v>
      </c>
      <c r="L32" s="67">
        <v>17498.25</v>
      </c>
      <c r="M32" s="66">
        <v>0</v>
      </c>
      <c r="N32" s="67">
        <v>0</v>
      </c>
      <c r="O32" s="66">
        <v>0</v>
      </c>
      <c r="P32" s="67">
        <v>0</v>
      </c>
      <c r="Q32" s="66">
        <v>0</v>
      </c>
      <c r="R32" s="67">
        <f t="shared" si="0"/>
        <v>0</v>
      </c>
      <c r="S32" s="66">
        <v>3</v>
      </c>
      <c r="T32" s="67">
        <v>17498.25</v>
      </c>
      <c r="U32" s="66">
        <v>0</v>
      </c>
      <c r="V32" s="67">
        <f t="shared" si="1"/>
        <v>0</v>
      </c>
      <c r="W32" s="66">
        <v>0</v>
      </c>
      <c r="X32" s="67">
        <v>0</v>
      </c>
      <c r="Y32" s="66">
        <v>0</v>
      </c>
      <c r="Z32" s="67">
        <v>0</v>
      </c>
      <c r="AA32" s="66">
        <v>5</v>
      </c>
      <c r="AB32" s="67">
        <v>29163.75</v>
      </c>
      <c r="AC32" s="66">
        <v>0</v>
      </c>
      <c r="AD32" s="67">
        <v>0</v>
      </c>
      <c r="AE32" s="66">
        <v>0</v>
      </c>
      <c r="AF32" s="67">
        <v>0</v>
      </c>
      <c r="AG32" s="66">
        <v>3</v>
      </c>
      <c r="AH32" s="67">
        <v>17498.25</v>
      </c>
      <c r="AI32" s="66">
        <v>3</v>
      </c>
      <c r="AJ32" s="67">
        <v>17498.25</v>
      </c>
      <c r="AK32" s="66">
        <v>0</v>
      </c>
      <c r="AL32" s="67">
        <v>0</v>
      </c>
      <c r="AM32" s="66">
        <v>0</v>
      </c>
      <c r="AN32" s="67">
        <v>0</v>
      </c>
      <c r="AO32" s="66">
        <v>3</v>
      </c>
      <c r="AP32" s="67">
        <v>17498.25</v>
      </c>
      <c r="AQ32" s="66">
        <v>0</v>
      </c>
      <c r="AR32" s="67">
        <v>0</v>
      </c>
    </row>
    <row r="33" spans="2:44" x14ac:dyDescent="0.3">
      <c r="B33" s="64" t="s">
        <v>267</v>
      </c>
      <c r="C33" s="64" t="s">
        <v>302</v>
      </c>
      <c r="D33" s="64" t="s">
        <v>303</v>
      </c>
      <c r="E33" s="64" t="s">
        <v>304</v>
      </c>
      <c r="F33" s="65">
        <v>3711.75</v>
      </c>
      <c r="G33" s="66">
        <v>3</v>
      </c>
      <c r="H33" s="67">
        <v>11135.25</v>
      </c>
      <c r="I33" s="66">
        <v>17</v>
      </c>
      <c r="J33" s="67">
        <v>63099.75</v>
      </c>
      <c r="K33" s="66">
        <v>0</v>
      </c>
      <c r="L33" s="67">
        <v>0</v>
      </c>
      <c r="M33" s="66">
        <v>0</v>
      </c>
      <c r="N33" s="67">
        <v>0</v>
      </c>
      <c r="O33" s="66">
        <v>0</v>
      </c>
      <c r="P33" s="67">
        <v>0</v>
      </c>
      <c r="Q33" s="66">
        <v>6</v>
      </c>
      <c r="R33" s="67">
        <f t="shared" si="0"/>
        <v>22270.5</v>
      </c>
      <c r="S33" s="66">
        <v>7</v>
      </c>
      <c r="T33" s="67">
        <v>25982.25</v>
      </c>
      <c r="U33" s="66">
        <v>0</v>
      </c>
      <c r="V33" s="67">
        <f t="shared" si="1"/>
        <v>0</v>
      </c>
      <c r="W33" s="66">
        <v>0</v>
      </c>
      <c r="X33" s="67">
        <v>0</v>
      </c>
      <c r="Y33" s="66">
        <v>1</v>
      </c>
      <c r="Z33" s="67">
        <v>3711.75</v>
      </c>
      <c r="AA33" s="66">
        <v>4</v>
      </c>
      <c r="AB33" s="67">
        <v>14847</v>
      </c>
      <c r="AC33" s="66">
        <v>0</v>
      </c>
      <c r="AD33" s="67">
        <v>0</v>
      </c>
      <c r="AE33" s="66">
        <v>0</v>
      </c>
      <c r="AF33" s="67">
        <v>0</v>
      </c>
      <c r="AG33" s="66">
        <v>0</v>
      </c>
      <c r="AH33" s="67">
        <v>0</v>
      </c>
      <c r="AI33" s="66">
        <v>4</v>
      </c>
      <c r="AJ33" s="67">
        <v>14847</v>
      </c>
      <c r="AK33" s="66">
        <v>0</v>
      </c>
      <c r="AL33" s="67">
        <v>0</v>
      </c>
      <c r="AM33" s="66">
        <v>0</v>
      </c>
      <c r="AN33" s="67">
        <v>0</v>
      </c>
      <c r="AO33" s="66">
        <v>4</v>
      </c>
      <c r="AP33" s="67">
        <v>14847</v>
      </c>
      <c r="AQ33" s="66">
        <v>0</v>
      </c>
      <c r="AR33" s="67">
        <v>0</v>
      </c>
    </row>
    <row r="34" spans="2:44" x14ac:dyDescent="0.3">
      <c r="B34" s="64" t="s">
        <v>267</v>
      </c>
      <c r="C34" s="64" t="s">
        <v>128</v>
      </c>
      <c r="D34" s="64" t="s">
        <v>129</v>
      </c>
      <c r="E34" s="64" t="s">
        <v>305</v>
      </c>
      <c r="F34" s="65">
        <v>116.655</v>
      </c>
      <c r="G34" s="66">
        <v>644</v>
      </c>
      <c r="H34" s="67">
        <v>75125.820000000007</v>
      </c>
      <c r="I34" s="66"/>
      <c r="J34" s="67">
        <v>0</v>
      </c>
      <c r="K34" s="66">
        <v>760</v>
      </c>
      <c r="L34" s="67">
        <v>88657.8</v>
      </c>
      <c r="M34" s="66">
        <v>225</v>
      </c>
      <c r="N34" s="67">
        <v>26247.375</v>
      </c>
      <c r="O34" s="66">
        <v>2754</v>
      </c>
      <c r="P34" s="67">
        <v>321267.87</v>
      </c>
      <c r="Q34" s="66">
        <v>0</v>
      </c>
      <c r="R34" s="67">
        <f t="shared" si="0"/>
        <v>0</v>
      </c>
      <c r="S34" s="66">
        <v>594</v>
      </c>
      <c r="T34" s="67">
        <v>69293.070000000007</v>
      </c>
      <c r="U34" s="66">
        <v>1365</v>
      </c>
      <c r="V34" s="67">
        <f t="shared" si="1"/>
        <v>159234.07500000001</v>
      </c>
      <c r="W34" s="66">
        <v>490</v>
      </c>
      <c r="X34" s="67">
        <v>57160.95</v>
      </c>
      <c r="Y34" s="66">
        <v>685</v>
      </c>
      <c r="Z34" s="67">
        <v>79908.675000000003</v>
      </c>
      <c r="AA34" s="66">
        <v>1210</v>
      </c>
      <c r="AB34" s="67">
        <v>141152.54999999999</v>
      </c>
      <c r="AC34" s="66">
        <v>84</v>
      </c>
      <c r="AD34" s="67">
        <v>9799.02</v>
      </c>
      <c r="AE34" s="66">
        <v>1260</v>
      </c>
      <c r="AF34" s="67">
        <f>AE34*F34</f>
        <v>146985.29999999999</v>
      </c>
      <c r="AG34" s="66">
        <v>1357</v>
      </c>
      <c r="AH34" s="67">
        <v>158300.83499999999</v>
      </c>
      <c r="AI34" s="66">
        <v>706</v>
      </c>
      <c r="AJ34" s="67">
        <v>82358.429999999993</v>
      </c>
      <c r="AK34" s="66">
        <v>295</v>
      </c>
      <c r="AL34" s="67">
        <v>34413.224999999999</v>
      </c>
      <c r="AM34" s="66">
        <v>514</v>
      </c>
      <c r="AN34" s="67">
        <v>59960.67</v>
      </c>
      <c r="AO34" s="66">
        <v>146</v>
      </c>
      <c r="AP34" s="67">
        <v>17031.63</v>
      </c>
      <c r="AQ34" s="66">
        <v>0</v>
      </c>
      <c r="AR34" s="67">
        <v>0</v>
      </c>
    </row>
    <row r="35" spans="2:44" x14ac:dyDescent="0.3">
      <c r="B35" s="64" t="s">
        <v>267</v>
      </c>
      <c r="C35" s="64" t="s">
        <v>306</v>
      </c>
      <c r="D35" s="64" t="s">
        <v>307</v>
      </c>
      <c r="E35" s="64" t="s">
        <v>308</v>
      </c>
      <c r="F35" s="65">
        <v>89.081999999999994</v>
      </c>
      <c r="G35" s="66">
        <v>6</v>
      </c>
      <c r="H35" s="67">
        <v>534.49199999999996</v>
      </c>
      <c r="I35" s="66">
        <v>0</v>
      </c>
      <c r="J35" s="67">
        <v>0</v>
      </c>
      <c r="K35" s="66">
        <v>10</v>
      </c>
      <c r="L35" s="67">
        <v>890.82</v>
      </c>
      <c r="M35" s="66">
        <v>1</v>
      </c>
      <c r="N35" s="67">
        <v>89.081999999999994</v>
      </c>
      <c r="O35" s="66">
        <v>0</v>
      </c>
      <c r="P35" s="67">
        <v>0</v>
      </c>
      <c r="Q35" s="66">
        <v>0</v>
      </c>
      <c r="R35" s="67">
        <f t="shared" si="0"/>
        <v>0</v>
      </c>
      <c r="S35" s="66">
        <v>24</v>
      </c>
      <c r="T35" s="67">
        <v>2137.9679999999998</v>
      </c>
      <c r="U35" s="66">
        <v>11</v>
      </c>
      <c r="V35" s="67">
        <f t="shared" si="1"/>
        <v>979.90199999999993</v>
      </c>
      <c r="W35" s="66">
        <v>0</v>
      </c>
      <c r="X35" s="67">
        <v>0</v>
      </c>
      <c r="Y35" s="66">
        <v>82</v>
      </c>
      <c r="Z35" s="67">
        <v>7304.7240000000002</v>
      </c>
      <c r="AA35" s="66">
        <v>11</v>
      </c>
      <c r="AB35" s="67">
        <v>979.90200000000004</v>
      </c>
      <c r="AC35" s="66">
        <v>0</v>
      </c>
      <c r="AD35" s="67">
        <v>0</v>
      </c>
      <c r="AE35" s="66">
        <v>0</v>
      </c>
      <c r="AF35" s="67">
        <v>0</v>
      </c>
      <c r="AG35" s="66">
        <v>3</v>
      </c>
      <c r="AH35" s="67">
        <v>267.24599999999998</v>
      </c>
      <c r="AI35" s="66">
        <v>8</v>
      </c>
      <c r="AJ35" s="67">
        <v>712.65599999999995</v>
      </c>
      <c r="AK35" s="66">
        <v>0</v>
      </c>
      <c r="AL35" s="67">
        <v>0</v>
      </c>
      <c r="AM35" s="66">
        <v>13</v>
      </c>
      <c r="AN35" s="67">
        <v>1158.066</v>
      </c>
      <c r="AO35" s="66">
        <v>3</v>
      </c>
      <c r="AP35" s="67">
        <v>267.24599999999998</v>
      </c>
      <c r="AQ35" s="66">
        <v>0</v>
      </c>
      <c r="AR35" s="67">
        <v>0</v>
      </c>
    </row>
    <row r="36" spans="2:44" x14ac:dyDescent="0.3">
      <c r="B36" s="64" t="s">
        <v>267</v>
      </c>
      <c r="C36" s="64" t="s">
        <v>132</v>
      </c>
      <c r="D36" s="64" t="s">
        <v>133</v>
      </c>
      <c r="E36" s="64" t="s">
        <v>134</v>
      </c>
      <c r="F36" s="65">
        <v>66.66</v>
      </c>
      <c r="G36" s="66">
        <v>270</v>
      </c>
      <c r="H36" s="67">
        <v>17998.2</v>
      </c>
      <c r="I36" s="66">
        <v>908</v>
      </c>
      <c r="J36" s="67">
        <v>60527.28</v>
      </c>
      <c r="K36" s="66">
        <v>272</v>
      </c>
      <c r="L36" s="67">
        <v>18131.52</v>
      </c>
      <c r="M36" s="66">
        <v>145</v>
      </c>
      <c r="N36" s="67">
        <v>9665.7000000000007</v>
      </c>
      <c r="O36" s="66">
        <v>32</v>
      </c>
      <c r="P36" s="67">
        <v>2133.12</v>
      </c>
      <c r="Q36" s="66">
        <v>1852</v>
      </c>
      <c r="R36" s="67">
        <f t="shared" si="0"/>
        <v>123454.31999999999</v>
      </c>
      <c r="S36" s="66">
        <v>215</v>
      </c>
      <c r="T36" s="67">
        <v>14331.9</v>
      </c>
      <c r="U36" s="66">
        <v>639</v>
      </c>
      <c r="V36" s="67">
        <f t="shared" si="1"/>
        <v>42595.74</v>
      </c>
      <c r="W36" s="66">
        <v>81</v>
      </c>
      <c r="X36" s="67">
        <v>5399.46</v>
      </c>
      <c r="Y36" s="66">
        <v>304</v>
      </c>
      <c r="Z36" s="67">
        <v>20264.64</v>
      </c>
      <c r="AA36" s="66">
        <v>80</v>
      </c>
      <c r="AB36" s="67">
        <v>5332.8</v>
      </c>
      <c r="AC36" s="66">
        <v>161</v>
      </c>
      <c r="AD36" s="67">
        <v>10732.26</v>
      </c>
      <c r="AE36" s="66">
        <v>209</v>
      </c>
      <c r="AF36" s="67">
        <v>13931.94</v>
      </c>
      <c r="AG36" s="66">
        <v>524</v>
      </c>
      <c r="AH36" s="67">
        <v>34929.839999999997</v>
      </c>
      <c r="AI36" s="66">
        <v>526</v>
      </c>
      <c r="AJ36" s="67">
        <v>35063.160000000003</v>
      </c>
      <c r="AK36" s="66">
        <v>102</v>
      </c>
      <c r="AL36" s="67">
        <v>6799.32</v>
      </c>
      <c r="AM36" s="66">
        <v>53</v>
      </c>
      <c r="AN36" s="67">
        <v>3532.98</v>
      </c>
      <c r="AO36" s="66">
        <v>503</v>
      </c>
      <c r="AP36" s="67">
        <v>33529.980000000003</v>
      </c>
      <c r="AQ36" s="66">
        <v>0</v>
      </c>
      <c r="AR36" s="67">
        <v>0</v>
      </c>
    </row>
    <row r="37" spans="2:44" x14ac:dyDescent="0.3">
      <c r="B37" s="64" t="s">
        <v>267</v>
      </c>
      <c r="C37" s="64" t="s">
        <v>309</v>
      </c>
      <c r="D37" s="64" t="s">
        <v>310</v>
      </c>
      <c r="E37" s="64" t="s">
        <v>311</v>
      </c>
      <c r="F37" s="65">
        <v>389.86</v>
      </c>
      <c r="G37" s="66">
        <v>0</v>
      </c>
      <c r="H37" s="67">
        <v>0</v>
      </c>
      <c r="I37" s="66">
        <v>0</v>
      </c>
      <c r="J37" s="67">
        <v>0</v>
      </c>
      <c r="K37" s="66">
        <v>31</v>
      </c>
      <c r="L37" s="67">
        <v>12085.66</v>
      </c>
      <c r="M37" s="66">
        <v>3</v>
      </c>
      <c r="N37" s="67">
        <v>1169.58</v>
      </c>
      <c r="O37" s="66">
        <v>0</v>
      </c>
      <c r="P37" s="67">
        <v>0</v>
      </c>
      <c r="Q37" s="66">
        <v>0</v>
      </c>
      <c r="R37" s="67">
        <f t="shared" ref="R37:R68" si="2">Q37*F37</f>
        <v>0</v>
      </c>
      <c r="S37" s="66">
        <v>7</v>
      </c>
      <c r="T37" s="67">
        <v>2729.02</v>
      </c>
      <c r="U37" s="66">
        <v>0</v>
      </c>
      <c r="V37" s="67">
        <f t="shared" ref="V37:V68" si="3">U37*F37</f>
        <v>0</v>
      </c>
      <c r="W37" s="66">
        <v>3</v>
      </c>
      <c r="X37" s="67">
        <v>1169.58</v>
      </c>
      <c r="Y37" s="66">
        <v>8</v>
      </c>
      <c r="Z37" s="67">
        <v>3118.88</v>
      </c>
      <c r="AA37" s="66">
        <v>0</v>
      </c>
      <c r="AB37" s="67">
        <v>0</v>
      </c>
      <c r="AC37" s="66">
        <v>2</v>
      </c>
      <c r="AD37" s="67">
        <v>779.72</v>
      </c>
      <c r="AE37" s="66">
        <v>0</v>
      </c>
      <c r="AF37" s="67">
        <v>0</v>
      </c>
      <c r="AG37" s="66">
        <v>0</v>
      </c>
      <c r="AH37" s="67">
        <v>0</v>
      </c>
      <c r="AI37" s="66">
        <v>2</v>
      </c>
      <c r="AJ37" s="67">
        <v>779.72</v>
      </c>
      <c r="AK37" s="66">
        <v>0</v>
      </c>
      <c r="AL37" s="67">
        <v>0</v>
      </c>
      <c r="AM37" s="66">
        <v>2</v>
      </c>
      <c r="AN37" s="67">
        <v>779.72</v>
      </c>
      <c r="AO37" s="66">
        <v>83</v>
      </c>
      <c r="AP37" s="67">
        <v>32358.38</v>
      </c>
      <c r="AQ37" s="66">
        <v>0</v>
      </c>
      <c r="AR37" s="67">
        <v>0</v>
      </c>
    </row>
    <row r="38" spans="2:44" x14ac:dyDescent="0.3">
      <c r="B38" s="64" t="s">
        <v>267</v>
      </c>
      <c r="C38" s="64" t="s">
        <v>312</v>
      </c>
      <c r="D38" s="64" t="s">
        <v>313</v>
      </c>
      <c r="E38" s="64" t="s">
        <v>314</v>
      </c>
      <c r="F38" s="65">
        <v>39.39</v>
      </c>
      <c r="G38" s="66">
        <v>1</v>
      </c>
      <c r="H38" s="67">
        <v>39.39</v>
      </c>
      <c r="I38" s="66">
        <v>0</v>
      </c>
      <c r="J38" s="67">
        <v>0</v>
      </c>
      <c r="K38" s="66">
        <v>64</v>
      </c>
      <c r="L38" s="67">
        <v>2520.96</v>
      </c>
      <c r="M38" s="66">
        <v>2</v>
      </c>
      <c r="N38" s="67">
        <v>78.78</v>
      </c>
      <c r="O38" s="66">
        <v>0</v>
      </c>
      <c r="P38" s="67">
        <v>0</v>
      </c>
      <c r="Q38" s="66">
        <v>0</v>
      </c>
      <c r="R38" s="67">
        <f t="shared" si="2"/>
        <v>0</v>
      </c>
      <c r="S38" s="66">
        <v>1</v>
      </c>
      <c r="T38" s="67">
        <v>39.39</v>
      </c>
      <c r="U38" s="66">
        <v>0</v>
      </c>
      <c r="V38" s="67">
        <f t="shared" si="3"/>
        <v>0</v>
      </c>
      <c r="W38" s="66">
        <v>2</v>
      </c>
      <c r="X38" s="67">
        <v>78.78</v>
      </c>
      <c r="Y38" s="66">
        <v>1</v>
      </c>
      <c r="Z38" s="67">
        <v>39.39</v>
      </c>
      <c r="AA38" s="66">
        <v>2</v>
      </c>
      <c r="AB38" s="67">
        <v>78.78</v>
      </c>
      <c r="AC38" s="66">
        <v>0</v>
      </c>
      <c r="AD38" s="67">
        <v>0</v>
      </c>
      <c r="AE38" s="66">
        <v>0</v>
      </c>
      <c r="AF38" s="67">
        <v>0</v>
      </c>
      <c r="AG38" s="66">
        <v>0</v>
      </c>
      <c r="AH38" s="67">
        <v>0</v>
      </c>
      <c r="AI38" s="66">
        <v>136</v>
      </c>
      <c r="AJ38" s="67">
        <v>5357.04</v>
      </c>
      <c r="AK38" s="66">
        <v>0</v>
      </c>
      <c r="AL38" s="67">
        <v>0</v>
      </c>
      <c r="AM38" s="66">
        <v>0</v>
      </c>
      <c r="AN38" s="67">
        <v>0</v>
      </c>
      <c r="AO38" s="66">
        <v>0</v>
      </c>
      <c r="AP38" s="67">
        <v>0</v>
      </c>
      <c r="AQ38" s="66">
        <v>0</v>
      </c>
      <c r="AR38" s="67">
        <v>0</v>
      </c>
    </row>
    <row r="39" spans="2:44" x14ac:dyDescent="0.3">
      <c r="B39" s="64" t="s">
        <v>267</v>
      </c>
      <c r="C39" s="64" t="s">
        <v>136</v>
      </c>
      <c r="D39" s="64" t="s">
        <v>137</v>
      </c>
      <c r="E39" s="64" t="s">
        <v>138</v>
      </c>
      <c r="F39" s="65">
        <v>4242</v>
      </c>
      <c r="G39" s="66">
        <v>2</v>
      </c>
      <c r="H39" s="67">
        <v>8484</v>
      </c>
      <c r="I39" s="66">
        <v>144</v>
      </c>
      <c r="J39" s="67">
        <v>610848</v>
      </c>
      <c r="K39" s="66">
        <v>18</v>
      </c>
      <c r="L39" s="67">
        <v>76356</v>
      </c>
      <c r="M39" s="66">
        <v>8</v>
      </c>
      <c r="N39" s="67">
        <v>33936</v>
      </c>
      <c r="O39" s="66">
        <v>7</v>
      </c>
      <c r="P39" s="67">
        <v>29694</v>
      </c>
      <c r="Q39" s="66">
        <v>71</v>
      </c>
      <c r="R39" s="67">
        <f t="shared" si="2"/>
        <v>301182</v>
      </c>
      <c r="S39" s="66">
        <v>8</v>
      </c>
      <c r="T39" s="67">
        <v>33936</v>
      </c>
      <c r="U39" s="66">
        <v>1</v>
      </c>
      <c r="V39" s="67">
        <f t="shared" si="3"/>
        <v>4242</v>
      </c>
      <c r="W39" s="66">
        <v>2</v>
      </c>
      <c r="X39" s="67">
        <v>8484</v>
      </c>
      <c r="Y39" s="66">
        <v>32</v>
      </c>
      <c r="Z39" s="67">
        <v>135744</v>
      </c>
      <c r="AA39" s="66">
        <v>12</v>
      </c>
      <c r="AB39" s="67">
        <v>50904</v>
      </c>
      <c r="AC39" s="66">
        <v>0</v>
      </c>
      <c r="AD39" s="67">
        <v>0</v>
      </c>
      <c r="AE39" s="66">
        <v>30</v>
      </c>
      <c r="AF39" s="67">
        <v>127260</v>
      </c>
      <c r="AG39" s="66">
        <v>21</v>
      </c>
      <c r="AH39" s="67">
        <v>89082</v>
      </c>
      <c r="AI39" s="66">
        <v>16</v>
      </c>
      <c r="AJ39" s="67">
        <v>67872</v>
      </c>
      <c r="AK39" s="66">
        <v>0</v>
      </c>
      <c r="AL39" s="67">
        <v>0</v>
      </c>
      <c r="AM39" s="66">
        <v>1</v>
      </c>
      <c r="AN39" s="67">
        <v>4242</v>
      </c>
      <c r="AO39" s="66">
        <v>8</v>
      </c>
      <c r="AP39" s="67">
        <v>33936</v>
      </c>
      <c r="AQ39" s="66">
        <v>0</v>
      </c>
      <c r="AR39" s="67">
        <v>0</v>
      </c>
    </row>
    <row r="40" spans="2:44" x14ac:dyDescent="0.3">
      <c r="B40" s="64" t="s">
        <v>267</v>
      </c>
      <c r="C40" s="64" t="s">
        <v>136</v>
      </c>
      <c r="D40" s="64" t="s">
        <v>315</v>
      </c>
      <c r="E40" s="64" t="s">
        <v>138</v>
      </c>
      <c r="F40" s="65">
        <v>2227.0500000000002</v>
      </c>
      <c r="G40" s="66">
        <v>65</v>
      </c>
      <c r="H40" s="67">
        <v>144758.25</v>
      </c>
      <c r="I40" s="66">
        <v>3</v>
      </c>
      <c r="J40" s="67">
        <v>6681.15</v>
      </c>
      <c r="K40" s="66">
        <v>143</v>
      </c>
      <c r="L40" s="67">
        <v>318468.15000000002</v>
      </c>
      <c r="M40" s="66">
        <v>44</v>
      </c>
      <c r="N40" s="67">
        <v>97990.2</v>
      </c>
      <c r="O40" s="66">
        <v>0</v>
      </c>
      <c r="P40" s="67">
        <v>0</v>
      </c>
      <c r="Q40" s="66">
        <v>0</v>
      </c>
      <c r="R40" s="67">
        <f t="shared" si="2"/>
        <v>0</v>
      </c>
      <c r="S40" s="66">
        <v>69</v>
      </c>
      <c r="T40" s="67">
        <v>153666.45000000001</v>
      </c>
      <c r="U40" s="66">
        <v>15</v>
      </c>
      <c r="V40" s="67">
        <f t="shared" si="3"/>
        <v>33405.75</v>
      </c>
      <c r="W40" s="66">
        <v>3</v>
      </c>
      <c r="X40" s="67">
        <v>6681.15</v>
      </c>
      <c r="Y40" s="66">
        <v>52</v>
      </c>
      <c r="Z40" s="67">
        <v>115806.6</v>
      </c>
      <c r="AA40" s="66">
        <v>63</v>
      </c>
      <c r="AB40" s="67">
        <v>140304.15</v>
      </c>
      <c r="AC40" s="66">
        <v>2</v>
      </c>
      <c r="AD40" s="67">
        <v>4454.1000000000004</v>
      </c>
      <c r="AE40" s="66">
        <v>132</v>
      </c>
      <c r="AF40" s="67">
        <v>293970.59999999998</v>
      </c>
      <c r="AG40" s="66">
        <v>65</v>
      </c>
      <c r="AH40" s="67">
        <v>144758.25</v>
      </c>
      <c r="AI40" s="66">
        <v>82</v>
      </c>
      <c r="AJ40" s="67">
        <v>182618.1</v>
      </c>
      <c r="AK40" s="66">
        <v>6</v>
      </c>
      <c r="AL40" s="67">
        <v>13362.3</v>
      </c>
      <c r="AM40" s="66">
        <v>4</v>
      </c>
      <c r="AN40" s="67">
        <v>8908.2000000000007</v>
      </c>
      <c r="AO40" s="66">
        <v>21</v>
      </c>
      <c r="AP40" s="67">
        <v>46768.05</v>
      </c>
      <c r="AQ40" s="66">
        <v>0</v>
      </c>
      <c r="AR40" s="67">
        <v>0</v>
      </c>
    </row>
    <row r="41" spans="2:44" x14ac:dyDescent="0.3">
      <c r="B41" s="64" t="s">
        <v>267</v>
      </c>
      <c r="C41" s="64" t="s">
        <v>316</v>
      </c>
      <c r="D41" s="64" t="s">
        <v>317</v>
      </c>
      <c r="E41" s="64" t="s">
        <v>318</v>
      </c>
      <c r="F41" s="65">
        <v>22270.5</v>
      </c>
      <c r="G41" s="66">
        <v>4</v>
      </c>
      <c r="H41" s="67">
        <v>89082</v>
      </c>
      <c r="I41" s="66">
        <v>4</v>
      </c>
      <c r="J41" s="67">
        <v>89082</v>
      </c>
      <c r="K41" s="66">
        <v>3</v>
      </c>
      <c r="L41" s="67">
        <v>66811.5</v>
      </c>
      <c r="M41" s="66">
        <v>0</v>
      </c>
      <c r="N41" s="67">
        <v>0</v>
      </c>
      <c r="O41" s="66">
        <v>0</v>
      </c>
      <c r="P41" s="67">
        <v>0</v>
      </c>
      <c r="Q41" s="66">
        <v>0</v>
      </c>
      <c r="R41" s="67">
        <f t="shared" si="2"/>
        <v>0</v>
      </c>
      <c r="S41" s="66">
        <v>3</v>
      </c>
      <c r="T41" s="67">
        <v>66811.5</v>
      </c>
      <c r="U41" s="66">
        <v>17</v>
      </c>
      <c r="V41" s="67">
        <f t="shared" si="3"/>
        <v>378598.5</v>
      </c>
      <c r="W41" s="66">
        <v>2</v>
      </c>
      <c r="X41" s="67">
        <v>44541</v>
      </c>
      <c r="Y41" s="66">
        <v>3</v>
      </c>
      <c r="Z41" s="67">
        <v>66811.5</v>
      </c>
      <c r="AA41" s="66">
        <v>7</v>
      </c>
      <c r="AB41" s="67">
        <v>155893.5</v>
      </c>
      <c r="AC41" s="66">
        <v>0</v>
      </c>
      <c r="AD41" s="67">
        <v>0</v>
      </c>
      <c r="AE41" s="66">
        <v>6</v>
      </c>
      <c r="AF41" s="67">
        <v>133623</v>
      </c>
      <c r="AG41" s="66">
        <v>3</v>
      </c>
      <c r="AH41" s="67">
        <v>66811.5</v>
      </c>
      <c r="AI41" s="66">
        <v>2</v>
      </c>
      <c r="AJ41" s="67">
        <v>44541</v>
      </c>
      <c r="AK41" s="66">
        <v>0</v>
      </c>
      <c r="AL41" s="67">
        <v>0</v>
      </c>
      <c r="AM41" s="66">
        <v>0</v>
      </c>
      <c r="AN41" s="67">
        <v>0</v>
      </c>
      <c r="AO41" s="66">
        <v>1</v>
      </c>
      <c r="AP41" s="67">
        <v>22270.5</v>
      </c>
      <c r="AQ41" s="66">
        <v>0</v>
      </c>
      <c r="AR41" s="67">
        <v>0</v>
      </c>
    </row>
    <row r="42" spans="2:44" x14ac:dyDescent="0.3">
      <c r="B42" s="64" t="s">
        <v>267</v>
      </c>
      <c r="C42" s="64" t="s">
        <v>316</v>
      </c>
      <c r="D42" s="64" t="s">
        <v>319</v>
      </c>
      <c r="E42" s="64" t="s">
        <v>320</v>
      </c>
      <c r="F42" s="65">
        <v>0.22220000000000001</v>
      </c>
      <c r="G42" s="66">
        <v>1030</v>
      </c>
      <c r="H42" s="67">
        <v>228.86600000000001</v>
      </c>
      <c r="I42" s="66">
        <v>50</v>
      </c>
      <c r="J42" s="67">
        <v>11.11</v>
      </c>
      <c r="K42" s="66">
        <v>6300</v>
      </c>
      <c r="L42" s="67">
        <v>1399.86</v>
      </c>
      <c r="M42" s="66"/>
      <c r="N42" s="67">
        <v>0</v>
      </c>
      <c r="O42" s="66"/>
      <c r="P42" s="67">
        <v>0</v>
      </c>
      <c r="Q42" s="66"/>
      <c r="R42" s="67">
        <f t="shared" si="2"/>
        <v>0</v>
      </c>
      <c r="S42" s="66">
        <v>480</v>
      </c>
      <c r="T42" s="67">
        <v>106.65600000000001</v>
      </c>
      <c r="U42" s="66">
        <v>7200</v>
      </c>
      <c r="V42" s="67">
        <f t="shared" si="3"/>
        <v>1599.8400000000001</v>
      </c>
      <c r="W42" s="66">
        <v>122</v>
      </c>
      <c r="X42" s="67">
        <v>27.1084</v>
      </c>
      <c r="Y42" s="66">
        <v>2190</v>
      </c>
      <c r="Z42" s="67">
        <v>486.61799999999999</v>
      </c>
      <c r="AA42" s="66">
        <v>14359</v>
      </c>
      <c r="AB42" s="67">
        <v>3190.5698000000002</v>
      </c>
      <c r="AC42" s="66">
        <v>0</v>
      </c>
      <c r="AD42" s="67">
        <v>0</v>
      </c>
      <c r="AE42" s="66">
        <v>0</v>
      </c>
      <c r="AF42" s="67">
        <v>0</v>
      </c>
      <c r="AG42" s="66"/>
      <c r="AH42" s="67">
        <v>0</v>
      </c>
      <c r="AI42" s="66">
        <v>5060</v>
      </c>
      <c r="AJ42" s="67">
        <v>1124.3320000000001</v>
      </c>
      <c r="AK42" s="66">
        <v>0</v>
      </c>
      <c r="AL42" s="67">
        <v>0</v>
      </c>
      <c r="AM42" s="66">
        <v>250</v>
      </c>
      <c r="AN42" s="67">
        <v>55.55</v>
      </c>
      <c r="AO42" s="66">
        <v>8</v>
      </c>
      <c r="AP42" s="67">
        <v>1.7776000000000001</v>
      </c>
      <c r="AQ42" s="66">
        <v>0</v>
      </c>
      <c r="AR42" s="67">
        <v>0</v>
      </c>
    </row>
    <row r="43" spans="2:44" x14ac:dyDescent="0.3">
      <c r="B43" s="64" t="s">
        <v>267</v>
      </c>
      <c r="C43" s="64" t="s">
        <v>321</v>
      </c>
      <c r="D43" s="64" t="s">
        <v>322</v>
      </c>
      <c r="E43" s="64" t="s">
        <v>323</v>
      </c>
      <c r="F43" s="65">
        <v>1336.23</v>
      </c>
      <c r="G43" s="66">
        <v>0</v>
      </c>
      <c r="H43" s="67">
        <v>0</v>
      </c>
      <c r="I43" s="66">
        <v>0</v>
      </c>
      <c r="J43" s="67">
        <v>0</v>
      </c>
      <c r="K43" s="66">
        <v>0</v>
      </c>
      <c r="L43" s="67">
        <v>0</v>
      </c>
      <c r="M43" s="66">
        <v>0</v>
      </c>
      <c r="N43" s="67">
        <v>0</v>
      </c>
      <c r="O43" s="66">
        <v>0</v>
      </c>
      <c r="P43" s="67">
        <v>0</v>
      </c>
      <c r="Q43" s="66">
        <v>0</v>
      </c>
      <c r="R43" s="67">
        <f t="shared" si="2"/>
        <v>0</v>
      </c>
      <c r="S43" s="66">
        <v>0</v>
      </c>
      <c r="T43" s="67">
        <v>0</v>
      </c>
      <c r="U43" s="66">
        <v>0</v>
      </c>
      <c r="V43" s="67">
        <f t="shared" si="3"/>
        <v>0</v>
      </c>
      <c r="W43" s="66">
        <v>0</v>
      </c>
      <c r="X43" s="67">
        <v>0</v>
      </c>
      <c r="Y43" s="66">
        <v>0</v>
      </c>
      <c r="Z43" s="67">
        <v>0</v>
      </c>
      <c r="AA43" s="66">
        <v>0</v>
      </c>
      <c r="AB43" s="67">
        <v>0</v>
      </c>
      <c r="AC43" s="66">
        <v>0</v>
      </c>
      <c r="AD43" s="67">
        <v>0</v>
      </c>
      <c r="AE43" s="66">
        <v>0</v>
      </c>
      <c r="AF43" s="67">
        <v>0</v>
      </c>
      <c r="AG43" s="66">
        <v>0</v>
      </c>
      <c r="AH43" s="67">
        <v>0</v>
      </c>
      <c r="AI43" s="66">
        <v>0</v>
      </c>
      <c r="AJ43" s="67">
        <v>0</v>
      </c>
      <c r="AK43" s="66">
        <v>0</v>
      </c>
      <c r="AL43" s="67">
        <v>0</v>
      </c>
      <c r="AM43" s="66">
        <v>0</v>
      </c>
      <c r="AN43" s="67">
        <v>0</v>
      </c>
      <c r="AO43" s="66">
        <v>1</v>
      </c>
      <c r="AP43" s="67">
        <v>1336.23</v>
      </c>
      <c r="AQ43" s="66">
        <v>0</v>
      </c>
      <c r="AR43" s="67">
        <v>0</v>
      </c>
    </row>
    <row r="44" spans="2:44" x14ac:dyDescent="0.3">
      <c r="B44" s="64" t="s">
        <v>267</v>
      </c>
      <c r="C44" s="64" t="s">
        <v>324</v>
      </c>
      <c r="D44" s="64" t="s">
        <v>325</v>
      </c>
      <c r="E44" s="64" t="s">
        <v>326</v>
      </c>
      <c r="F44" s="65">
        <v>99.99</v>
      </c>
      <c r="G44" s="66">
        <v>96</v>
      </c>
      <c r="H44" s="67">
        <v>9599.0400000000009</v>
      </c>
      <c r="I44" s="66">
        <v>0</v>
      </c>
      <c r="J44" s="67">
        <v>0</v>
      </c>
      <c r="K44" s="66">
        <v>0</v>
      </c>
      <c r="L44" s="67">
        <v>0</v>
      </c>
      <c r="M44" s="66">
        <v>0</v>
      </c>
      <c r="N44" s="67">
        <v>0</v>
      </c>
      <c r="O44" s="66">
        <v>0</v>
      </c>
      <c r="P44" s="67">
        <v>0</v>
      </c>
      <c r="Q44" s="66">
        <v>0</v>
      </c>
      <c r="R44" s="67">
        <f t="shared" si="2"/>
        <v>0</v>
      </c>
      <c r="S44" s="66">
        <v>0</v>
      </c>
      <c r="T44" s="67">
        <v>0</v>
      </c>
      <c r="U44" s="66">
        <v>0</v>
      </c>
      <c r="V44" s="67">
        <f t="shared" si="3"/>
        <v>0</v>
      </c>
      <c r="W44" s="66">
        <v>0</v>
      </c>
      <c r="X44" s="67">
        <v>0</v>
      </c>
      <c r="Y44" s="66">
        <v>0</v>
      </c>
      <c r="Z44" s="67">
        <v>0</v>
      </c>
      <c r="AA44" s="66">
        <v>0</v>
      </c>
      <c r="AB44" s="67">
        <v>0</v>
      </c>
      <c r="AC44" s="66">
        <v>0</v>
      </c>
      <c r="AD44" s="67">
        <v>0</v>
      </c>
      <c r="AE44" s="66">
        <v>0</v>
      </c>
      <c r="AF44" s="67">
        <v>0</v>
      </c>
      <c r="AG44" s="66">
        <v>0</v>
      </c>
      <c r="AH44" s="67">
        <v>0</v>
      </c>
      <c r="AI44" s="66">
        <v>0</v>
      </c>
      <c r="AJ44" s="67">
        <v>0</v>
      </c>
      <c r="AK44" s="66">
        <v>0</v>
      </c>
      <c r="AL44" s="67">
        <v>0</v>
      </c>
      <c r="AM44" s="66">
        <v>0</v>
      </c>
      <c r="AN44" s="67">
        <v>0</v>
      </c>
      <c r="AO44" s="66">
        <v>2</v>
      </c>
      <c r="AP44" s="67">
        <v>199.98</v>
      </c>
      <c r="AQ44" s="66">
        <v>0</v>
      </c>
      <c r="AR44" s="67">
        <v>0</v>
      </c>
    </row>
    <row r="45" spans="2:44" x14ac:dyDescent="0.3">
      <c r="B45" s="64" t="s">
        <v>267</v>
      </c>
      <c r="C45" s="64" t="s">
        <v>324</v>
      </c>
      <c r="D45" s="64" t="s">
        <v>327</v>
      </c>
      <c r="E45" s="64" t="s">
        <v>326</v>
      </c>
      <c r="F45" s="65">
        <v>99.99</v>
      </c>
      <c r="G45" s="66">
        <v>84</v>
      </c>
      <c r="H45" s="67">
        <v>8399.16</v>
      </c>
      <c r="I45" s="66">
        <v>0</v>
      </c>
      <c r="J45" s="67">
        <v>0</v>
      </c>
      <c r="K45" s="66">
        <v>0</v>
      </c>
      <c r="L45" s="67">
        <v>0</v>
      </c>
      <c r="M45" s="66">
        <v>0</v>
      </c>
      <c r="N45" s="67">
        <v>0</v>
      </c>
      <c r="O45" s="66">
        <v>0</v>
      </c>
      <c r="P45" s="67">
        <v>0</v>
      </c>
      <c r="Q45" s="66">
        <v>0</v>
      </c>
      <c r="R45" s="67">
        <f t="shared" si="2"/>
        <v>0</v>
      </c>
      <c r="S45" s="66">
        <v>0</v>
      </c>
      <c r="T45" s="67">
        <v>0</v>
      </c>
      <c r="U45" s="66">
        <v>0</v>
      </c>
      <c r="V45" s="67">
        <f t="shared" si="3"/>
        <v>0</v>
      </c>
      <c r="W45" s="66">
        <v>0</v>
      </c>
      <c r="X45" s="67">
        <v>0</v>
      </c>
      <c r="Y45" s="66">
        <v>0</v>
      </c>
      <c r="Z45" s="67">
        <v>0</v>
      </c>
      <c r="AA45" s="66">
        <v>0</v>
      </c>
      <c r="AB45" s="67">
        <v>0</v>
      </c>
      <c r="AC45" s="66">
        <v>0</v>
      </c>
      <c r="AD45" s="67">
        <v>0</v>
      </c>
      <c r="AE45" s="66">
        <v>0</v>
      </c>
      <c r="AF45" s="67">
        <v>0</v>
      </c>
      <c r="AG45" s="66">
        <v>0</v>
      </c>
      <c r="AH45" s="67">
        <v>0</v>
      </c>
      <c r="AI45" s="66">
        <v>0</v>
      </c>
      <c r="AJ45" s="67">
        <v>0</v>
      </c>
      <c r="AK45" s="66">
        <v>0</v>
      </c>
      <c r="AL45" s="67">
        <v>0</v>
      </c>
      <c r="AM45" s="66">
        <v>0</v>
      </c>
      <c r="AN45" s="67">
        <v>0</v>
      </c>
      <c r="AO45" s="66">
        <v>0</v>
      </c>
      <c r="AP45" s="67">
        <v>0</v>
      </c>
      <c r="AQ45" s="66">
        <v>0</v>
      </c>
      <c r="AR45" s="67">
        <v>0</v>
      </c>
    </row>
    <row r="46" spans="2:44" x14ac:dyDescent="0.3">
      <c r="B46" s="64" t="s">
        <v>267</v>
      </c>
      <c r="C46" s="64" t="s">
        <v>324</v>
      </c>
      <c r="D46" s="64" t="s">
        <v>328</v>
      </c>
      <c r="E46" s="64" t="s">
        <v>326</v>
      </c>
      <c r="F46" s="65">
        <v>66.66</v>
      </c>
      <c r="G46" s="66">
        <v>12</v>
      </c>
      <c r="H46" s="67">
        <v>799.92</v>
      </c>
      <c r="I46" s="66">
        <v>0</v>
      </c>
      <c r="J46" s="67">
        <v>0</v>
      </c>
      <c r="K46" s="66">
        <v>0</v>
      </c>
      <c r="L46" s="67">
        <v>0</v>
      </c>
      <c r="M46" s="66">
        <v>0</v>
      </c>
      <c r="N46" s="67">
        <v>0</v>
      </c>
      <c r="O46" s="66">
        <v>0</v>
      </c>
      <c r="P46" s="67">
        <v>0</v>
      </c>
      <c r="Q46" s="66">
        <v>0</v>
      </c>
      <c r="R46" s="67">
        <f t="shared" si="2"/>
        <v>0</v>
      </c>
      <c r="S46" s="66">
        <v>0</v>
      </c>
      <c r="T46" s="67">
        <v>0</v>
      </c>
      <c r="U46" s="66">
        <v>0</v>
      </c>
      <c r="V46" s="67">
        <f t="shared" si="3"/>
        <v>0</v>
      </c>
      <c r="W46" s="66">
        <v>0</v>
      </c>
      <c r="X46" s="67">
        <v>0</v>
      </c>
      <c r="Y46" s="66">
        <v>0</v>
      </c>
      <c r="Z46" s="67">
        <v>0</v>
      </c>
      <c r="AA46" s="66">
        <v>0</v>
      </c>
      <c r="AB46" s="67">
        <v>0</v>
      </c>
      <c r="AC46" s="66">
        <v>0</v>
      </c>
      <c r="AD46" s="67">
        <v>0</v>
      </c>
      <c r="AE46" s="66">
        <v>0</v>
      </c>
      <c r="AF46" s="67">
        <v>0</v>
      </c>
      <c r="AG46" s="66">
        <v>0</v>
      </c>
      <c r="AH46" s="67">
        <v>0</v>
      </c>
      <c r="AI46" s="66">
        <v>0</v>
      </c>
      <c r="AJ46" s="67">
        <v>0</v>
      </c>
      <c r="AK46" s="66">
        <v>0</v>
      </c>
      <c r="AL46" s="67">
        <v>0</v>
      </c>
      <c r="AM46" s="66">
        <v>0</v>
      </c>
      <c r="AN46" s="67">
        <v>0</v>
      </c>
      <c r="AO46" s="66">
        <v>2</v>
      </c>
      <c r="AP46" s="67">
        <v>133.32</v>
      </c>
      <c r="AQ46" s="66">
        <v>0</v>
      </c>
      <c r="AR46" s="67">
        <v>0</v>
      </c>
    </row>
    <row r="47" spans="2:44" x14ac:dyDescent="0.3">
      <c r="B47" s="64" t="s">
        <v>267</v>
      </c>
      <c r="C47" s="64" t="s">
        <v>329</v>
      </c>
      <c r="D47" s="64" t="s">
        <v>330</v>
      </c>
      <c r="E47" s="64" t="s">
        <v>331</v>
      </c>
      <c r="F47" s="65">
        <v>14475.825000000001</v>
      </c>
      <c r="G47" s="66">
        <v>0</v>
      </c>
      <c r="H47" s="67">
        <v>0</v>
      </c>
      <c r="I47" s="66">
        <v>0</v>
      </c>
      <c r="J47" s="67">
        <v>0</v>
      </c>
      <c r="K47" s="66">
        <v>0</v>
      </c>
      <c r="L47" s="67">
        <v>0</v>
      </c>
      <c r="M47" s="66">
        <v>2</v>
      </c>
      <c r="N47" s="67">
        <v>28951.65</v>
      </c>
      <c r="O47" s="66">
        <v>0</v>
      </c>
      <c r="P47" s="67">
        <v>0</v>
      </c>
      <c r="Q47" s="66">
        <v>0</v>
      </c>
      <c r="R47" s="67">
        <f t="shared" si="2"/>
        <v>0</v>
      </c>
      <c r="S47" s="66">
        <v>2</v>
      </c>
      <c r="T47" s="67">
        <v>28951.65</v>
      </c>
      <c r="U47" s="66">
        <v>0</v>
      </c>
      <c r="V47" s="67">
        <f t="shared" si="3"/>
        <v>0</v>
      </c>
      <c r="W47" s="66">
        <v>0</v>
      </c>
      <c r="X47" s="67">
        <v>0</v>
      </c>
      <c r="Y47" s="66">
        <v>0</v>
      </c>
      <c r="Z47" s="67">
        <v>0</v>
      </c>
      <c r="AA47" s="66">
        <v>0</v>
      </c>
      <c r="AB47" s="67">
        <v>0</v>
      </c>
      <c r="AC47" s="66">
        <v>0</v>
      </c>
      <c r="AD47" s="67">
        <v>0</v>
      </c>
      <c r="AE47" s="66">
        <v>0</v>
      </c>
      <c r="AF47" s="67">
        <v>0</v>
      </c>
      <c r="AG47" s="66">
        <v>0</v>
      </c>
      <c r="AH47" s="67">
        <v>0</v>
      </c>
      <c r="AI47" s="66">
        <v>0</v>
      </c>
      <c r="AJ47" s="67">
        <v>0</v>
      </c>
      <c r="AK47" s="66">
        <v>0</v>
      </c>
      <c r="AL47" s="67">
        <v>0</v>
      </c>
      <c r="AM47" s="66">
        <v>0</v>
      </c>
      <c r="AN47" s="67">
        <v>0</v>
      </c>
      <c r="AO47" s="66">
        <v>4</v>
      </c>
      <c r="AP47" s="67">
        <v>57903.3</v>
      </c>
      <c r="AQ47" s="66">
        <v>0</v>
      </c>
      <c r="AR47" s="67">
        <v>0</v>
      </c>
    </row>
    <row r="48" spans="2:44" x14ac:dyDescent="0.3">
      <c r="B48" s="64" t="s">
        <v>267</v>
      </c>
      <c r="C48" s="64" t="s">
        <v>332</v>
      </c>
      <c r="D48" s="64" t="s">
        <v>333</v>
      </c>
      <c r="E48" s="64" t="s">
        <v>334</v>
      </c>
      <c r="F48" s="65">
        <v>318150</v>
      </c>
      <c r="G48" s="66">
        <v>0</v>
      </c>
      <c r="H48" s="67">
        <v>0</v>
      </c>
      <c r="I48" s="66">
        <v>1</v>
      </c>
      <c r="J48" s="67">
        <v>318150</v>
      </c>
      <c r="K48" s="66">
        <v>0</v>
      </c>
      <c r="L48" s="67">
        <v>0</v>
      </c>
      <c r="M48" s="66">
        <v>0</v>
      </c>
      <c r="N48" s="67">
        <v>0</v>
      </c>
      <c r="O48" s="66">
        <v>0</v>
      </c>
      <c r="P48" s="67">
        <v>0</v>
      </c>
      <c r="Q48" s="66">
        <v>0</v>
      </c>
      <c r="R48" s="67">
        <f t="shared" si="2"/>
        <v>0</v>
      </c>
      <c r="S48" s="66">
        <v>0</v>
      </c>
      <c r="T48" s="67">
        <v>0</v>
      </c>
      <c r="U48" s="66">
        <v>0</v>
      </c>
      <c r="V48" s="67">
        <f t="shared" si="3"/>
        <v>0</v>
      </c>
      <c r="W48" s="66">
        <v>0</v>
      </c>
      <c r="X48" s="67">
        <v>0</v>
      </c>
      <c r="Y48" s="66">
        <v>0</v>
      </c>
      <c r="Z48" s="67">
        <v>0</v>
      </c>
      <c r="AA48" s="66">
        <v>0</v>
      </c>
      <c r="AB48" s="67">
        <v>0</v>
      </c>
      <c r="AC48" s="66">
        <v>0</v>
      </c>
      <c r="AD48" s="67">
        <v>0</v>
      </c>
      <c r="AE48" s="66">
        <v>0</v>
      </c>
      <c r="AF48" s="67">
        <v>0</v>
      </c>
      <c r="AG48" s="66">
        <v>0</v>
      </c>
      <c r="AH48" s="67">
        <v>0</v>
      </c>
      <c r="AI48" s="66">
        <v>0</v>
      </c>
      <c r="AJ48" s="67">
        <v>0</v>
      </c>
      <c r="AK48" s="66">
        <v>0</v>
      </c>
      <c r="AL48" s="67">
        <v>0</v>
      </c>
      <c r="AM48" s="66">
        <v>0</v>
      </c>
      <c r="AN48" s="67">
        <v>0</v>
      </c>
      <c r="AO48" s="66">
        <v>1</v>
      </c>
      <c r="AP48" s="67">
        <v>318150</v>
      </c>
      <c r="AQ48" s="66">
        <v>0</v>
      </c>
      <c r="AR48" s="67">
        <v>0</v>
      </c>
    </row>
    <row r="49" spans="2:44" x14ac:dyDescent="0.3">
      <c r="B49" s="64" t="s">
        <v>335</v>
      </c>
      <c r="C49" s="64" t="s">
        <v>144</v>
      </c>
      <c r="D49" s="64" t="s">
        <v>146</v>
      </c>
      <c r="E49" s="64" t="s">
        <v>126</v>
      </c>
      <c r="F49" s="65">
        <v>1.2726</v>
      </c>
      <c r="G49" s="66">
        <v>106399.15</v>
      </c>
      <c r="H49" s="67">
        <v>135403.55828999999</v>
      </c>
      <c r="I49" s="66">
        <v>0</v>
      </c>
      <c r="J49" s="67">
        <v>0</v>
      </c>
      <c r="K49" s="66">
        <v>106262</v>
      </c>
      <c r="L49" s="67">
        <v>135229.02119999999</v>
      </c>
      <c r="M49" s="66">
        <v>28913</v>
      </c>
      <c r="N49" s="67">
        <v>36794.683799999999</v>
      </c>
      <c r="O49" s="66">
        <v>18134</v>
      </c>
      <c r="P49" s="67">
        <v>23077.328399999999</v>
      </c>
      <c r="Q49" s="66">
        <v>126358.54399999999</v>
      </c>
      <c r="R49" s="67">
        <f t="shared" si="2"/>
        <v>160803.88309439999</v>
      </c>
      <c r="S49" s="66">
        <v>132369</v>
      </c>
      <c r="T49" s="67">
        <v>168452.78940000001</v>
      </c>
      <c r="U49" s="66">
        <v>168448</v>
      </c>
      <c r="V49" s="67">
        <f t="shared" si="3"/>
        <v>214366.92479999998</v>
      </c>
      <c r="W49" s="66">
        <v>21353.58</v>
      </c>
      <c r="X49" s="67">
        <v>27174.565908</v>
      </c>
      <c r="Y49" s="66">
        <v>224832.95</v>
      </c>
      <c r="Z49" s="67">
        <v>286122.41217000003</v>
      </c>
      <c r="AA49" s="66">
        <v>205000</v>
      </c>
      <c r="AB49" s="67">
        <v>260883</v>
      </c>
      <c r="AC49" s="66">
        <v>38874.6</v>
      </c>
      <c r="AD49" s="67">
        <v>49471.81596</v>
      </c>
      <c r="AE49" s="66">
        <v>145141</v>
      </c>
      <c r="AF49" s="67">
        <v>184706.43659999999</v>
      </c>
      <c r="AG49" s="66">
        <v>86146.69</v>
      </c>
      <c r="AH49" s="67">
        <v>109630.277694</v>
      </c>
      <c r="AI49" s="66">
        <v>153378</v>
      </c>
      <c r="AJ49" s="67">
        <v>195188.84280000001</v>
      </c>
      <c r="AK49" s="66">
        <v>19171</v>
      </c>
      <c r="AL49" s="67">
        <v>24397.014599999999</v>
      </c>
      <c r="AM49" s="66">
        <v>35176.26</v>
      </c>
      <c r="AN49" s="67">
        <v>44765.308475999998</v>
      </c>
      <c r="AO49" s="66">
        <v>75793</v>
      </c>
      <c r="AP49" s="67">
        <v>96454.171799999996</v>
      </c>
      <c r="AQ49" s="66">
        <v>271551.19</v>
      </c>
      <c r="AR49" s="67">
        <v>345576.04439400003</v>
      </c>
    </row>
    <row r="50" spans="2:44" x14ac:dyDescent="0.3">
      <c r="B50" s="64" t="s">
        <v>335</v>
      </c>
      <c r="C50" s="64" t="s">
        <v>336</v>
      </c>
      <c r="D50" s="64" t="s">
        <v>337</v>
      </c>
      <c r="E50" s="64" t="s">
        <v>338</v>
      </c>
      <c r="F50" s="65">
        <v>47.47</v>
      </c>
      <c r="G50" s="66">
        <v>115</v>
      </c>
      <c r="H50" s="67">
        <v>5459.05</v>
      </c>
      <c r="I50" s="66">
        <v>0</v>
      </c>
      <c r="J50" s="67">
        <v>0</v>
      </c>
      <c r="K50" s="66">
        <v>85</v>
      </c>
      <c r="L50" s="67">
        <v>4034.95</v>
      </c>
      <c r="M50" s="66">
        <v>9</v>
      </c>
      <c r="N50" s="67">
        <v>427.23</v>
      </c>
      <c r="O50" s="66">
        <v>0</v>
      </c>
      <c r="P50" s="67">
        <v>0</v>
      </c>
      <c r="Q50" s="66">
        <v>599</v>
      </c>
      <c r="R50" s="67">
        <f t="shared" si="2"/>
        <v>28434.53</v>
      </c>
      <c r="S50" s="66">
        <v>191</v>
      </c>
      <c r="T50" s="67">
        <v>9066.77</v>
      </c>
      <c r="U50" s="66">
        <v>768</v>
      </c>
      <c r="V50" s="67">
        <f t="shared" si="3"/>
        <v>36456.959999999999</v>
      </c>
      <c r="W50" s="66">
        <v>43</v>
      </c>
      <c r="X50" s="67">
        <v>2041.21</v>
      </c>
      <c r="Y50" s="66">
        <v>556</v>
      </c>
      <c r="Z50" s="67">
        <v>26393.32</v>
      </c>
      <c r="AA50" s="66">
        <v>315</v>
      </c>
      <c r="AB50" s="67">
        <v>14953.05</v>
      </c>
      <c r="AC50" s="66">
        <v>49</v>
      </c>
      <c r="AD50" s="67">
        <v>2326.0300000000002</v>
      </c>
      <c r="AE50" s="66">
        <v>271</v>
      </c>
      <c r="AF50" s="67">
        <v>12864.37</v>
      </c>
      <c r="AG50" s="66">
        <v>406</v>
      </c>
      <c r="AH50" s="67">
        <v>19272.82</v>
      </c>
      <c r="AI50" s="66">
        <v>658</v>
      </c>
      <c r="AJ50" s="67">
        <v>31235.26</v>
      </c>
      <c r="AK50" s="66">
        <v>71</v>
      </c>
      <c r="AL50" s="67">
        <v>3370.37</v>
      </c>
      <c r="AM50" s="66">
        <v>255</v>
      </c>
      <c r="AN50" s="67">
        <v>12104.85</v>
      </c>
      <c r="AO50" s="66">
        <v>226</v>
      </c>
      <c r="AP50" s="67">
        <v>10728.22</v>
      </c>
      <c r="AQ50" s="66">
        <v>0</v>
      </c>
      <c r="AR50" s="67">
        <v>0</v>
      </c>
    </row>
    <row r="51" spans="2:44" x14ac:dyDescent="0.3">
      <c r="B51" s="64" t="s">
        <v>335</v>
      </c>
      <c r="C51" s="64" t="s">
        <v>339</v>
      </c>
      <c r="D51" s="64" t="s">
        <v>340</v>
      </c>
      <c r="E51" s="64" t="s">
        <v>341</v>
      </c>
      <c r="F51" s="65">
        <v>1.0605</v>
      </c>
      <c r="G51" s="66">
        <v>636</v>
      </c>
      <c r="H51" s="67">
        <v>674.47799999999995</v>
      </c>
      <c r="I51" s="66">
        <v>0</v>
      </c>
      <c r="J51" s="67">
        <v>0</v>
      </c>
      <c r="K51" s="66">
        <v>603</v>
      </c>
      <c r="L51" s="67">
        <v>639.48149999999998</v>
      </c>
      <c r="M51" s="66">
        <v>0</v>
      </c>
      <c r="N51" s="67">
        <v>0</v>
      </c>
      <c r="O51" s="66">
        <v>0</v>
      </c>
      <c r="P51" s="67">
        <v>0</v>
      </c>
      <c r="Q51" s="66">
        <v>0</v>
      </c>
      <c r="R51" s="67">
        <f t="shared" si="2"/>
        <v>0</v>
      </c>
      <c r="S51" s="66">
        <v>4</v>
      </c>
      <c r="T51" s="67">
        <v>4.242</v>
      </c>
      <c r="U51" s="66">
        <v>3000</v>
      </c>
      <c r="V51" s="67">
        <f t="shared" si="3"/>
        <v>3181.5</v>
      </c>
      <c r="W51" s="66">
        <v>0</v>
      </c>
      <c r="X51" s="67">
        <v>0</v>
      </c>
      <c r="Y51" s="66">
        <v>33</v>
      </c>
      <c r="Z51" s="67">
        <v>34.996499999999997</v>
      </c>
      <c r="AA51" s="66">
        <v>1100</v>
      </c>
      <c r="AB51" s="67">
        <v>1166.55</v>
      </c>
      <c r="AC51" s="66">
        <v>0</v>
      </c>
      <c r="AD51" s="67">
        <v>0</v>
      </c>
      <c r="AE51" s="66">
        <v>0</v>
      </c>
      <c r="AF51" s="67">
        <v>0</v>
      </c>
      <c r="AG51" s="66">
        <v>0</v>
      </c>
      <c r="AH51" s="67">
        <v>0</v>
      </c>
      <c r="AI51" s="66">
        <v>1890</v>
      </c>
      <c r="AJ51" s="67">
        <v>2004.345</v>
      </c>
      <c r="AK51" s="66">
        <v>0</v>
      </c>
      <c r="AL51" s="67">
        <v>0</v>
      </c>
      <c r="AM51" s="66">
        <v>0</v>
      </c>
      <c r="AN51" s="67">
        <v>0</v>
      </c>
      <c r="AO51" s="66">
        <v>0</v>
      </c>
      <c r="AP51" s="67">
        <v>0</v>
      </c>
      <c r="AQ51" s="66">
        <v>0</v>
      </c>
      <c r="AR51" s="67">
        <v>0</v>
      </c>
    </row>
    <row r="52" spans="2:44" x14ac:dyDescent="0.3">
      <c r="B52" s="64" t="s">
        <v>335</v>
      </c>
      <c r="C52" s="64" t="s">
        <v>342</v>
      </c>
      <c r="D52" s="64" t="s">
        <v>343</v>
      </c>
      <c r="E52" s="64" t="s">
        <v>344</v>
      </c>
      <c r="F52" s="65">
        <v>37.1175</v>
      </c>
      <c r="G52" s="66">
        <v>509</v>
      </c>
      <c r="H52" s="67">
        <v>18892.807499999999</v>
      </c>
      <c r="I52" s="66">
        <v>0</v>
      </c>
      <c r="J52" s="67">
        <v>0</v>
      </c>
      <c r="K52" s="66">
        <v>482</v>
      </c>
      <c r="L52" s="67">
        <v>17890.634999999998</v>
      </c>
      <c r="M52" s="66">
        <v>200</v>
      </c>
      <c r="N52" s="67">
        <v>7423.5</v>
      </c>
      <c r="O52" s="66">
        <v>0</v>
      </c>
      <c r="P52" s="67">
        <v>0</v>
      </c>
      <c r="Q52" s="66">
        <v>0</v>
      </c>
      <c r="R52" s="67">
        <f t="shared" si="2"/>
        <v>0</v>
      </c>
      <c r="S52" s="66">
        <v>535</v>
      </c>
      <c r="T52" s="67">
        <v>19857.862499999999</v>
      </c>
      <c r="U52" s="66">
        <v>903</v>
      </c>
      <c r="V52" s="67">
        <f t="shared" si="3"/>
        <v>33517.102500000001</v>
      </c>
      <c r="W52" s="66">
        <v>0</v>
      </c>
      <c r="X52" s="67">
        <v>0</v>
      </c>
      <c r="Y52" s="66">
        <v>891</v>
      </c>
      <c r="Z52" s="67">
        <v>33071.692499999997</v>
      </c>
      <c r="AA52" s="66">
        <v>1160</v>
      </c>
      <c r="AB52" s="67">
        <v>43056.3</v>
      </c>
      <c r="AC52" s="66">
        <v>0</v>
      </c>
      <c r="AD52" s="67">
        <v>0</v>
      </c>
      <c r="AE52" s="66">
        <v>122</v>
      </c>
      <c r="AF52" s="67">
        <v>4528.335</v>
      </c>
      <c r="AG52" s="66">
        <v>0</v>
      </c>
      <c r="AH52" s="67">
        <v>0</v>
      </c>
      <c r="AI52" s="66">
        <v>830</v>
      </c>
      <c r="AJ52" s="67">
        <v>30807.525000000001</v>
      </c>
      <c r="AK52" s="66">
        <v>0</v>
      </c>
      <c r="AL52" s="67">
        <v>0</v>
      </c>
      <c r="AM52" s="66">
        <v>0</v>
      </c>
      <c r="AN52" s="67">
        <v>0</v>
      </c>
      <c r="AO52" s="66">
        <v>493</v>
      </c>
      <c r="AP52" s="67">
        <v>18298.927500000002</v>
      </c>
      <c r="AQ52" s="66">
        <v>0</v>
      </c>
      <c r="AR52" s="67">
        <v>0</v>
      </c>
    </row>
    <row r="53" spans="2:44" x14ac:dyDescent="0.3">
      <c r="B53" s="64" t="s">
        <v>335</v>
      </c>
      <c r="C53" s="64" t="s">
        <v>345</v>
      </c>
      <c r="D53" s="64" t="s">
        <v>346</v>
      </c>
      <c r="E53" s="64" t="s">
        <v>195</v>
      </c>
      <c r="F53" s="65">
        <v>42.42</v>
      </c>
      <c r="G53" s="66">
        <v>54</v>
      </c>
      <c r="H53" s="67">
        <v>2290.6799999999998</v>
      </c>
      <c r="I53" s="66">
        <v>0</v>
      </c>
      <c r="J53" s="67">
        <v>0</v>
      </c>
      <c r="K53" s="66">
        <v>30</v>
      </c>
      <c r="L53" s="67">
        <v>1272.5999999999999</v>
      </c>
      <c r="M53" s="66">
        <v>8</v>
      </c>
      <c r="N53" s="67">
        <v>339.36</v>
      </c>
      <c r="O53" s="66">
        <v>0</v>
      </c>
      <c r="P53" s="67">
        <v>0</v>
      </c>
      <c r="Q53" s="66">
        <v>0</v>
      </c>
      <c r="R53" s="67">
        <f t="shared" si="2"/>
        <v>0</v>
      </c>
      <c r="S53" s="66">
        <v>21</v>
      </c>
      <c r="T53" s="67">
        <v>890.82</v>
      </c>
      <c r="U53" s="66">
        <v>72</v>
      </c>
      <c r="V53" s="67">
        <f t="shared" si="3"/>
        <v>3054.2400000000002</v>
      </c>
      <c r="W53" s="66">
        <v>6</v>
      </c>
      <c r="X53" s="67">
        <v>254.52</v>
      </c>
      <c r="Y53" s="66">
        <v>112</v>
      </c>
      <c r="Z53" s="67">
        <v>4751.04</v>
      </c>
      <c r="AA53" s="66">
        <v>152</v>
      </c>
      <c r="AB53" s="67">
        <v>6447.84</v>
      </c>
      <c r="AC53" s="66">
        <v>0</v>
      </c>
      <c r="AD53" s="67">
        <v>0</v>
      </c>
      <c r="AE53" s="66">
        <v>1</v>
      </c>
      <c r="AF53" s="67">
        <v>42.42</v>
      </c>
      <c r="AG53" s="66">
        <v>0</v>
      </c>
      <c r="AH53" s="67">
        <v>0</v>
      </c>
      <c r="AI53" s="66">
        <v>15</v>
      </c>
      <c r="AJ53" s="67">
        <v>636.29999999999995</v>
      </c>
      <c r="AK53" s="66">
        <v>0</v>
      </c>
      <c r="AL53" s="67">
        <v>0</v>
      </c>
      <c r="AM53" s="66">
        <v>22</v>
      </c>
      <c r="AN53" s="67">
        <v>933.24</v>
      </c>
      <c r="AO53" s="66">
        <v>1</v>
      </c>
      <c r="AP53" s="67">
        <v>42.42</v>
      </c>
      <c r="AQ53" s="66">
        <v>0</v>
      </c>
      <c r="AR53" s="67">
        <v>0</v>
      </c>
    </row>
    <row r="54" spans="2:44" x14ac:dyDescent="0.3">
      <c r="B54" s="64" t="s">
        <v>335</v>
      </c>
      <c r="C54" s="64" t="s">
        <v>347</v>
      </c>
      <c r="D54" s="64" t="s">
        <v>348</v>
      </c>
      <c r="E54" s="64" t="s">
        <v>349</v>
      </c>
      <c r="F54" s="65">
        <v>0.32319999999999999</v>
      </c>
      <c r="G54" s="66">
        <v>1478.37</v>
      </c>
      <c r="H54" s="67">
        <v>477.80918400000002</v>
      </c>
      <c r="I54" s="66">
        <v>0</v>
      </c>
      <c r="J54" s="67">
        <v>0</v>
      </c>
      <c r="K54" s="66">
        <v>7262</v>
      </c>
      <c r="L54" s="67">
        <v>2347.0783999999999</v>
      </c>
      <c r="M54" s="66">
        <v>0</v>
      </c>
      <c r="N54" s="67">
        <v>0</v>
      </c>
      <c r="O54" s="66">
        <v>0</v>
      </c>
      <c r="P54" s="67">
        <v>0</v>
      </c>
      <c r="Q54" s="66">
        <v>12060</v>
      </c>
      <c r="R54" s="67">
        <f t="shared" si="2"/>
        <v>3897.7919999999999</v>
      </c>
      <c r="S54" s="66">
        <v>19581</v>
      </c>
      <c r="T54" s="67">
        <v>6328.5792000000001</v>
      </c>
      <c r="U54" s="66">
        <v>33912</v>
      </c>
      <c r="V54" s="67">
        <f t="shared" si="3"/>
        <v>10960.358399999999</v>
      </c>
      <c r="W54" s="66">
        <v>20463.71</v>
      </c>
      <c r="X54" s="67">
        <v>6613.8710719999999</v>
      </c>
      <c r="Y54" s="66">
        <v>1472.29</v>
      </c>
      <c r="Z54" s="67">
        <v>475.84412800000001</v>
      </c>
      <c r="AA54" s="66">
        <v>6800</v>
      </c>
      <c r="AB54" s="67">
        <v>2197.7600000000002</v>
      </c>
      <c r="AC54" s="66">
        <v>24294</v>
      </c>
      <c r="AD54" s="67">
        <v>7851.8208000000004</v>
      </c>
      <c r="AE54" s="66">
        <v>9076</v>
      </c>
      <c r="AF54" s="67">
        <v>2933.3631999999998</v>
      </c>
      <c r="AG54" s="66">
        <v>3077.8</v>
      </c>
      <c r="AH54" s="67">
        <v>994.74495999999999</v>
      </c>
      <c r="AI54" s="66">
        <v>22105</v>
      </c>
      <c r="AJ54" s="67">
        <v>7144.3360000000002</v>
      </c>
      <c r="AK54" s="66">
        <v>7319</v>
      </c>
      <c r="AL54" s="67">
        <v>2365.5007999999998</v>
      </c>
      <c r="AM54" s="66">
        <v>4237</v>
      </c>
      <c r="AN54" s="67">
        <v>1369.3984</v>
      </c>
      <c r="AO54" s="66">
        <v>7775</v>
      </c>
      <c r="AP54" s="67">
        <v>2512.88</v>
      </c>
      <c r="AQ54" s="66">
        <v>0</v>
      </c>
      <c r="AR54" s="67">
        <v>0</v>
      </c>
    </row>
    <row r="55" spans="2:44" x14ac:dyDescent="0.3">
      <c r="B55" s="64" t="s">
        <v>335</v>
      </c>
      <c r="C55" s="64" t="s">
        <v>350</v>
      </c>
      <c r="D55" s="64" t="s">
        <v>351</v>
      </c>
      <c r="E55" s="64" t="s">
        <v>352</v>
      </c>
      <c r="F55" s="65">
        <v>42.42</v>
      </c>
      <c r="G55" s="66">
        <v>10</v>
      </c>
      <c r="H55" s="67">
        <v>424.2</v>
      </c>
      <c r="I55" s="66">
        <v>0</v>
      </c>
      <c r="J55" s="67">
        <v>0</v>
      </c>
      <c r="K55" s="66">
        <v>45</v>
      </c>
      <c r="L55" s="67">
        <v>1908.9</v>
      </c>
      <c r="M55" s="66">
        <v>4</v>
      </c>
      <c r="N55" s="67">
        <v>169.68</v>
      </c>
      <c r="O55" s="66">
        <v>0</v>
      </c>
      <c r="P55" s="67">
        <v>0</v>
      </c>
      <c r="Q55" s="66">
        <v>0</v>
      </c>
      <c r="R55" s="67">
        <f t="shared" si="2"/>
        <v>0</v>
      </c>
      <c r="S55" s="66">
        <v>20</v>
      </c>
      <c r="T55" s="67">
        <v>848.4</v>
      </c>
      <c r="U55" s="66">
        <v>45</v>
      </c>
      <c r="V55" s="67">
        <f t="shared" si="3"/>
        <v>1908.9</v>
      </c>
      <c r="W55" s="66">
        <v>3</v>
      </c>
      <c r="X55" s="67">
        <v>127.26</v>
      </c>
      <c r="Y55" s="66">
        <v>36</v>
      </c>
      <c r="Z55" s="67">
        <v>1527.12</v>
      </c>
      <c r="AA55" s="66">
        <v>4</v>
      </c>
      <c r="AB55" s="67">
        <v>169.68</v>
      </c>
      <c r="AC55" s="66">
        <v>0</v>
      </c>
      <c r="AD55" s="67">
        <v>0</v>
      </c>
      <c r="AE55" s="66">
        <v>111</v>
      </c>
      <c r="AF55" s="67">
        <v>4708.62</v>
      </c>
      <c r="AG55" s="66">
        <v>3</v>
      </c>
      <c r="AH55" s="67">
        <v>127.26</v>
      </c>
      <c r="AI55" s="66">
        <v>25</v>
      </c>
      <c r="AJ55" s="67">
        <v>1060.5</v>
      </c>
      <c r="AK55" s="66">
        <v>0</v>
      </c>
      <c r="AL55" s="67">
        <v>0</v>
      </c>
      <c r="AM55" s="66">
        <v>3</v>
      </c>
      <c r="AN55" s="67">
        <v>127.26</v>
      </c>
      <c r="AO55" s="66">
        <v>2</v>
      </c>
      <c r="AP55" s="67">
        <v>84.84</v>
      </c>
      <c r="AQ55" s="66">
        <v>0</v>
      </c>
      <c r="AR55" s="67">
        <v>0</v>
      </c>
    </row>
    <row r="56" spans="2:44" x14ac:dyDescent="0.3">
      <c r="B56" s="64" t="s">
        <v>335</v>
      </c>
      <c r="C56" s="64" t="s">
        <v>353</v>
      </c>
      <c r="D56" s="64" t="s">
        <v>354</v>
      </c>
      <c r="E56" s="64" t="s">
        <v>338</v>
      </c>
      <c r="F56" s="65">
        <v>47.47</v>
      </c>
      <c r="G56" s="66">
        <v>0</v>
      </c>
      <c r="H56" s="67">
        <v>0</v>
      </c>
      <c r="I56" s="66">
        <v>0</v>
      </c>
      <c r="J56" s="67">
        <v>0</v>
      </c>
      <c r="K56" s="66">
        <v>0</v>
      </c>
      <c r="L56" s="67">
        <v>0</v>
      </c>
      <c r="M56" s="66">
        <v>0</v>
      </c>
      <c r="N56" s="67">
        <v>0</v>
      </c>
      <c r="O56" s="66">
        <v>0</v>
      </c>
      <c r="P56" s="67">
        <v>0</v>
      </c>
      <c r="Q56" s="66">
        <v>0</v>
      </c>
      <c r="R56" s="67">
        <f t="shared" si="2"/>
        <v>0</v>
      </c>
      <c r="S56" s="66">
        <v>0</v>
      </c>
      <c r="T56" s="67">
        <v>0</v>
      </c>
      <c r="U56" s="66">
        <v>6</v>
      </c>
      <c r="V56" s="67">
        <f t="shared" si="3"/>
        <v>284.82</v>
      </c>
      <c r="W56" s="66">
        <v>0</v>
      </c>
      <c r="X56" s="67">
        <v>0</v>
      </c>
      <c r="Y56" s="66">
        <v>2</v>
      </c>
      <c r="Z56" s="67">
        <v>94.94</v>
      </c>
      <c r="AA56" s="66">
        <v>0</v>
      </c>
      <c r="AB56" s="67">
        <v>0</v>
      </c>
      <c r="AC56" s="66">
        <v>0</v>
      </c>
      <c r="AD56" s="67">
        <v>0</v>
      </c>
      <c r="AE56" s="66">
        <v>0</v>
      </c>
      <c r="AF56" s="67">
        <v>0</v>
      </c>
      <c r="AG56" s="66">
        <v>0</v>
      </c>
      <c r="AH56" s="67">
        <v>0</v>
      </c>
      <c r="AI56" s="66">
        <v>0</v>
      </c>
      <c r="AJ56" s="67">
        <v>0</v>
      </c>
      <c r="AK56" s="66">
        <v>0</v>
      </c>
      <c r="AL56" s="67">
        <v>0</v>
      </c>
      <c r="AM56" s="66">
        <v>0</v>
      </c>
      <c r="AN56" s="67">
        <v>0</v>
      </c>
      <c r="AO56" s="66">
        <v>0</v>
      </c>
      <c r="AP56" s="67">
        <v>0</v>
      </c>
      <c r="AQ56" s="66">
        <v>0</v>
      </c>
      <c r="AR56" s="67">
        <v>0</v>
      </c>
    </row>
    <row r="57" spans="2:44" x14ac:dyDescent="0.3">
      <c r="B57" s="64" t="s">
        <v>335</v>
      </c>
      <c r="C57" s="64" t="s">
        <v>355</v>
      </c>
      <c r="D57" s="64" t="s">
        <v>356</v>
      </c>
      <c r="E57" s="64" t="s">
        <v>357</v>
      </c>
      <c r="F57" s="65">
        <v>132.5625</v>
      </c>
      <c r="G57" s="66">
        <v>39</v>
      </c>
      <c r="H57" s="67">
        <v>5169.9375</v>
      </c>
      <c r="I57" s="66">
        <v>0</v>
      </c>
      <c r="J57" s="67">
        <v>0</v>
      </c>
      <c r="K57" s="66">
        <v>82</v>
      </c>
      <c r="L57" s="67">
        <v>10870.125</v>
      </c>
      <c r="M57" s="66">
        <v>8</v>
      </c>
      <c r="N57" s="67">
        <v>1060.5</v>
      </c>
      <c r="O57" s="66">
        <v>0</v>
      </c>
      <c r="P57" s="67">
        <v>0</v>
      </c>
      <c r="Q57" s="66">
        <v>107</v>
      </c>
      <c r="R57" s="67">
        <f t="shared" si="2"/>
        <v>14184.1875</v>
      </c>
      <c r="S57" s="66">
        <v>69</v>
      </c>
      <c r="T57" s="67">
        <v>9146.8125</v>
      </c>
      <c r="U57" s="66">
        <v>8</v>
      </c>
      <c r="V57" s="67">
        <f t="shared" si="3"/>
        <v>1060.5</v>
      </c>
      <c r="W57" s="66">
        <v>8</v>
      </c>
      <c r="X57" s="67">
        <v>1060.5</v>
      </c>
      <c r="Y57" s="66">
        <v>14</v>
      </c>
      <c r="Z57" s="67">
        <v>1855.875</v>
      </c>
      <c r="AA57" s="66">
        <v>24</v>
      </c>
      <c r="AB57" s="67">
        <v>3181.5</v>
      </c>
      <c r="AC57" s="66">
        <v>2</v>
      </c>
      <c r="AD57" s="67">
        <v>265.125</v>
      </c>
      <c r="AE57" s="66">
        <v>2</v>
      </c>
      <c r="AF57" s="67">
        <v>265.125</v>
      </c>
      <c r="AG57" s="66">
        <v>0</v>
      </c>
      <c r="AH57" s="67">
        <v>0</v>
      </c>
      <c r="AI57" s="66">
        <v>53</v>
      </c>
      <c r="AJ57" s="67">
        <v>7025.8125</v>
      </c>
      <c r="AK57" s="66">
        <v>0</v>
      </c>
      <c r="AL57" s="67">
        <v>0</v>
      </c>
      <c r="AM57" s="66">
        <v>0</v>
      </c>
      <c r="AN57" s="67">
        <v>0</v>
      </c>
      <c r="AO57" s="66">
        <v>16</v>
      </c>
      <c r="AP57" s="67">
        <v>2121</v>
      </c>
      <c r="AQ57" s="66">
        <v>0</v>
      </c>
      <c r="AR57" s="67">
        <v>0</v>
      </c>
    </row>
    <row r="58" spans="2:44" x14ac:dyDescent="0.3">
      <c r="B58" s="64" t="s">
        <v>335</v>
      </c>
      <c r="C58" s="64" t="s">
        <v>358</v>
      </c>
      <c r="D58" s="64" t="s">
        <v>359</v>
      </c>
      <c r="E58" s="64" t="s">
        <v>360</v>
      </c>
      <c r="F58" s="65">
        <v>636.29999999999995</v>
      </c>
      <c r="G58" s="66">
        <v>11</v>
      </c>
      <c r="H58" s="67">
        <v>6999.3</v>
      </c>
      <c r="I58" s="66">
        <v>0</v>
      </c>
      <c r="J58" s="67">
        <v>0</v>
      </c>
      <c r="K58" s="66">
        <v>12</v>
      </c>
      <c r="L58" s="67">
        <v>7635.6</v>
      </c>
      <c r="M58" s="66">
        <v>3</v>
      </c>
      <c r="N58" s="67">
        <v>1908.9</v>
      </c>
      <c r="O58" s="66">
        <v>0</v>
      </c>
      <c r="P58" s="67">
        <v>0</v>
      </c>
      <c r="Q58" s="66">
        <v>21</v>
      </c>
      <c r="R58" s="67">
        <f t="shared" si="2"/>
        <v>13362.3</v>
      </c>
      <c r="S58" s="66">
        <v>17</v>
      </c>
      <c r="T58" s="67">
        <v>10817.1</v>
      </c>
      <c r="U58" s="66">
        <v>19</v>
      </c>
      <c r="V58" s="67">
        <f t="shared" si="3"/>
        <v>12089.699999999999</v>
      </c>
      <c r="W58" s="66">
        <v>1</v>
      </c>
      <c r="X58" s="67">
        <v>636.29999999999995</v>
      </c>
      <c r="Y58" s="66">
        <v>31</v>
      </c>
      <c r="Z58" s="67">
        <v>19725.3</v>
      </c>
      <c r="AA58" s="66">
        <v>20</v>
      </c>
      <c r="AB58" s="67">
        <v>12726</v>
      </c>
      <c r="AC58" s="66">
        <v>2</v>
      </c>
      <c r="AD58" s="67">
        <v>1272.5999999999999</v>
      </c>
      <c r="AE58" s="66">
        <v>19</v>
      </c>
      <c r="AF58" s="67">
        <v>12089.7</v>
      </c>
      <c r="AG58" s="66">
        <v>8</v>
      </c>
      <c r="AH58" s="67">
        <v>5090.3999999999996</v>
      </c>
      <c r="AI58" s="66">
        <v>21</v>
      </c>
      <c r="AJ58" s="67">
        <v>13362.3</v>
      </c>
      <c r="AK58" s="66">
        <v>0</v>
      </c>
      <c r="AL58" s="67">
        <v>0</v>
      </c>
      <c r="AM58" s="66">
        <v>3</v>
      </c>
      <c r="AN58" s="67">
        <v>1908.9</v>
      </c>
      <c r="AO58" s="66">
        <v>9</v>
      </c>
      <c r="AP58" s="67">
        <v>5726.7</v>
      </c>
      <c r="AQ58" s="66">
        <v>0</v>
      </c>
      <c r="AR58" s="67">
        <v>0</v>
      </c>
    </row>
    <row r="59" spans="2:44" x14ac:dyDescent="0.3">
      <c r="B59" s="64" t="s">
        <v>335</v>
      </c>
      <c r="C59" s="64" t="s">
        <v>148</v>
      </c>
      <c r="D59" s="64" t="s">
        <v>149</v>
      </c>
      <c r="E59" s="64" t="s">
        <v>150</v>
      </c>
      <c r="F59" s="65">
        <v>424.2</v>
      </c>
      <c r="G59" s="66">
        <v>7</v>
      </c>
      <c r="H59" s="67">
        <v>2969.4</v>
      </c>
      <c r="I59" s="66">
        <v>0</v>
      </c>
      <c r="J59" s="67">
        <v>0</v>
      </c>
      <c r="K59" s="66">
        <v>12</v>
      </c>
      <c r="L59" s="67">
        <v>5090.3999999999996</v>
      </c>
      <c r="M59" s="66">
        <v>1</v>
      </c>
      <c r="N59" s="67">
        <v>424.2</v>
      </c>
      <c r="O59" s="66">
        <v>1</v>
      </c>
      <c r="P59" s="67">
        <v>424.2</v>
      </c>
      <c r="Q59" s="66">
        <v>15</v>
      </c>
      <c r="R59" s="67">
        <f t="shared" si="2"/>
        <v>6363</v>
      </c>
      <c r="S59" s="66">
        <v>8</v>
      </c>
      <c r="T59" s="67">
        <v>3393.6</v>
      </c>
      <c r="U59" s="66">
        <v>23</v>
      </c>
      <c r="V59" s="67">
        <f t="shared" si="3"/>
        <v>9756.6</v>
      </c>
      <c r="W59" s="66">
        <v>5</v>
      </c>
      <c r="X59" s="67">
        <v>2121</v>
      </c>
      <c r="Y59" s="66">
        <v>17</v>
      </c>
      <c r="Z59" s="67">
        <v>7211.4</v>
      </c>
      <c r="AA59" s="66">
        <v>5</v>
      </c>
      <c r="AB59" s="67">
        <v>2121</v>
      </c>
      <c r="AC59" s="66">
        <v>0</v>
      </c>
      <c r="AD59" s="67">
        <v>0</v>
      </c>
      <c r="AE59" s="66">
        <v>17</v>
      </c>
      <c r="AF59" s="67">
        <v>7211.4</v>
      </c>
      <c r="AG59" s="66">
        <v>16</v>
      </c>
      <c r="AH59" s="67">
        <v>6787.2</v>
      </c>
      <c r="AI59" s="66">
        <v>30</v>
      </c>
      <c r="AJ59" s="67">
        <v>12726</v>
      </c>
      <c r="AK59" s="66">
        <v>5</v>
      </c>
      <c r="AL59" s="67">
        <v>2121</v>
      </c>
      <c r="AM59" s="66">
        <v>1</v>
      </c>
      <c r="AN59" s="67">
        <v>424.2</v>
      </c>
      <c r="AO59" s="66">
        <v>10</v>
      </c>
      <c r="AP59" s="67">
        <v>4242</v>
      </c>
      <c r="AQ59" s="66">
        <v>0</v>
      </c>
      <c r="AR59" s="67">
        <v>0</v>
      </c>
    </row>
    <row r="60" spans="2:44" x14ac:dyDescent="0.3">
      <c r="B60" s="64" t="s">
        <v>335</v>
      </c>
      <c r="C60" s="64" t="s">
        <v>361</v>
      </c>
      <c r="D60" s="64" t="s">
        <v>362</v>
      </c>
      <c r="E60" s="64" t="s">
        <v>363</v>
      </c>
      <c r="F60" s="65">
        <v>2121</v>
      </c>
      <c r="G60" s="66">
        <v>1</v>
      </c>
      <c r="H60" s="67">
        <v>2121</v>
      </c>
      <c r="I60" s="66">
        <v>0</v>
      </c>
      <c r="J60" s="67">
        <v>0</v>
      </c>
      <c r="K60" s="66">
        <v>0</v>
      </c>
      <c r="L60" s="67">
        <v>0</v>
      </c>
      <c r="M60" s="66">
        <v>0</v>
      </c>
      <c r="N60" s="67">
        <v>0</v>
      </c>
      <c r="O60" s="66">
        <v>0</v>
      </c>
      <c r="P60" s="67">
        <v>0</v>
      </c>
      <c r="Q60" s="66">
        <v>3</v>
      </c>
      <c r="R60" s="67">
        <f t="shared" si="2"/>
        <v>6363</v>
      </c>
      <c r="S60" s="66">
        <v>0</v>
      </c>
      <c r="T60" s="67">
        <v>0</v>
      </c>
      <c r="U60" s="66">
        <v>3</v>
      </c>
      <c r="V60" s="67">
        <f t="shared" si="3"/>
        <v>6363</v>
      </c>
      <c r="W60" s="66">
        <v>0</v>
      </c>
      <c r="X60" s="67">
        <v>0</v>
      </c>
      <c r="Y60" s="66">
        <v>2</v>
      </c>
      <c r="Z60" s="67">
        <v>4242</v>
      </c>
      <c r="AA60" s="66">
        <v>3</v>
      </c>
      <c r="AB60" s="67">
        <v>6363</v>
      </c>
      <c r="AC60" s="66">
        <v>0</v>
      </c>
      <c r="AD60" s="67">
        <v>0</v>
      </c>
      <c r="AE60" s="66">
        <v>1</v>
      </c>
      <c r="AF60" s="67">
        <v>2121</v>
      </c>
      <c r="AG60" s="66">
        <v>0</v>
      </c>
      <c r="AH60" s="67">
        <v>0</v>
      </c>
      <c r="AI60" s="66">
        <v>3</v>
      </c>
      <c r="AJ60" s="67">
        <v>6363</v>
      </c>
      <c r="AK60" s="66">
        <v>0</v>
      </c>
      <c r="AL60" s="67">
        <v>0</v>
      </c>
      <c r="AM60" s="66">
        <v>0</v>
      </c>
      <c r="AN60" s="67">
        <v>0</v>
      </c>
      <c r="AO60" s="66">
        <v>0</v>
      </c>
      <c r="AP60" s="67">
        <v>0</v>
      </c>
      <c r="AQ60" s="66">
        <v>1</v>
      </c>
      <c r="AR60" s="67">
        <v>2121</v>
      </c>
    </row>
    <row r="61" spans="2:44" x14ac:dyDescent="0.3">
      <c r="B61" s="64" t="s">
        <v>335</v>
      </c>
      <c r="C61" s="64" t="s">
        <v>361</v>
      </c>
      <c r="D61" s="64" t="s">
        <v>364</v>
      </c>
      <c r="E61" s="64" t="s">
        <v>363</v>
      </c>
      <c r="F61" s="65">
        <v>1908.9</v>
      </c>
      <c r="G61" s="66">
        <v>1</v>
      </c>
      <c r="H61" s="67">
        <v>1908.9</v>
      </c>
      <c r="I61" s="66">
        <v>0</v>
      </c>
      <c r="J61" s="67">
        <v>0</v>
      </c>
      <c r="K61" s="66">
        <v>2</v>
      </c>
      <c r="L61" s="67">
        <v>3817.8</v>
      </c>
      <c r="M61" s="66">
        <v>4</v>
      </c>
      <c r="N61" s="67">
        <v>7635.6</v>
      </c>
      <c r="O61" s="66">
        <v>0</v>
      </c>
      <c r="P61" s="67">
        <v>0</v>
      </c>
      <c r="Q61" s="66">
        <v>9</v>
      </c>
      <c r="R61" s="67">
        <f t="shared" si="2"/>
        <v>17180.100000000002</v>
      </c>
      <c r="S61" s="66">
        <v>8</v>
      </c>
      <c r="T61" s="67">
        <v>15271.2</v>
      </c>
      <c r="U61" s="66">
        <v>2</v>
      </c>
      <c r="V61" s="67">
        <f t="shared" si="3"/>
        <v>3817.8</v>
      </c>
      <c r="W61" s="66">
        <v>0</v>
      </c>
      <c r="X61" s="67">
        <v>0</v>
      </c>
      <c r="Y61" s="66">
        <v>9</v>
      </c>
      <c r="Z61" s="67">
        <v>17180.099999999999</v>
      </c>
      <c r="AA61" s="66">
        <v>3</v>
      </c>
      <c r="AB61" s="67">
        <v>5726.7</v>
      </c>
      <c r="AC61" s="66">
        <v>1</v>
      </c>
      <c r="AD61" s="67">
        <v>1908.9</v>
      </c>
      <c r="AE61" s="66">
        <v>9</v>
      </c>
      <c r="AF61" s="67">
        <v>17180.099999999999</v>
      </c>
      <c r="AG61" s="66">
        <v>5</v>
      </c>
      <c r="AH61" s="67">
        <v>9544.5</v>
      </c>
      <c r="AI61" s="66">
        <v>5</v>
      </c>
      <c r="AJ61" s="67">
        <v>9544.5</v>
      </c>
      <c r="AK61" s="66">
        <v>1</v>
      </c>
      <c r="AL61" s="67">
        <v>1908.9</v>
      </c>
      <c r="AM61" s="66">
        <v>4</v>
      </c>
      <c r="AN61" s="67">
        <v>7635.6</v>
      </c>
      <c r="AO61" s="66">
        <v>1</v>
      </c>
      <c r="AP61" s="67">
        <v>1908.9</v>
      </c>
      <c r="AQ61" s="66">
        <v>9</v>
      </c>
      <c r="AR61" s="67">
        <v>17180.099999999999</v>
      </c>
    </row>
    <row r="62" spans="2:44" x14ac:dyDescent="0.3">
      <c r="B62" s="64" t="s">
        <v>335</v>
      </c>
      <c r="C62" s="64" t="s">
        <v>361</v>
      </c>
      <c r="D62" s="64" t="s">
        <v>365</v>
      </c>
      <c r="E62" s="64" t="s">
        <v>363</v>
      </c>
      <c r="F62" s="65">
        <v>2651.25</v>
      </c>
      <c r="G62" s="66">
        <v>1</v>
      </c>
      <c r="H62" s="67">
        <v>2651.25</v>
      </c>
      <c r="I62" s="66">
        <v>0</v>
      </c>
      <c r="J62" s="67">
        <v>0</v>
      </c>
      <c r="K62" s="66">
        <v>4</v>
      </c>
      <c r="L62" s="67">
        <v>10605</v>
      </c>
      <c r="M62" s="66">
        <v>0</v>
      </c>
      <c r="N62" s="67">
        <v>0</v>
      </c>
      <c r="O62" s="66">
        <v>0</v>
      </c>
      <c r="P62" s="67">
        <v>0</v>
      </c>
      <c r="Q62" s="66">
        <v>2</v>
      </c>
      <c r="R62" s="67">
        <f t="shared" si="2"/>
        <v>5302.5</v>
      </c>
      <c r="S62" s="66">
        <v>0</v>
      </c>
      <c r="T62" s="67">
        <v>0</v>
      </c>
      <c r="U62" s="66">
        <v>4</v>
      </c>
      <c r="V62" s="67">
        <f t="shared" si="3"/>
        <v>10605</v>
      </c>
      <c r="W62" s="66">
        <v>0</v>
      </c>
      <c r="X62" s="67">
        <v>0</v>
      </c>
      <c r="Y62" s="66">
        <v>1</v>
      </c>
      <c r="Z62" s="67">
        <v>2651.25</v>
      </c>
      <c r="AA62" s="66">
        <v>2</v>
      </c>
      <c r="AB62" s="67">
        <v>5302.5</v>
      </c>
      <c r="AC62" s="66">
        <v>0</v>
      </c>
      <c r="AD62" s="67">
        <v>0</v>
      </c>
      <c r="AE62" s="66">
        <v>4</v>
      </c>
      <c r="AF62" s="67">
        <v>10605</v>
      </c>
      <c r="AG62" s="66">
        <v>1</v>
      </c>
      <c r="AH62" s="67">
        <v>2651.25</v>
      </c>
      <c r="AI62" s="66">
        <v>1</v>
      </c>
      <c r="AJ62" s="67">
        <v>2651.25</v>
      </c>
      <c r="AK62" s="66">
        <v>0</v>
      </c>
      <c r="AL62" s="67">
        <v>0</v>
      </c>
      <c r="AM62" s="66">
        <v>0</v>
      </c>
      <c r="AN62" s="67">
        <v>0</v>
      </c>
      <c r="AO62" s="66">
        <v>2</v>
      </c>
      <c r="AP62" s="67">
        <v>5302.5</v>
      </c>
      <c r="AQ62" s="66">
        <v>2</v>
      </c>
      <c r="AR62" s="67">
        <v>5302.5</v>
      </c>
    </row>
    <row r="63" spans="2:44" x14ac:dyDescent="0.3">
      <c r="B63" s="64" t="s">
        <v>335</v>
      </c>
      <c r="C63" s="64" t="s">
        <v>366</v>
      </c>
      <c r="D63" s="64" t="s">
        <v>367</v>
      </c>
      <c r="E63" s="64" t="s">
        <v>368</v>
      </c>
      <c r="F63" s="65">
        <v>18028.5</v>
      </c>
      <c r="G63" s="66">
        <v>0</v>
      </c>
      <c r="H63" s="67">
        <v>0</v>
      </c>
      <c r="I63" s="66">
        <v>0</v>
      </c>
      <c r="J63" s="67">
        <v>0</v>
      </c>
      <c r="K63" s="66">
        <v>0</v>
      </c>
      <c r="L63" s="67">
        <v>0</v>
      </c>
      <c r="M63" s="66">
        <v>0</v>
      </c>
      <c r="N63" s="67">
        <v>0</v>
      </c>
      <c r="O63" s="66">
        <v>0</v>
      </c>
      <c r="P63" s="67">
        <v>0</v>
      </c>
      <c r="Q63" s="66">
        <v>0</v>
      </c>
      <c r="R63" s="67">
        <f t="shared" si="2"/>
        <v>0</v>
      </c>
      <c r="S63" s="66">
        <v>0</v>
      </c>
      <c r="T63" s="67">
        <v>0</v>
      </c>
      <c r="U63" s="66">
        <v>0</v>
      </c>
      <c r="V63" s="67">
        <f t="shared" si="3"/>
        <v>0</v>
      </c>
      <c r="W63" s="66">
        <v>0</v>
      </c>
      <c r="X63" s="67">
        <v>0</v>
      </c>
      <c r="Y63" s="66">
        <v>0</v>
      </c>
      <c r="Z63" s="67">
        <v>0</v>
      </c>
      <c r="AA63" s="66">
        <v>0</v>
      </c>
      <c r="AB63" s="67">
        <v>0</v>
      </c>
      <c r="AC63" s="66">
        <v>0</v>
      </c>
      <c r="AD63" s="67">
        <v>0</v>
      </c>
      <c r="AE63" s="66">
        <v>0</v>
      </c>
      <c r="AF63" s="67">
        <v>0</v>
      </c>
      <c r="AG63" s="66">
        <v>0</v>
      </c>
      <c r="AH63" s="67">
        <v>0</v>
      </c>
      <c r="AI63" s="66">
        <v>0</v>
      </c>
      <c r="AJ63" s="67">
        <v>0</v>
      </c>
      <c r="AK63" s="66">
        <v>0</v>
      </c>
      <c r="AL63" s="67">
        <v>0</v>
      </c>
      <c r="AM63" s="66">
        <v>0</v>
      </c>
      <c r="AN63" s="67">
        <v>0</v>
      </c>
      <c r="AO63" s="66">
        <v>0</v>
      </c>
      <c r="AP63" s="67">
        <v>0</v>
      </c>
      <c r="AQ63" s="66">
        <v>0</v>
      </c>
      <c r="AR63" s="67">
        <v>0</v>
      </c>
    </row>
    <row r="64" spans="2:44" x14ac:dyDescent="0.3">
      <c r="B64" s="64" t="s">
        <v>335</v>
      </c>
      <c r="C64" s="64" t="s">
        <v>366</v>
      </c>
      <c r="D64" s="64" t="s">
        <v>369</v>
      </c>
      <c r="E64" s="64" t="s">
        <v>363</v>
      </c>
      <c r="F64" s="65">
        <v>2439.15</v>
      </c>
      <c r="G64" s="66">
        <v>1</v>
      </c>
      <c r="H64" s="67">
        <v>2439.15</v>
      </c>
      <c r="I64" s="66">
        <v>0</v>
      </c>
      <c r="J64" s="67">
        <v>0</v>
      </c>
      <c r="K64" s="66">
        <v>0</v>
      </c>
      <c r="L64" s="67">
        <v>0</v>
      </c>
      <c r="M64" s="66">
        <v>1</v>
      </c>
      <c r="N64" s="67">
        <v>2439.15</v>
      </c>
      <c r="O64" s="66">
        <v>0</v>
      </c>
      <c r="P64" s="67">
        <v>0</v>
      </c>
      <c r="Q64" s="66">
        <v>0</v>
      </c>
      <c r="R64" s="67">
        <f t="shared" si="2"/>
        <v>0</v>
      </c>
      <c r="S64" s="66">
        <v>1</v>
      </c>
      <c r="T64" s="67">
        <v>2439.15</v>
      </c>
      <c r="U64" s="66">
        <v>0</v>
      </c>
      <c r="V64" s="67">
        <f t="shared" si="3"/>
        <v>0</v>
      </c>
      <c r="W64" s="66">
        <v>0</v>
      </c>
      <c r="X64" s="67">
        <v>0</v>
      </c>
      <c r="Y64" s="66">
        <v>1</v>
      </c>
      <c r="Z64" s="67">
        <v>2439.15</v>
      </c>
      <c r="AA64" s="66">
        <v>1</v>
      </c>
      <c r="AB64" s="67">
        <v>2439.15</v>
      </c>
      <c r="AC64" s="66">
        <v>0</v>
      </c>
      <c r="AD64" s="67">
        <v>0</v>
      </c>
      <c r="AE64" s="66">
        <v>0</v>
      </c>
      <c r="AF64" s="67">
        <v>0</v>
      </c>
      <c r="AG64" s="66">
        <v>0</v>
      </c>
      <c r="AH64" s="67">
        <v>0</v>
      </c>
      <c r="AI64" s="66">
        <v>1</v>
      </c>
      <c r="AJ64" s="67">
        <v>2439.15</v>
      </c>
      <c r="AK64" s="66">
        <v>0</v>
      </c>
      <c r="AL64" s="67">
        <v>0</v>
      </c>
      <c r="AM64" s="66">
        <v>0</v>
      </c>
      <c r="AN64" s="67">
        <v>0</v>
      </c>
      <c r="AO64" s="66">
        <v>1</v>
      </c>
      <c r="AP64" s="67">
        <v>2439.15</v>
      </c>
      <c r="AQ64" s="66">
        <v>0</v>
      </c>
      <c r="AR64" s="67">
        <v>0</v>
      </c>
    </row>
    <row r="65" spans="2:44" x14ac:dyDescent="0.3">
      <c r="B65" s="64" t="s">
        <v>335</v>
      </c>
      <c r="C65" s="64" t="s">
        <v>370</v>
      </c>
      <c r="D65" s="64" t="s">
        <v>371</v>
      </c>
      <c r="E65" s="64" t="s">
        <v>372</v>
      </c>
      <c r="F65" s="65">
        <v>1590.75</v>
      </c>
      <c r="G65" s="66">
        <v>0</v>
      </c>
      <c r="H65" s="67">
        <v>0</v>
      </c>
      <c r="I65" s="66">
        <v>0</v>
      </c>
      <c r="J65" s="67">
        <v>0</v>
      </c>
      <c r="K65" s="66">
        <v>4</v>
      </c>
      <c r="L65" s="67">
        <v>6363</v>
      </c>
      <c r="M65" s="66">
        <v>0</v>
      </c>
      <c r="N65" s="67">
        <v>0</v>
      </c>
      <c r="O65" s="66">
        <v>0</v>
      </c>
      <c r="P65" s="67">
        <v>0</v>
      </c>
      <c r="Q65" s="66">
        <v>2</v>
      </c>
      <c r="R65" s="67">
        <f t="shared" si="2"/>
        <v>3181.5</v>
      </c>
      <c r="S65" s="66">
        <v>1</v>
      </c>
      <c r="T65" s="67">
        <v>1590.75</v>
      </c>
      <c r="U65" s="66">
        <v>12</v>
      </c>
      <c r="V65" s="67">
        <f t="shared" si="3"/>
        <v>19089</v>
      </c>
      <c r="W65" s="66">
        <v>0</v>
      </c>
      <c r="X65" s="67">
        <v>0</v>
      </c>
      <c r="Y65" s="66">
        <v>2</v>
      </c>
      <c r="Z65" s="67">
        <v>3181.5</v>
      </c>
      <c r="AA65" s="66">
        <v>5</v>
      </c>
      <c r="AB65" s="67">
        <v>7953.75</v>
      </c>
      <c r="AC65" s="66">
        <v>0</v>
      </c>
      <c r="AD65" s="67">
        <v>0</v>
      </c>
      <c r="AE65" s="66">
        <v>3</v>
      </c>
      <c r="AF65" s="67">
        <v>4772.25</v>
      </c>
      <c r="AG65" s="66">
        <v>1</v>
      </c>
      <c r="AH65" s="67">
        <v>1590.75</v>
      </c>
      <c r="AI65" s="66">
        <v>4</v>
      </c>
      <c r="AJ65" s="67">
        <v>6363</v>
      </c>
      <c r="AK65" s="66">
        <v>0</v>
      </c>
      <c r="AL65" s="67">
        <v>0</v>
      </c>
      <c r="AM65" s="66">
        <v>0</v>
      </c>
      <c r="AN65" s="67">
        <v>0</v>
      </c>
      <c r="AO65" s="66">
        <v>3</v>
      </c>
      <c r="AP65" s="67">
        <v>4772.25</v>
      </c>
      <c r="AQ65" s="66">
        <v>0</v>
      </c>
      <c r="AR65" s="67">
        <v>0</v>
      </c>
    </row>
    <row r="66" spans="2:44" x14ac:dyDescent="0.3">
      <c r="B66" s="64" t="s">
        <v>335</v>
      </c>
      <c r="C66" s="64" t="s">
        <v>370</v>
      </c>
      <c r="D66" s="64" t="s">
        <v>373</v>
      </c>
      <c r="E66" s="64" t="s">
        <v>372</v>
      </c>
      <c r="F66" s="65">
        <v>1272.5999999999999</v>
      </c>
      <c r="G66" s="66">
        <v>8</v>
      </c>
      <c r="H66" s="67">
        <v>10180.799999999999</v>
      </c>
      <c r="I66" s="66">
        <v>0</v>
      </c>
      <c r="J66" s="67">
        <v>0</v>
      </c>
      <c r="K66" s="66">
        <v>15</v>
      </c>
      <c r="L66" s="67">
        <v>19089</v>
      </c>
      <c r="M66" s="66">
        <v>0</v>
      </c>
      <c r="N66" s="67">
        <v>0</v>
      </c>
      <c r="O66" s="66">
        <v>0</v>
      </c>
      <c r="P66" s="67">
        <v>0</v>
      </c>
      <c r="Q66" s="66">
        <v>14</v>
      </c>
      <c r="R66" s="67">
        <f t="shared" si="2"/>
        <v>17816.399999999998</v>
      </c>
      <c r="S66" s="66">
        <v>21</v>
      </c>
      <c r="T66" s="67">
        <v>26724.6</v>
      </c>
      <c r="U66" s="66">
        <v>13</v>
      </c>
      <c r="V66" s="67">
        <f t="shared" si="3"/>
        <v>16543.8</v>
      </c>
      <c r="W66" s="66">
        <v>1</v>
      </c>
      <c r="X66" s="67">
        <v>1272.5999999999999</v>
      </c>
      <c r="Y66" s="66">
        <v>19</v>
      </c>
      <c r="Z66" s="67">
        <v>24179.4</v>
      </c>
      <c r="AA66" s="66">
        <v>8</v>
      </c>
      <c r="AB66" s="67">
        <v>10180.799999999999</v>
      </c>
      <c r="AC66" s="66">
        <v>2</v>
      </c>
      <c r="AD66" s="67">
        <v>2545.1999999999998</v>
      </c>
      <c r="AE66" s="66">
        <v>27</v>
      </c>
      <c r="AF66" s="67">
        <v>34360.199999999997</v>
      </c>
      <c r="AG66" s="66">
        <v>16</v>
      </c>
      <c r="AH66" s="67">
        <v>20361.599999999999</v>
      </c>
      <c r="AI66" s="66">
        <v>20</v>
      </c>
      <c r="AJ66" s="67">
        <v>25452</v>
      </c>
      <c r="AK66" s="66">
        <v>2</v>
      </c>
      <c r="AL66" s="67">
        <v>2545.1999999999998</v>
      </c>
      <c r="AM66" s="66">
        <v>3</v>
      </c>
      <c r="AN66" s="67">
        <v>3817.8</v>
      </c>
      <c r="AO66" s="66">
        <v>6</v>
      </c>
      <c r="AP66" s="67">
        <v>7635.6</v>
      </c>
      <c r="AQ66" s="66">
        <v>0</v>
      </c>
      <c r="AR66" s="67">
        <v>0</v>
      </c>
    </row>
    <row r="67" spans="2:44" x14ac:dyDescent="0.3">
      <c r="B67" s="64" t="s">
        <v>335</v>
      </c>
      <c r="C67" s="64" t="s">
        <v>370</v>
      </c>
      <c r="D67" s="64" t="s">
        <v>374</v>
      </c>
      <c r="E67" s="64" t="s">
        <v>372</v>
      </c>
      <c r="F67" s="65">
        <v>1590.75</v>
      </c>
      <c r="G67" s="66">
        <v>5</v>
      </c>
      <c r="H67" s="67">
        <v>7953.75</v>
      </c>
      <c r="I67" s="66">
        <v>0</v>
      </c>
      <c r="J67" s="67">
        <v>0</v>
      </c>
      <c r="K67" s="66">
        <v>1</v>
      </c>
      <c r="L67" s="67">
        <v>1590.75</v>
      </c>
      <c r="M67" s="66">
        <v>0</v>
      </c>
      <c r="N67" s="67">
        <v>0</v>
      </c>
      <c r="O67" s="66">
        <v>0</v>
      </c>
      <c r="P67" s="67">
        <v>0</v>
      </c>
      <c r="Q67" s="66">
        <v>7</v>
      </c>
      <c r="R67" s="67">
        <f t="shared" si="2"/>
        <v>11135.25</v>
      </c>
      <c r="S67" s="66">
        <v>2</v>
      </c>
      <c r="T67" s="67">
        <v>3181.5</v>
      </c>
      <c r="U67" s="66">
        <v>3</v>
      </c>
      <c r="V67" s="67">
        <f t="shared" si="3"/>
        <v>4772.25</v>
      </c>
      <c r="W67" s="66">
        <v>0</v>
      </c>
      <c r="X67" s="67">
        <v>0</v>
      </c>
      <c r="Y67" s="66">
        <v>1</v>
      </c>
      <c r="Z67" s="67">
        <v>1590.75</v>
      </c>
      <c r="AA67" s="66">
        <v>5</v>
      </c>
      <c r="AB67" s="67">
        <v>7953.75</v>
      </c>
      <c r="AC67" s="66">
        <v>0</v>
      </c>
      <c r="AD67" s="67">
        <v>0</v>
      </c>
      <c r="AE67" s="66">
        <v>2</v>
      </c>
      <c r="AF67" s="67">
        <v>3181.5</v>
      </c>
      <c r="AG67" s="66">
        <v>2</v>
      </c>
      <c r="AH67" s="67">
        <v>3181.5</v>
      </c>
      <c r="AI67" s="66">
        <v>0</v>
      </c>
      <c r="AJ67" s="67">
        <v>0</v>
      </c>
      <c r="AK67" s="66">
        <v>0</v>
      </c>
      <c r="AL67" s="67">
        <v>0</v>
      </c>
      <c r="AM67" s="66">
        <v>0</v>
      </c>
      <c r="AN67" s="67">
        <v>0</v>
      </c>
      <c r="AO67" s="66">
        <v>3</v>
      </c>
      <c r="AP67" s="67">
        <v>4772.25</v>
      </c>
      <c r="AQ67" s="66">
        <v>0</v>
      </c>
      <c r="AR67" s="67">
        <v>0</v>
      </c>
    </row>
    <row r="68" spans="2:44" x14ac:dyDescent="0.3">
      <c r="B68" s="64" t="s">
        <v>335</v>
      </c>
      <c r="C68" s="64" t="s">
        <v>370</v>
      </c>
      <c r="D68" s="64" t="s">
        <v>375</v>
      </c>
      <c r="E68" s="64" t="s">
        <v>372</v>
      </c>
      <c r="F68" s="65">
        <v>318.14999999999998</v>
      </c>
      <c r="G68" s="66">
        <v>4</v>
      </c>
      <c r="H68" s="67">
        <v>1272.5999999999999</v>
      </c>
      <c r="I68" s="66">
        <v>0</v>
      </c>
      <c r="J68" s="67">
        <v>0</v>
      </c>
      <c r="K68" s="66">
        <v>18</v>
      </c>
      <c r="L68" s="67">
        <v>5726.7</v>
      </c>
      <c r="M68" s="66">
        <v>17</v>
      </c>
      <c r="N68" s="67">
        <v>5408.55</v>
      </c>
      <c r="O68" s="66">
        <v>0</v>
      </c>
      <c r="P68" s="67">
        <v>0</v>
      </c>
      <c r="Q68" s="66">
        <v>19</v>
      </c>
      <c r="R68" s="67">
        <f t="shared" si="2"/>
        <v>6044.8499999999995</v>
      </c>
      <c r="S68" s="66">
        <v>14</v>
      </c>
      <c r="T68" s="67">
        <v>4454.1000000000004</v>
      </c>
      <c r="U68" s="66">
        <v>6</v>
      </c>
      <c r="V68" s="67">
        <f t="shared" si="3"/>
        <v>1908.8999999999999</v>
      </c>
      <c r="W68" s="66">
        <v>4</v>
      </c>
      <c r="X68" s="67">
        <v>1272.5999999999999</v>
      </c>
      <c r="Y68" s="66">
        <v>8</v>
      </c>
      <c r="Z68" s="67">
        <v>2545.1999999999998</v>
      </c>
      <c r="AA68" s="66">
        <v>3</v>
      </c>
      <c r="AB68" s="67">
        <v>954.45</v>
      </c>
      <c r="AC68" s="66">
        <v>1</v>
      </c>
      <c r="AD68" s="67">
        <v>318.14999999999998</v>
      </c>
      <c r="AE68" s="66">
        <v>4</v>
      </c>
      <c r="AF68" s="67">
        <v>1272.5999999999999</v>
      </c>
      <c r="AG68" s="66">
        <v>73</v>
      </c>
      <c r="AH68" s="67">
        <v>23224.95</v>
      </c>
      <c r="AI68" s="66">
        <v>23</v>
      </c>
      <c r="AJ68" s="67">
        <v>7317.45</v>
      </c>
      <c r="AK68" s="66">
        <v>2</v>
      </c>
      <c r="AL68" s="67">
        <v>636.29999999999995</v>
      </c>
      <c r="AM68" s="66">
        <v>5</v>
      </c>
      <c r="AN68" s="67">
        <v>1590.75</v>
      </c>
      <c r="AO68" s="66">
        <v>11</v>
      </c>
      <c r="AP68" s="67">
        <v>3499.65</v>
      </c>
      <c r="AQ68" s="66">
        <v>0</v>
      </c>
      <c r="AR68" s="67">
        <v>0</v>
      </c>
    </row>
    <row r="69" spans="2:44" x14ac:dyDescent="0.3">
      <c r="B69" s="64" t="s">
        <v>335</v>
      </c>
      <c r="C69" s="64" t="s">
        <v>370</v>
      </c>
      <c r="D69" s="64" t="s">
        <v>376</v>
      </c>
      <c r="E69" s="64" t="s">
        <v>372</v>
      </c>
      <c r="F69" s="65">
        <v>1802.85</v>
      </c>
      <c r="G69" s="66">
        <v>0</v>
      </c>
      <c r="H69" s="67">
        <v>0</v>
      </c>
      <c r="I69" s="66">
        <v>0</v>
      </c>
      <c r="J69" s="67">
        <v>0</v>
      </c>
      <c r="K69" s="66">
        <v>0</v>
      </c>
      <c r="L69" s="67">
        <v>0</v>
      </c>
      <c r="M69" s="66">
        <v>0</v>
      </c>
      <c r="N69" s="67">
        <v>0</v>
      </c>
      <c r="O69" s="66">
        <v>0</v>
      </c>
      <c r="P69" s="67">
        <v>0</v>
      </c>
      <c r="Q69" s="66">
        <v>0</v>
      </c>
      <c r="R69" s="67">
        <f t="shared" ref="R69:R100" si="4">Q69*F69</f>
        <v>0</v>
      </c>
      <c r="S69" s="66">
        <v>0</v>
      </c>
      <c r="T69" s="67">
        <v>0</v>
      </c>
      <c r="U69" s="66">
        <v>0</v>
      </c>
      <c r="V69" s="67">
        <f t="shared" ref="V69:V100" si="5">U69*F69</f>
        <v>0</v>
      </c>
      <c r="W69" s="66">
        <v>0</v>
      </c>
      <c r="X69" s="67">
        <v>0</v>
      </c>
      <c r="Y69" s="66">
        <v>0</v>
      </c>
      <c r="Z69" s="67">
        <v>0</v>
      </c>
      <c r="AA69" s="66">
        <v>1</v>
      </c>
      <c r="AB69" s="67">
        <v>1802.85</v>
      </c>
      <c r="AC69" s="66">
        <v>0</v>
      </c>
      <c r="AD69" s="67">
        <v>0</v>
      </c>
      <c r="AE69" s="66">
        <v>7</v>
      </c>
      <c r="AF69" s="67">
        <v>12619.95</v>
      </c>
      <c r="AG69" s="66">
        <v>0</v>
      </c>
      <c r="AH69" s="67">
        <v>0</v>
      </c>
      <c r="AI69" s="66">
        <v>1</v>
      </c>
      <c r="AJ69" s="67">
        <v>1802.85</v>
      </c>
      <c r="AK69" s="66">
        <v>0</v>
      </c>
      <c r="AL69" s="67">
        <v>0</v>
      </c>
      <c r="AM69" s="66">
        <v>0</v>
      </c>
      <c r="AN69" s="67">
        <v>0</v>
      </c>
      <c r="AO69" s="66">
        <v>0</v>
      </c>
      <c r="AP69" s="67">
        <v>0</v>
      </c>
      <c r="AQ69" s="66">
        <v>0</v>
      </c>
      <c r="AR69" s="67">
        <v>0</v>
      </c>
    </row>
    <row r="70" spans="2:44" x14ac:dyDescent="0.3">
      <c r="B70" s="64" t="s">
        <v>335</v>
      </c>
      <c r="C70" s="64" t="s">
        <v>377</v>
      </c>
      <c r="D70" s="64" t="s">
        <v>378</v>
      </c>
      <c r="E70" s="64" t="s">
        <v>379</v>
      </c>
      <c r="F70" s="65">
        <v>10.605</v>
      </c>
      <c r="G70" s="66">
        <v>0</v>
      </c>
      <c r="H70" s="67">
        <v>0</v>
      </c>
      <c r="I70" s="66">
        <v>0</v>
      </c>
      <c r="J70" s="67">
        <v>0</v>
      </c>
      <c r="K70" s="66">
        <v>0</v>
      </c>
      <c r="L70" s="67">
        <v>0</v>
      </c>
      <c r="M70" s="66">
        <v>0</v>
      </c>
      <c r="N70" s="67">
        <v>0</v>
      </c>
      <c r="O70" s="66">
        <v>0</v>
      </c>
      <c r="P70" s="67">
        <v>0</v>
      </c>
      <c r="Q70" s="66">
        <v>0</v>
      </c>
      <c r="R70" s="67">
        <f t="shared" si="4"/>
        <v>0</v>
      </c>
      <c r="S70" s="66">
        <v>102</v>
      </c>
      <c r="T70" s="67">
        <v>1081.71</v>
      </c>
      <c r="U70" s="66">
        <v>0</v>
      </c>
      <c r="V70" s="67">
        <f t="shared" si="5"/>
        <v>0</v>
      </c>
      <c r="W70" s="66">
        <v>0</v>
      </c>
      <c r="X70" s="67">
        <v>0</v>
      </c>
      <c r="Y70" s="66">
        <v>20.2</v>
      </c>
      <c r="Z70" s="67">
        <v>214.221</v>
      </c>
      <c r="AA70" s="66">
        <v>50.4</v>
      </c>
      <c r="AB70" s="67">
        <v>534.49199999999996</v>
      </c>
      <c r="AC70" s="66">
        <v>0</v>
      </c>
      <c r="AD70" s="67">
        <v>0</v>
      </c>
      <c r="AE70" s="66">
        <v>0</v>
      </c>
      <c r="AF70" s="67">
        <v>0</v>
      </c>
      <c r="AG70" s="66">
        <v>0</v>
      </c>
      <c r="AH70" s="67">
        <v>0</v>
      </c>
      <c r="AI70" s="66">
        <v>113.155</v>
      </c>
      <c r="AJ70" s="67">
        <v>1200.008775</v>
      </c>
      <c r="AK70" s="66">
        <v>0</v>
      </c>
      <c r="AL70" s="67">
        <v>0</v>
      </c>
      <c r="AM70" s="66">
        <v>43</v>
      </c>
      <c r="AN70" s="67">
        <v>456.01499999999999</v>
      </c>
      <c r="AO70" s="66">
        <v>0</v>
      </c>
      <c r="AP70" s="67">
        <v>0</v>
      </c>
      <c r="AQ70" s="66">
        <v>0</v>
      </c>
      <c r="AR70" s="67">
        <v>0</v>
      </c>
    </row>
    <row r="71" spans="2:44" x14ac:dyDescent="0.3">
      <c r="B71" s="64" t="s">
        <v>335</v>
      </c>
      <c r="C71" s="64" t="s">
        <v>380</v>
      </c>
      <c r="D71" s="64" t="s">
        <v>381</v>
      </c>
      <c r="E71" s="64" t="s">
        <v>382</v>
      </c>
      <c r="F71" s="65">
        <v>1908.9</v>
      </c>
      <c r="G71" s="66">
        <v>3</v>
      </c>
      <c r="H71" s="67">
        <v>5726.7</v>
      </c>
      <c r="I71" s="66">
        <v>0</v>
      </c>
      <c r="J71" s="67">
        <v>0</v>
      </c>
      <c r="K71" s="66">
        <v>5</v>
      </c>
      <c r="L71" s="67">
        <v>9544.5</v>
      </c>
      <c r="M71" s="66">
        <v>1</v>
      </c>
      <c r="N71" s="67">
        <v>1908.9</v>
      </c>
      <c r="O71" s="66">
        <v>0</v>
      </c>
      <c r="P71" s="67">
        <v>0</v>
      </c>
      <c r="Q71" s="66">
        <v>13</v>
      </c>
      <c r="R71" s="67">
        <f t="shared" si="4"/>
        <v>24815.7</v>
      </c>
      <c r="S71" s="66">
        <v>6</v>
      </c>
      <c r="T71" s="67">
        <v>11453.4</v>
      </c>
      <c r="U71" s="66">
        <v>10</v>
      </c>
      <c r="V71" s="67">
        <f t="shared" si="5"/>
        <v>19089</v>
      </c>
      <c r="W71" s="66">
        <v>1</v>
      </c>
      <c r="X71" s="67">
        <v>1908.9</v>
      </c>
      <c r="Y71" s="66">
        <v>15</v>
      </c>
      <c r="Z71" s="67">
        <v>28633.5</v>
      </c>
      <c r="AA71" s="66">
        <v>5</v>
      </c>
      <c r="AB71" s="67">
        <v>9544.5</v>
      </c>
      <c r="AC71" s="66">
        <v>1</v>
      </c>
      <c r="AD71" s="67">
        <v>1908.9</v>
      </c>
      <c r="AE71" s="66">
        <v>9</v>
      </c>
      <c r="AF71" s="67">
        <v>17180.099999999999</v>
      </c>
      <c r="AG71" s="66">
        <v>4</v>
      </c>
      <c r="AH71" s="67">
        <v>7635.6</v>
      </c>
      <c r="AI71" s="66">
        <v>1</v>
      </c>
      <c r="AJ71" s="67">
        <v>1908.9</v>
      </c>
      <c r="AK71" s="66">
        <v>0</v>
      </c>
      <c r="AL71" s="67">
        <v>0</v>
      </c>
      <c r="AM71" s="66">
        <v>1</v>
      </c>
      <c r="AN71" s="67">
        <v>1908.9</v>
      </c>
      <c r="AO71" s="66">
        <v>5</v>
      </c>
      <c r="AP71" s="67">
        <v>9544.5</v>
      </c>
      <c r="AQ71" s="66">
        <v>0</v>
      </c>
      <c r="AR71" s="67">
        <v>0</v>
      </c>
    </row>
    <row r="72" spans="2:44" x14ac:dyDescent="0.3">
      <c r="B72" s="64" t="s">
        <v>335</v>
      </c>
      <c r="C72" s="64" t="s">
        <v>152</v>
      </c>
      <c r="D72" s="64" t="s">
        <v>156</v>
      </c>
      <c r="E72" s="64" t="s">
        <v>126</v>
      </c>
      <c r="F72" s="65">
        <v>0.1515</v>
      </c>
      <c r="G72" s="66">
        <v>0</v>
      </c>
      <c r="H72" s="67">
        <v>0</v>
      </c>
      <c r="I72" s="66">
        <v>0</v>
      </c>
      <c r="J72" s="67">
        <v>0</v>
      </c>
      <c r="K72" s="66">
        <v>106262</v>
      </c>
      <c r="L72" s="67">
        <v>16098.692999999999</v>
      </c>
      <c r="M72" s="66">
        <v>27113</v>
      </c>
      <c r="N72" s="67">
        <v>4107.6194999999998</v>
      </c>
      <c r="O72" s="66">
        <v>18134</v>
      </c>
      <c r="P72" s="67">
        <v>2747.3009999999999</v>
      </c>
      <c r="Q72" s="66">
        <v>148971.60999999999</v>
      </c>
      <c r="R72" s="67">
        <f t="shared" si="4"/>
        <v>22569.198914999997</v>
      </c>
      <c r="S72" s="66">
        <v>109048</v>
      </c>
      <c r="T72" s="67">
        <v>16520.772000000001</v>
      </c>
      <c r="U72" s="66">
        <v>168064</v>
      </c>
      <c r="V72" s="67">
        <f t="shared" si="5"/>
        <v>25461.696</v>
      </c>
      <c r="W72" s="66">
        <v>21353.21</v>
      </c>
      <c r="X72" s="67">
        <v>3235.0113150000002</v>
      </c>
      <c r="Y72" s="66">
        <v>207445.97</v>
      </c>
      <c r="Z72" s="67">
        <v>31428.064455</v>
      </c>
      <c r="AA72" s="66">
        <v>250000</v>
      </c>
      <c r="AB72" s="67">
        <v>37875</v>
      </c>
      <c r="AC72" s="66">
        <v>0</v>
      </c>
      <c r="AD72" s="67">
        <v>0</v>
      </c>
      <c r="AE72" s="66">
        <v>144724</v>
      </c>
      <c r="AF72" s="67">
        <v>21925.686000000002</v>
      </c>
      <c r="AG72" s="66">
        <v>86146.69</v>
      </c>
      <c r="AH72" s="67">
        <v>13051.223534999999</v>
      </c>
      <c r="AI72" s="66">
        <v>155782</v>
      </c>
      <c r="AJ72" s="67">
        <v>23600.973000000002</v>
      </c>
      <c r="AK72" s="66">
        <v>0</v>
      </c>
      <c r="AL72" s="67">
        <v>0</v>
      </c>
      <c r="AM72" s="66">
        <v>26733</v>
      </c>
      <c r="AN72" s="67">
        <v>4050.0495000000001</v>
      </c>
      <c r="AO72" s="66">
        <v>75793</v>
      </c>
      <c r="AP72" s="67">
        <v>11482.639499999999</v>
      </c>
      <c r="AQ72" s="66">
        <v>0</v>
      </c>
      <c r="AR72" s="67">
        <v>0</v>
      </c>
    </row>
    <row r="73" spans="2:44" x14ac:dyDescent="0.3">
      <c r="B73" s="64" t="s">
        <v>335</v>
      </c>
      <c r="C73" s="64" t="s">
        <v>152</v>
      </c>
      <c r="D73" s="64" t="s">
        <v>153</v>
      </c>
      <c r="E73" s="64" t="s">
        <v>154</v>
      </c>
      <c r="F73" s="65">
        <v>106.05</v>
      </c>
      <c r="G73" s="66">
        <v>627</v>
      </c>
      <c r="H73" s="67">
        <v>66493.350000000006</v>
      </c>
      <c r="I73" s="66">
        <v>0</v>
      </c>
      <c r="J73" s="67">
        <v>0</v>
      </c>
      <c r="K73" s="66">
        <v>440</v>
      </c>
      <c r="L73" s="67">
        <v>46662</v>
      </c>
      <c r="M73" s="66">
        <v>385</v>
      </c>
      <c r="N73" s="67">
        <v>40829.25</v>
      </c>
      <c r="O73" s="66">
        <v>136</v>
      </c>
      <c r="P73" s="67">
        <v>14422.8</v>
      </c>
      <c r="Q73" s="66">
        <v>854</v>
      </c>
      <c r="R73" s="67">
        <f t="shared" si="4"/>
        <v>90566.7</v>
      </c>
      <c r="S73" s="66">
        <v>573</v>
      </c>
      <c r="T73" s="67">
        <v>60766.65</v>
      </c>
      <c r="U73" s="66">
        <v>860</v>
      </c>
      <c r="V73" s="67">
        <f t="shared" si="5"/>
        <v>91203</v>
      </c>
      <c r="W73" s="66">
        <v>13</v>
      </c>
      <c r="X73" s="67">
        <v>1378.65</v>
      </c>
      <c r="Y73" s="66">
        <v>864</v>
      </c>
      <c r="Z73" s="67">
        <v>91627.199999999997</v>
      </c>
      <c r="AA73" s="66">
        <v>1550</v>
      </c>
      <c r="AB73" s="67">
        <v>164377.5</v>
      </c>
      <c r="AC73" s="66">
        <v>3</v>
      </c>
      <c r="AD73" s="67">
        <v>318.14999999999998</v>
      </c>
      <c r="AE73" s="66">
        <v>1201</v>
      </c>
      <c r="AF73" s="67">
        <v>127366.05</v>
      </c>
      <c r="AG73" s="66">
        <v>546</v>
      </c>
      <c r="AH73" s="67">
        <v>57903.3</v>
      </c>
      <c r="AI73" s="66">
        <v>1025</v>
      </c>
      <c r="AJ73" s="67">
        <v>108701.25</v>
      </c>
      <c r="AK73" s="66">
        <v>0</v>
      </c>
      <c r="AL73" s="67">
        <v>0</v>
      </c>
      <c r="AM73" s="66">
        <v>2</v>
      </c>
      <c r="AN73" s="67">
        <v>212.1</v>
      </c>
      <c r="AO73" s="66">
        <v>451</v>
      </c>
      <c r="AP73" s="67">
        <v>47828.55</v>
      </c>
      <c r="AQ73" s="66">
        <v>0</v>
      </c>
      <c r="AR73" s="67">
        <v>0</v>
      </c>
    </row>
    <row r="74" spans="2:44" x14ac:dyDescent="0.3">
      <c r="B74" s="64" t="s">
        <v>335</v>
      </c>
      <c r="C74" s="64" t="s">
        <v>332</v>
      </c>
      <c r="D74" s="64" t="s">
        <v>383</v>
      </c>
      <c r="E74" s="64" t="s">
        <v>384</v>
      </c>
      <c r="F74" s="65">
        <v>3181.5</v>
      </c>
      <c r="G74" s="66">
        <v>0</v>
      </c>
      <c r="H74" s="67">
        <v>0</v>
      </c>
      <c r="I74" s="66">
        <v>0</v>
      </c>
      <c r="J74" s="67">
        <v>0</v>
      </c>
      <c r="K74" s="66">
        <v>0</v>
      </c>
      <c r="L74" s="67">
        <v>0</v>
      </c>
      <c r="M74" s="66">
        <v>0</v>
      </c>
      <c r="N74" s="67">
        <v>0</v>
      </c>
      <c r="O74" s="66">
        <v>0</v>
      </c>
      <c r="P74" s="67">
        <v>0</v>
      </c>
      <c r="Q74" s="66">
        <v>0</v>
      </c>
      <c r="R74" s="67">
        <f t="shared" si="4"/>
        <v>0</v>
      </c>
      <c r="S74" s="66">
        <v>0</v>
      </c>
      <c r="T74" s="67">
        <v>0</v>
      </c>
      <c r="U74" s="66">
        <v>1</v>
      </c>
      <c r="V74" s="67">
        <f t="shared" si="5"/>
        <v>3181.5</v>
      </c>
      <c r="W74" s="66">
        <v>0</v>
      </c>
      <c r="X74" s="67">
        <v>0</v>
      </c>
      <c r="Y74" s="66">
        <v>2</v>
      </c>
      <c r="Z74" s="67">
        <v>6363</v>
      </c>
      <c r="AA74" s="66">
        <v>1</v>
      </c>
      <c r="AB74" s="67">
        <v>3181.5</v>
      </c>
      <c r="AC74" s="66">
        <v>0</v>
      </c>
      <c r="AD74" s="67">
        <v>0</v>
      </c>
      <c r="AE74" s="66">
        <v>0</v>
      </c>
      <c r="AF74" s="67">
        <v>0</v>
      </c>
      <c r="AG74" s="66">
        <v>0</v>
      </c>
      <c r="AH74" s="67">
        <v>0</v>
      </c>
      <c r="AI74" s="66">
        <v>0</v>
      </c>
      <c r="AJ74" s="67">
        <v>0</v>
      </c>
      <c r="AK74" s="66">
        <v>0</v>
      </c>
      <c r="AL74" s="67">
        <v>0</v>
      </c>
      <c r="AM74" s="66">
        <v>0</v>
      </c>
      <c r="AN74" s="67">
        <v>0</v>
      </c>
      <c r="AO74" s="66">
        <v>1</v>
      </c>
      <c r="AP74" s="67">
        <v>3181.5</v>
      </c>
      <c r="AQ74" s="66">
        <v>1</v>
      </c>
      <c r="AR74" s="67">
        <v>3181.5</v>
      </c>
    </row>
    <row r="75" spans="2:44" x14ac:dyDescent="0.3">
      <c r="B75" s="64" t="s">
        <v>335</v>
      </c>
      <c r="C75" s="64" t="s">
        <v>332</v>
      </c>
      <c r="D75" s="64" t="s">
        <v>385</v>
      </c>
      <c r="E75" s="64" t="s">
        <v>386</v>
      </c>
      <c r="F75" s="65">
        <v>318150</v>
      </c>
      <c r="G75" s="66">
        <v>1</v>
      </c>
      <c r="H75" s="67">
        <v>318150</v>
      </c>
      <c r="I75" s="66">
        <v>0</v>
      </c>
      <c r="J75" s="67">
        <v>0</v>
      </c>
      <c r="K75" s="66">
        <v>1</v>
      </c>
      <c r="L75" s="67">
        <v>318150</v>
      </c>
      <c r="M75" s="66">
        <v>0</v>
      </c>
      <c r="N75" s="67">
        <v>0</v>
      </c>
      <c r="O75" s="66">
        <v>6</v>
      </c>
      <c r="P75" s="67">
        <v>1908900</v>
      </c>
      <c r="Q75" s="66">
        <v>0</v>
      </c>
      <c r="R75" s="67">
        <f t="shared" si="4"/>
        <v>0</v>
      </c>
      <c r="S75" s="66">
        <v>4</v>
      </c>
      <c r="T75" s="67">
        <v>1272600</v>
      </c>
      <c r="U75" s="66">
        <v>0</v>
      </c>
      <c r="V75" s="67">
        <f t="shared" si="5"/>
        <v>0</v>
      </c>
      <c r="W75" s="66">
        <v>0</v>
      </c>
      <c r="X75" s="67">
        <v>0</v>
      </c>
      <c r="Y75" s="66">
        <v>0</v>
      </c>
      <c r="Z75" s="67">
        <v>0</v>
      </c>
      <c r="AA75" s="66">
        <v>0</v>
      </c>
      <c r="AB75" s="67">
        <v>0</v>
      </c>
      <c r="AC75" s="66">
        <v>0</v>
      </c>
      <c r="AD75" s="67">
        <v>0</v>
      </c>
      <c r="AE75" s="66">
        <v>46</v>
      </c>
      <c r="AF75" s="67">
        <v>14634900</v>
      </c>
      <c r="AG75" s="66">
        <v>0</v>
      </c>
      <c r="AH75" s="67">
        <v>0</v>
      </c>
      <c r="AI75" s="66">
        <v>0</v>
      </c>
      <c r="AJ75" s="67">
        <v>0</v>
      </c>
      <c r="AK75" s="66">
        <v>0</v>
      </c>
      <c r="AL75" s="67">
        <v>0</v>
      </c>
      <c r="AM75" s="66">
        <v>0</v>
      </c>
      <c r="AN75" s="67">
        <v>0</v>
      </c>
      <c r="AO75" s="66">
        <v>2</v>
      </c>
      <c r="AP75" s="67">
        <v>636300</v>
      </c>
      <c r="AQ75" s="66">
        <v>0</v>
      </c>
      <c r="AR75" s="67">
        <v>0</v>
      </c>
    </row>
    <row r="76" spans="2:44" x14ac:dyDescent="0.3">
      <c r="B76" s="64" t="s">
        <v>335</v>
      </c>
      <c r="C76" s="64" t="s">
        <v>332</v>
      </c>
      <c r="D76" s="64" t="s">
        <v>387</v>
      </c>
      <c r="E76" s="64" t="s">
        <v>388</v>
      </c>
      <c r="F76" s="65">
        <v>238612.5</v>
      </c>
      <c r="G76" s="66">
        <v>1</v>
      </c>
      <c r="H76" s="67">
        <v>238612.5</v>
      </c>
      <c r="I76" s="66">
        <v>0</v>
      </c>
      <c r="J76" s="67">
        <v>0</v>
      </c>
      <c r="K76" s="66">
        <v>0</v>
      </c>
      <c r="L76" s="67">
        <v>0</v>
      </c>
      <c r="M76" s="66">
        <v>1</v>
      </c>
      <c r="N76" s="67">
        <v>238612.5</v>
      </c>
      <c r="O76" s="66">
        <v>6</v>
      </c>
      <c r="P76" s="67">
        <v>1431675</v>
      </c>
      <c r="Q76" s="66">
        <v>0</v>
      </c>
      <c r="R76" s="67">
        <f t="shared" si="4"/>
        <v>0</v>
      </c>
      <c r="S76" s="66">
        <v>1</v>
      </c>
      <c r="T76" s="67">
        <v>238612.5</v>
      </c>
      <c r="U76" s="66">
        <v>0</v>
      </c>
      <c r="V76" s="67">
        <f t="shared" si="5"/>
        <v>0</v>
      </c>
      <c r="W76" s="66">
        <v>0</v>
      </c>
      <c r="X76" s="67">
        <v>0</v>
      </c>
      <c r="Y76" s="66">
        <v>0</v>
      </c>
      <c r="Z76" s="67">
        <v>0</v>
      </c>
      <c r="AA76" s="66">
        <v>0</v>
      </c>
      <c r="AB76" s="67">
        <v>0</v>
      </c>
      <c r="AC76" s="66">
        <v>0</v>
      </c>
      <c r="AD76" s="67">
        <v>0</v>
      </c>
      <c r="AE76" s="66">
        <v>3</v>
      </c>
      <c r="AF76" s="67">
        <v>715837.5</v>
      </c>
      <c r="AG76" s="66">
        <v>0</v>
      </c>
      <c r="AH76" s="67">
        <v>0</v>
      </c>
      <c r="AI76" s="66">
        <v>0</v>
      </c>
      <c r="AJ76" s="67">
        <v>0</v>
      </c>
      <c r="AK76" s="66">
        <v>0</v>
      </c>
      <c r="AL76" s="67">
        <v>0</v>
      </c>
      <c r="AM76" s="66">
        <v>0</v>
      </c>
      <c r="AN76" s="67">
        <v>0</v>
      </c>
      <c r="AO76" s="66">
        <v>1</v>
      </c>
      <c r="AP76" s="67">
        <v>238612.5</v>
      </c>
      <c r="AQ76" s="66">
        <v>0</v>
      </c>
      <c r="AR76" s="67">
        <v>0</v>
      </c>
    </row>
    <row r="77" spans="2:44" x14ac:dyDescent="0.3">
      <c r="B77" s="64" t="s">
        <v>159</v>
      </c>
      <c r="C77" s="64" t="s">
        <v>158</v>
      </c>
      <c r="D77" s="64" t="s">
        <v>160</v>
      </c>
      <c r="E77" s="64" t="s">
        <v>161</v>
      </c>
      <c r="F77" s="65">
        <v>2121</v>
      </c>
      <c r="G77" s="66">
        <v>31</v>
      </c>
      <c r="H77" s="67">
        <v>65751</v>
      </c>
      <c r="I77" s="66">
        <v>0</v>
      </c>
      <c r="J77" s="67">
        <v>0</v>
      </c>
      <c r="K77" s="66">
        <v>7</v>
      </c>
      <c r="L77" s="67">
        <v>14847</v>
      </c>
      <c r="M77" s="66">
        <v>1</v>
      </c>
      <c r="N77" s="67">
        <v>2121</v>
      </c>
      <c r="O77" s="66">
        <v>3</v>
      </c>
      <c r="P77" s="67">
        <v>6363</v>
      </c>
      <c r="Q77" s="66">
        <v>4</v>
      </c>
      <c r="R77" s="67">
        <f t="shared" si="4"/>
        <v>8484</v>
      </c>
      <c r="S77" s="66">
        <v>4</v>
      </c>
      <c r="T77" s="67">
        <v>8484</v>
      </c>
      <c r="U77" s="66">
        <v>6</v>
      </c>
      <c r="V77" s="67">
        <f t="shared" si="5"/>
        <v>12726</v>
      </c>
      <c r="W77" s="66">
        <v>0</v>
      </c>
      <c r="X77" s="67">
        <v>0</v>
      </c>
      <c r="Y77" s="66">
        <v>10</v>
      </c>
      <c r="Z77" s="67">
        <v>21210</v>
      </c>
      <c r="AA77" s="66">
        <v>1</v>
      </c>
      <c r="AB77" s="67">
        <v>2121</v>
      </c>
      <c r="AC77" s="66">
        <v>0</v>
      </c>
      <c r="AD77" s="67">
        <v>0</v>
      </c>
      <c r="AE77" s="66">
        <v>11</v>
      </c>
      <c r="AF77" s="67">
        <v>23331</v>
      </c>
      <c r="AG77" s="66">
        <v>1</v>
      </c>
      <c r="AH77" s="67">
        <v>2121</v>
      </c>
      <c r="AI77" s="66">
        <v>6</v>
      </c>
      <c r="AJ77" s="67">
        <v>12726</v>
      </c>
      <c r="AK77" s="66">
        <v>0</v>
      </c>
      <c r="AL77" s="67">
        <v>0</v>
      </c>
      <c r="AM77" s="66">
        <v>0</v>
      </c>
      <c r="AN77" s="67">
        <v>0</v>
      </c>
      <c r="AO77" s="66">
        <v>8</v>
      </c>
      <c r="AP77" s="67">
        <v>16968</v>
      </c>
      <c r="AQ77" s="66">
        <v>0</v>
      </c>
      <c r="AR77" s="67">
        <v>0</v>
      </c>
    </row>
    <row r="78" spans="2:44" x14ac:dyDescent="0.3">
      <c r="B78" s="64" t="s">
        <v>159</v>
      </c>
      <c r="C78" s="64" t="s">
        <v>163</v>
      </c>
      <c r="D78" s="64" t="s">
        <v>164</v>
      </c>
      <c r="E78" s="64" t="s">
        <v>165</v>
      </c>
      <c r="F78" s="65">
        <v>1060.5</v>
      </c>
      <c r="G78" s="66">
        <v>15</v>
      </c>
      <c r="H78" s="67">
        <v>15907.5</v>
      </c>
      <c r="I78" s="66">
        <v>2</v>
      </c>
      <c r="J78" s="67">
        <v>2121</v>
      </c>
      <c r="K78" s="66">
        <v>9</v>
      </c>
      <c r="L78" s="67">
        <v>9544.5</v>
      </c>
      <c r="M78" s="66">
        <v>5</v>
      </c>
      <c r="N78" s="67">
        <v>5302.5</v>
      </c>
      <c r="O78" s="66">
        <v>1</v>
      </c>
      <c r="P78" s="67">
        <v>1060.5</v>
      </c>
      <c r="Q78" s="66">
        <v>67</v>
      </c>
      <c r="R78" s="67">
        <f t="shared" si="4"/>
        <v>71053.5</v>
      </c>
      <c r="S78" s="66">
        <v>10</v>
      </c>
      <c r="T78" s="67">
        <v>10605</v>
      </c>
      <c r="U78" s="66">
        <v>21</v>
      </c>
      <c r="V78" s="67">
        <f t="shared" si="5"/>
        <v>22270.5</v>
      </c>
      <c r="W78" s="66">
        <v>1</v>
      </c>
      <c r="X78" s="67">
        <v>1060.5</v>
      </c>
      <c r="Y78" s="66">
        <v>14</v>
      </c>
      <c r="Z78" s="67">
        <v>14847</v>
      </c>
      <c r="AA78" s="66">
        <v>32</v>
      </c>
      <c r="AB78" s="67">
        <v>33936</v>
      </c>
      <c r="AC78" s="66">
        <v>7</v>
      </c>
      <c r="AD78" s="67">
        <v>7423.5</v>
      </c>
      <c r="AE78" s="66">
        <v>28</v>
      </c>
      <c r="AF78" s="67">
        <v>29694</v>
      </c>
      <c r="AG78" s="66">
        <v>27</v>
      </c>
      <c r="AH78" s="67">
        <v>28633.5</v>
      </c>
      <c r="AI78" s="66">
        <v>13</v>
      </c>
      <c r="AJ78" s="67">
        <v>13786.5</v>
      </c>
      <c r="AK78" s="66">
        <v>0</v>
      </c>
      <c r="AL78" s="67">
        <v>0</v>
      </c>
      <c r="AM78" s="66">
        <v>4</v>
      </c>
      <c r="AN78" s="67">
        <v>4242</v>
      </c>
      <c r="AO78" s="66">
        <v>12</v>
      </c>
      <c r="AP78" s="67">
        <v>12726</v>
      </c>
      <c r="AQ78" s="66">
        <v>0</v>
      </c>
      <c r="AR78" s="67">
        <v>0</v>
      </c>
    </row>
    <row r="79" spans="2:44" x14ac:dyDescent="0.3">
      <c r="B79" s="64" t="s">
        <v>159</v>
      </c>
      <c r="C79" s="64" t="s">
        <v>163</v>
      </c>
      <c r="D79" s="64" t="s">
        <v>389</v>
      </c>
      <c r="E79" s="64" t="s">
        <v>390</v>
      </c>
      <c r="F79" s="65">
        <v>1590.75</v>
      </c>
      <c r="G79" s="66">
        <v>3</v>
      </c>
      <c r="H79" s="67">
        <v>4772.25</v>
      </c>
      <c r="I79" s="66">
        <v>0</v>
      </c>
      <c r="J79" s="67">
        <v>0</v>
      </c>
      <c r="K79" s="66">
        <v>2</v>
      </c>
      <c r="L79" s="67">
        <v>3181.5</v>
      </c>
      <c r="M79" s="66">
        <v>3</v>
      </c>
      <c r="N79" s="67">
        <v>4772.25</v>
      </c>
      <c r="O79" s="66">
        <v>0</v>
      </c>
      <c r="P79" s="67">
        <v>0</v>
      </c>
      <c r="Q79" s="66">
        <v>6</v>
      </c>
      <c r="R79" s="67">
        <f t="shared" si="4"/>
        <v>9544.5</v>
      </c>
      <c r="S79" s="66">
        <v>3</v>
      </c>
      <c r="T79" s="67">
        <v>4772.25</v>
      </c>
      <c r="U79" s="66">
        <v>1</v>
      </c>
      <c r="V79" s="67">
        <f t="shared" si="5"/>
        <v>1590.75</v>
      </c>
      <c r="W79" s="66">
        <v>1</v>
      </c>
      <c r="X79" s="67">
        <v>1590.75</v>
      </c>
      <c r="Y79" s="66">
        <v>3</v>
      </c>
      <c r="Z79" s="67">
        <v>4772.25</v>
      </c>
      <c r="AA79" s="66">
        <v>6</v>
      </c>
      <c r="AB79" s="67">
        <v>9544.5</v>
      </c>
      <c r="AC79" s="66">
        <v>0</v>
      </c>
      <c r="AD79" s="67">
        <v>0</v>
      </c>
      <c r="AE79" s="66">
        <v>3</v>
      </c>
      <c r="AF79" s="67">
        <v>4772.25</v>
      </c>
      <c r="AG79" s="66">
        <v>6</v>
      </c>
      <c r="AH79" s="67">
        <v>9544.5</v>
      </c>
      <c r="AI79" s="66">
        <v>4</v>
      </c>
      <c r="AJ79" s="67">
        <v>6363</v>
      </c>
      <c r="AK79" s="66">
        <v>0</v>
      </c>
      <c r="AL79" s="67">
        <v>0</v>
      </c>
      <c r="AM79" s="66">
        <v>1</v>
      </c>
      <c r="AN79" s="67">
        <v>1590.75</v>
      </c>
      <c r="AO79" s="66">
        <v>4</v>
      </c>
      <c r="AP79" s="67">
        <v>6363</v>
      </c>
      <c r="AQ79" s="66">
        <v>0</v>
      </c>
      <c r="AR79" s="67">
        <v>0</v>
      </c>
    </row>
    <row r="80" spans="2:44" x14ac:dyDescent="0.3">
      <c r="B80" s="64" t="s">
        <v>159</v>
      </c>
      <c r="C80" s="64" t="s">
        <v>167</v>
      </c>
      <c r="D80" s="64" t="s">
        <v>168</v>
      </c>
      <c r="E80" s="64" t="s">
        <v>126</v>
      </c>
      <c r="F80" s="65">
        <v>0.63629999999999998</v>
      </c>
      <c r="G80" s="66">
        <v>106399.15</v>
      </c>
      <c r="H80" s="67">
        <v>67701.779144999993</v>
      </c>
      <c r="I80" s="66">
        <v>0</v>
      </c>
      <c r="J80" s="67">
        <v>0</v>
      </c>
      <c r="K80" s="66">
        <v>106262</v>
      </c>
      <c r="L80" s="67">
        <v>67614.510599999994</v>
      </c>
      <c r="M80" s="66">
        <v>10656</v>
      </c>
      <c r="N80" s="67">
        <v>6780.4128000000001</v>
      </c>
      <c r="O80" s="66">
        <v>18134</v>
      </c>
      <c r="P80" s="67">
        <v>11538.664199999999</v>
      </c>
      <c r="Q80" s="66">
        <v>122872.39</v>
      </c>
      <c r="R80" s="67">
        <f t="shared" si="4"/>
        <v>78183.701757000003</v>
      </c>
      <c r="S80" s="66">
        <v>137901</v>
      </c>
      <c r="T80" s="67">
        <v>87746.406300000002</v>
      </c>
      <c r="U80" s="66">
        <v>168450</v>
      </c>
      <c r="V80" s="67">
        <f t="shared" si="5"/>
        <v>107184.735</v>
      </c>
      <c r="W80" s="66">
        <v>21353.21</v>
      </c>
      <c r="X80" s="67">
        <v>13587.047522999999</v>
      </c>
      <c r="Y80" s="66">
        <v>216557.86</v>
      </c>
      <c r="Z80" s="67">
        <v>137795.76631800001</v>
      </c>
      <c r="AA80" s="66">
        <v>207000</v>
      </c>
      <c r="AB80" s="67">
        <v>131714.1</v>
      </c>
      <c r="AC80" s="66">
        <v>37631.599999999999</v>
      </c>
      <c r="AD80" s="67">
        <v>23944.987079999999</v>
      </c>
      <c r="AE80" s="66">
        <v>145287</v>
      </c>
      <c r="AF80" s="67">
        <v>92446.118100000007</v>
      </c>
      <c r="AG80" s="66">
        <v>86146.69</v>
      </c>
      <c r="AH80" s="67">
        <v>54815.138847000002</v>
      </c>
      <c r="AI80" s="66">
        <v>152627</v>
      </c>
      <c r="AJ80" s="67">
        <v>97116.560100000002</v>
      </c>
      <c r="AK80" s="66">
        <v>18898</v>
      </c>
      <c r="AL80" s="67">
        <v>12024.797399999999</v>
      </c>
      <c r="AM80" s="66">
        <v>26884.26</v>
      </c>
      <c r="AN80" s="67">
        <v>17106.454637999999</v>
      </c>
      <c r="AO80" s="66">
        <v>75793</v>
      </c>
      <c r="AP80" s="67">
        <v>48227.085899999998</v>
      </c>
      <c r="AQ80" s="66">
        <v>0</v>
      </c>
      <c r="AR80" s="67">
        <v>0</v>
      </c>
    </row>
    <row r="81" spans="2:44" x14ac:dyDescent="0.3">
      <c r="B81" s="64" t="s">
        <v>159</v>
      </c>
      <c r="C81" s="64" t="s">
        <v>170</v>
      </c>
      <c r="D81" s="64" t="s">
        <v>171</v>
      </c>
      <c r="E81" s="64" t="s">
        <v>172</v>
      </c>
      <c r="F81" s="65">
        <v>4984.3500000000004</v>
      </c>
      <c r="G81" s="66">
        <v>3</v>
      </c>
      <c r="H81" s="67">
        <v>14953.05</v>
      </c>
      <c r="I81" s="66">
        <v>15</v>
      </c>
      <c r="J81" s="67">
        <v>74765.25</v>
      </c>
      <c r="K81" s="66">
        <v>10</v>
      </c>
      <c r="L81" s="67">
        <v>49843.5</v>
      </c>
      <c r="M81" s="66">
        <v>1</v>
      </c>
      <c r="N81" s="67">
        <v>4984.3500000000004</v>
      </c>
      <c r="O81" s="66">
        <v>4</v>
      </c>
      <c r="P81" s="67">
        <v>19937.400000000001</v>
      </c>
      <c r="Q81" s="66">
        <v>11</v>
      </c>
      <c r="R81" s="67">
        <f t="shared" si="4"/>
        <v>54827.850000000006</v>
      </c>
      <c r="S81" s="66">
        <v>12</v>
      </c>
      <c r="T81" s="67">
        <v>59812.2</v>
      </c>
      <c r="U81" s="66">
        <v>23</v>
      </c>
      <c r="V81" s="67">
        <f t="shared" si="5"/>
        <v>114640.05</v>
      </c>
      <c r="W81" s="66">
        <v>1</v>
      </c>
      <c r="X81" s="67">
        <v>4984.3500000000004</v>
      </c>
      <c r="Y81" s="66">
        <v>10</v>
      </c>
      <c r="Z81" s="67">
        <v>49843.5</v>
      </c>
      <c r="AA81" s="66">
        <v>0</v>
      </c>
      <c r="AB81" s="67">
        <v>0</v>
      </c>
      <c r="AC81" s="66">
        <v>2</v>
      </c>
      <c r="AD81" s="67">
        <v>9968.7000000000007</v>
      </c>
      <c r="AE81" s="66">
        <v>6</v>
      </c>
      <c r="AF81" s="67">
        <v>29906.1</v>
      </c>
      <c r="AG81" s="66">
        <v>6</v>
      </c>
      <c r="AH81" s="67">
        <v>29906.1</v>
      </c>
      <c r="AI81" s="66">
        <v>0</v>
      </c>
      <c r="AJ81" s="67">
        <v>0</v>
      </c>
      <c r="AK81" s="66">
        <v>0</v>
      </c>
      <c r="AL81" s="67">
        <v>0</v>
      </c>
      <c r="AM81" s="66">
        <v>2</v>
      </c>
      <c r="AN81" s="67">
        <v>9968.7000000000007</v>
      </c>
      <c r="AO81" s="66">
        <v>7</v>
      </c>
      <c r="AP81" s="67">
        <v>34890.449999999997</v>
      </c>
      <c r="AQ81" s="66">
        <v>12</v>
      </c>
      <c r="AR81" s="67">
        <v>59812.2</v>
      </c>
    </row>
    <row r="82" spans="2:44" x14ac:dyDescent="0.3">
      <c r="B82" s="64" t="s">
        <v>159</v>
      </c>
      <c r="C82" s="64" t="s">
        <v>174</v>
      </c>
      <c r="D82" s="64" t="s">
        <v>175</v>
      </c>
      <c r="E82" s="64" t="s">
        <v>176</v>
      </c>
      <c r="F82" s="65">
        <v>31.815000000000001</v>
      </c>
      <c r="G82" s="66">
        <v>105</v>
      </c>
      <c r="H82" s="67">
        <v>3340.5749999999998</v>
      </c>
      <c r="I82" s="66">
        <v>1000</v>
      </c>
      <c r="J82" s="67">
        <v>31815</v>
      </c>
      <c r="K82" s="66">
        <v>300</v>
      </c>
      <c r="L82" s="67">
        <v>9544.5</v>
      </c>
      <c r="M82" s="66">
        <v>8</v>
      </c>
      <c r="N82" s="67">
        <v>254.52</v>
      </c>
      <c r="O82" s="66">
        <v>18</v>
      </c>
      <c r="P82" s="67">
        <v>572.66999999999996</v>
      </c>
      <c r="Q82" s="66">
        <v>0</v>
      </c>
      <c r="R82" s="67">
        <f t="shared" si="4"/>
        <v>0</v>
      </c>
      <c r="S82" s="66">
        <v>280</v>
      </c>
      <c r="T82" s="67">
        <v>8908.2000000000007</v>
      </c>
      <c r="U82" s="66">
        <v>87</v>
      </c>
      <c r="V82" s="67">
        <f t="shared" si="5"/>
        <v>2767.9050000000002</v>
      </c>
      <c r="W82" s="66">
        <v>0</v>
      </c>
      <c r="X82" s="67">
        <v>0</v>
      </c>
      <c r="Y82" s="66">
        <v>0</v>
      </c>
      <c r="Z82" s="67">
        <v>0</v>
      </c>
      <c r="AA82" s="66">
        <v>0</v>
      </c>
      <c r="AB82" s="67">
        <v>0</v>
      </c>
      <c r="AC82" s="66">
        <v>52</v>
      </c>
      <c r="AD82" s="67">
        <v>1654.38</v>
      </c>
      <c r="AE82" s="66">
        <v>150</v>
      </c>
      <c r="AF82" s="67">
        <v>4772.25</v>
      </c>
      <c r="AG82" s="66">
        <v>0</v>
      </c>
      <c r="AH82" s="67">
        <v>0</v>
      </c>
      <c r="AI82" s="66">
        <v>0</v>
      </c>
      <c r="AJ82" s="67">
        <v>0</v>
      </c>
      <c r="AK82" s="66">
        <v>0</v>
      </c>
      <c r="AL82" s="67">
        <v>0</v>
      </c>
      <c r="AM82" s="66">
        <v>0</v>
      </c>
      <c r="AN82" s="67">
        <v>0</v>
      </c>
      <c r="AO82" s="66">
        <v>72</v>
      </c>
      <c r="AP82" s="67">
        <v>2290.6799999999998</v>
      </c>
      <c r="AQ82" s="66">
        <v>0</v>
      </c>
      <c r="AR82" s="67">
        <v>0</v>
      </c>
    </row>
    <row r="83" spans="2:44" x14ac:dyDescent="0.3">
      <c r="B83" s="64" t="s">
        <v>159</v>
      </c>
      <c r="C83" s="64" t="s">
        <v>391</v>
      </c>
      <c r="D83" s="64" t="s">
        <v>392</v>
      </c>
      <c r="E83" s="64" t="s">
        <v>393</v>
      </c>
      <c r="F83" s="65">
        <v>15907.5</v>
      </c>
      <c r="G83" s="66">
        <v>0</v>
      </c>
      <c r="H83" s="67">
        <v>0</v>
      </c>
      <c r="I83" s="66">
        <v>0</v>
      </c>
      <c r="J83" s="67">
        <v>0</v>
      </c>
      <c r="K83" s="66">
        <v>0</v>
      </c>
      <c r="L83" s="67">
        <v>0</v>
      </c>
      <c r="M83" s="66">
        <v>0</v>
      </c>
      <c r="N83" s="67">
        <v>0</v>
      </c>
      <c r="O83" s="66">
        <v>0</v>
      </c>
      <c r="P83" s="67">
        <v>0</v>
      </c>
      <c r="Q83" s="66">
        <v>0</v>
      </c>
      <c r="R83" s="67">
        <f t="shared" si="4"/>
        <v>0</v>
      </c>
      <c r="S83" s="66">
        <v>2</v>
      </c>
      <c r="T83" s="67">
        <v>31815</v>
      </c>
      <c r="U83" s="66">
        <v>0</v>
      </c>
      <c r="V83" s="67">
        <f t="shared" si="5"/>
        <v>0</v>
      </c>
      <c r="W83" s="66">
        <v>0</v>
      </c>
      <c r="X83" s="67">
        <v>0</v>
      </c>
      <c r="Y83" s="66">
        <v>0</v>
      </c>
      <c r="Z83" s="67">
        <v>0</v>
      </c>
      <c r="AA83" s="66">
        <v>0</v>
      </c>
      <c r="AB83" s="67">
        <v>0</v>
      </c>
      <c r="AC83" s="66">
        <v>0</v>
      </c>
      <c r="AD83" s="67">
        <v>0</v>
      </c>
      <c r="AE83" s="66">
        <v>3</v>
      </c>
      <c r="AF83" s="67">
        <v>47722.5</v>
      </c>
      <c r="AG83" s="66">
        <v>4</v>
      </c>
      <c r="AH83" s="67">
        <v>63630</v>
      </c>
      <c r="AI83" s="66">
        <v>0</v>
      </c>
      <c r="AJ83" s="67">
        <v>0</v>
      </c>
      <c r="AK83" s="66">
        <v>0</v>
      </c>
      <c r="AL83" s="67">
        <v>0</v>
      </c>
      <c r="AM83" s="66">
        <v>0</v>
      </c>
      <c r="AN83" s="67">
        <v>0</v>
      </c>
      <c r="AO83" s="66">
        <v>4</v>
      </c>
      <c r="AP83" s="67">
        <v>63630</v>
      </c>
      <c r="AQ83" s="66">
        <v>0</v>
      </c>
      <c r="AR83" s="67">
        <v>0</v>
      </c>
    </row>
    <row r="84" spans="2:44" x14ac:dyDescent="0.3">
      <c r="B84" s="64" t="s">
        <v>159</v>
      </c>
      <c r="C84" s="64" t="s">
        <v>394</v>
      </c>
      <c r="D84" s="64" t="s">
        <v>395</v>
      </c>
      <c r="E84" s="64" t="s">
        <v>396</v>
      </c>
      <c r="F84" s="65">
        <v>1060.5</v>
      </c>
      <c r="G84" s="66">
        <v>2</v>
      </c>
      <c r="H84" s="67">
        <v>2121</v>
      </c>
      <c r="I84" s="66">
        <v>0</v>
      </c>
      <c r="J84" s="67">
        <v>0</v>
      </c>
      <c r="K84" s="66">
        <v>0</v>
      </c>
      <c r="L84" s="67">
        <v>0</v>
      </c>
      <c r="M84" s="66">
        <v>0</v>
      </c>
      <c r="N84" s="67">
        <v>0</v>
      </c>
      <c r="O84" s="66">
        <v>0</v>
      </c>
      <c r="P84" s="67">
        <v>0</v>
      </c>
      <c r="Q84" s="66">
        <v>0</v>
      </c>
      <c r="R84" s="67">
        <f t="shared" si="4"/>
        <v>0</v>
      </c>
      <c r="S84" s="66">
        <v>0</v>
      </c>
      <c r="T84" s="67">
        <v>0</v>
      </c>
      <c r="U84" s="66">
        <v>0</v>
      </c>
      <c r="V84" s="67">
        <f t="shared" si="5"/>
        <v>0</v>
      </c>
      <c r="W84" s="66">
        <v>0</v>
      </c>
      <c r="X84" s="67">
        <v>0</v>
      </c>
      <c r="Y84" s="66">
        <v>0</v>
      </c>
      <c r="Z84" s="67">
        <v>0</v>
      </c>
      <c r="AA84" s="66">
        <v>0</v>
      </c>
      <c r="AB84" s="67">
        <v>0</v>
      </c>
      <c r="AC84" s="66">
        <v>0</v>
      </c>
      <c r="AD84" s="67">
        <v>0</v>
      </c>
      <c r="AE84" s="66">
        <v>0</v>
      </c>
      <c r="AF84" s="67">
        <v>0</v>
      </c>
      <c r="AG84" s="66">
        <v>0</v>
      </c>
      <c r="AH84" s="67">
        <v>0</v>
      </c>
      <c r="AI84" s="66">
        <v>7</v>
      </c>
      <c r="AJ84" s="67">
        <v>7423.5</v>
      </c>
      <c r="AK84" s="66">
        <v>0</v>
      </c>
      <c r="AL84" s="67">
        <v>0</v>
      </c>
      <c r="AM84" s="66">
        <v>0</v>
      </c>
      <c r="AN84" s="67">
        <v>0</v>
      </c>
      <c r="AO84" s="66">
        <v>0</v>
      </c>
      <c r="AP84" s="67">
        <v>0</v>
      </c>
      <c r="AQ84" s="66">
        <v>0</v>
      </c>
      <c r="AR84" s="67">
        <v>0</v>
      </c>
    </row>
    <row r="85" spans="2:44" x14ac:dyDescent="0.3">
      <c r="B85" s="64" t="s">
        <v>159</v>
      </c>
      <c r="C85" s="64" t="s">
        <v>394</v>
      </c>
      <c r="D85" s="64" t="s">
        <v>397</v>
      </c>
      <c r="E85" s="64" t="s">
        <v>398</v>
      </c>
      <c r="F85" s="65">
        <v>509.04</v>
      </c>
      <c r="G85" s="66">
        <v>0</v>
      </c>
      <c r="H85" s="67">
        <v>0</v>
      </c>
      <c r="I85" s="66">
        <v>0</v>
      </c>
      <c r="J85" s="67">
        <v>0</v>
      </c>
      <c r="K85" s="66">
        <v>1</v>
      </c>
      <c r="L85" s="67">
        <v>509.04</v>
      </c>
      <c r="M85" s="66">
        <v>3</v>
      </c>
      <c r="N85" s="67">
        <v>1527.12</v>
      </c>
      <c r="O85" s="66">
        <v>0</v>
      </c>
      <c r="P85" s="67">
        <v>0</v>
      </c>
      <c r="Q85" s="66">
        <v>0</v>
      </c>
      <c r="R85" s="67">
        <f t="shared" si="4"/>
        <v>0</v>
      </c>
      <c r="S85" s="66">
        <v>0</v>
      </c>
      <c r="T85" s="67">
        <v>0</v>
      </c>
      <c r="U85" s="66">
        <v>0</v>
      </c>
      <c r="V85" s="67">
        <f t="shared" si="5"/>
        <v>0</v>
      </c>
      <c r="W85" s="66">
        <v>0</v>
      </c>
      <c r="X85" s="67">
        <v>0</v>
      </c>
      <c r="Y85" s="66">
        <v>0</v>
      </c>
      <c r="Z85" s="67">
        <v>0</v>
      </c>
      <c r="AA85" s="66">
        <v>0</v>
      </c>
      <c r="AB85" s="67">
        <v>0</v>
      </c>
      <c r="AC85" s="66">
        <v>0</v>
      </c>
      <c r="AD85" s="67">
        <v>0</v>
      </c>
      <c r="AE85" s="66">
        <v>0</v>
      </c>
      <c r="AF85" s="67">
        <v>0</v>
      </c>
      <c r="AG85" s="66">
        <v>0</v>
      </c>
      <c r="AH85" s="67">
        <v>0</v>
      </c>
      <c r="AI85" s="66">
        <v>4</v>
      </c>
      <c r="AJ85" s="67">
        <v>2036.16</v>
      </c>
      <c r="AK85" s="66">
        <v>0</v>
      </c>
      <c r="AL85" s="67">
        <v>0</v>
      </c>
      <c r="AM85" s="66">
        <v>0</v>
      </c>
      <c r="AN85" s="67">
        <v>0</v>
      </c>
      <c r="AO85" s="66">
        <v>0</v>
      </c>
      <c r="AP85" s="67">
        <v>0</v>
      </c>
      <c r="AQ85" s="66">
        <v>0</v>
      </c>
      <c r="AR85" s="67">
        <v>0</v>
      </c>
    </row>
    <row r="86" spans="2:44" x14ac:dyDescent="0.3">
      <c r="B86" s="64" t="s">
        <v>159</v>
      </c>
      <c r="C86" s="64" t="s">
        <v>399</v>
      </c>
      <c r="D86" s="64" t="s">
        <v>400</v>
      </c>
      <c r="E86" s="64" t="s">
        <v>401</v>
      </c>
      <c r="F86" s="65">
        <v>159.07499999999999</v>
      </c>
      <c r="G86" s="66">
        <v>0</v>
      </c>
      <c r="H86" s="67">
        <v>0</v>
      </c>
      <c r="I86" s="66">
        <v>0</v>
      </c>
      <c r="J86" s="67">
        <v>0</v>
      </c>
      <c r="K86" s="66">
        <v>0</v>
      </c>
      <c r="L86" s="67">
        <v>0</v>
      </c>
      <c r="M86" s="66">
        <v>7</v>
      </c>
      <c r="N86" s="67">
        <v>1113.5250000000001</v>
      </c>
      <c r="O86" s="66">
        <v>0</v>
      </c>
      <c r="P86" s="67">
        <v>0</v>
      </c>
      <c r="Q86" s="66">
        <v>0</v>
      </c>
      <c r="R86" s="67">
        <f t="shared" si="4"/>
        <v>0</v>
      </c>
      <c r="S86" s="66">
        <v>3</v>
      </c>
      <c r="T86" s="67">
        <v>477.22500000000002</v>
      </c>
      <c r="U86" s="66">
        <v>0</v>
      </c>
      <c r="V86" s="67">
        <f t="shared" si="5"/>
        <v>0</v>
      </c>
      <c r="W86" s="66">
        <v>0</v>
      </c>
      <c r="X86" s="67">
        <v>0</v>
      </c>
      <c r="Y86" s="66">
        <v>0</v>
      </c>
      <c r="Z86" s="67">
        <v>0</v>
      </c>
      <c r="AA86" s="66">
        <v>0</v>
      </c>
      <c r="AB86" s="67">
        <v>0</v>
      </c>
      <c r="AC86" s="66">
        <v>0</v>
      </c>
      <c r="AD86" s="67">
        <v>0</v>
      </c>
      <c r="AE86" s="66">
        <v>0</v>
      </c>
      <c r="AF86" s="67">
        <v>0</v>
      </c>
      <c r="AG86" s="66">
        <v>0</v>
      </c>
      <c r="AH86" s="67">
        <v>0</v>
      </c>
      <c r="AI86" s="66">
        <v>0</v>
      </c>
      <c r="AJ86" s="67">
        <v>0</v>
      </c>
      <c r="AK86" s="66">
        <v>0</v>
      </c>
      <c r="AL86" s="67">
        <v>0</v>
      </c>
      <c r="AM86" s="66">
        <v>0</v>
      </c>
      <c r="AN86" s="67">
        <v>0</v>
      </c>
      <c r="AO86" s="66">
        <v>169</v>
      </c>
      <c r="AP86" s="67">
        <v>26883.674999999999</v>
      </c>
      <c r="AQ86" s="66">
        <v>0</v>
      </c>
      <c r="AR86" s="67">
        <v>0</v>
      </c>
    </row>
    <row r="87" spans="2:44" x14ac:dyDescent="0.3">
      <c r="B87" s="64" t="s">
        <v>159</v>
      </c>
      <c r="C87" s="64" t="s">
        <v>402</v>
      </c>
      <c r="D87" s="64" t="s">
        <v>403</v>
      </c>
      <c r="E87" s="64" t="s">
        <v>404</v>
      </c>
      <c r="F87" s="65">
        <v>15377.25</v>
      </c>
      <c r="G87" s="66">
        <v>6</v>
      </c>
      <c r="H87" s="67">
        <v>92263.5</v>
      </c>
      <c r="I87" s="66">
        <v>0</v>
      </c>
      <c r="J87" s="67">
        <v>0</v>
      </c>
      <c r="K87" s="66">
        <v>0</v>
      </c>
      <c r="L87" s="67">
        <v>0</v>
      </c>
      <c r="M87" s="66">
        <v>0</v>
      </c>
      <c r="N87" s="67">
        <v>0</v>
      </c>
      <c r="O87" s="66">
        <v>0</v>
      </c>
      <c r="P87" s="67">
        <v>0</v>
      </c>
      <c r="Q87" s="66">
        <v>0</v>
      </c>
      <c r="R87" s="67">
        <f t="shared" si="4"/>
        <v>0</v>
      </c>
      <c r="S87" s="66">
        <v>0</v>
      </c>
      <c r="T87" s="67">
        <v>0</v>
      </c>
      <c r="U87" s="66">
        <v>0</v>
      </c>
      <c r="V87" s="67">
        <f t="shared" si="5"/>
        <v>0</v>
      </c>
      <c r="W87" s="66">
        <v>0</v>
      </c>
      <c r="X87" s="67">
        <v>0</v>
      </c>
      <c r="Y87" s="66">
        <v>1</v>
      </c>
      <c r="Z87" s="67">
        <v>15377.25</v>
      </c>
      <c r="AA87" s="66">
        <v>0</v>
      </c>
      <c r="AB87" s="67">
        <v>0</v>
      </c>
      <c r="AC87" s="66">
        <v>0</v>
      </c>
      <c r="AD87" s="67">
        <v>0</v>
      </c>
      <c r="AE87" s="66">
        <v>0</v>
      </c>
      <c r="AF87" s="67">
        <v>0</v>
      </c>
      <c r="AG87" s="66">
        <v>0</v>
      </c>
      <c r="AH87" s="67">
        <v>0</v>
      </c>
      <c r="AI87" s="66">
        <v>0</v>
      </c>
      <c r="AJ87" s="67">
        <v>0</v>
      </c>
      <c r="AK87" s="66">
        <v>0</v>
      </c>
      <c r="AL87" s="67">
        <v>0</v>
      </c>
      <c r="AM87" s="66">
        <v>0</v>
      </c>
      <c r="AN87" s="67">
        <v>0</v>
      </c>
      <c r="AO87" s="66">
        <v>0</v>
      </c>
      <c r="AP87" s="67">
        <v>0</v>
      </c>
      <c r="AQ87" s="66">
        <v>1</v>
      </c>
      <c r="AR87" s="67">
        <v>15377.25</v>
      </c>
    </row>
    <row r="88" spans="2:44" x14ac:dyDescent="0.3">
      <c r="B88" s="64" t="s">
        <v>179</v>
      </c>
      <c r="C88" s="64" t="s">
        <v>405</v>
      </c>
      <c r="D88" s="64" t="s">
        <v>406</v>
      </c>
      <c r="E88" s="64" t="s">
        <v>407</v>
      </c>
      <c r="F88" s="65">
        <v>31.815000000000001</v>
      </c>
      <c r="G88" s="66">
        <v>607</v>
      </c>
      <c r="H88" s="67">
        <v>19311.705000000002</v>
      </c>
      <c r="I88" s="66">
        <v>0</v>
      </c>
      <c r="J88" s="67">
        <v>0</v>
      </c>
      <c r="K88" s="66">
        <v>1040</v>
      </c>
      <c r="L88" s="67">
        <v>33087.599999999999</v>
      </c>
      <c r="M88" s="66">
        <v>290</v>
      </c>
      <c r="N88" s="67">
        <v>9226.35</v>
      </c>
      <c r="O88" s="66">
        <v>0</v>
      </c>
      <c r="P88" s="67">
        <v>0</v>
      </c>
      <c r="Q88" s="66">
        <v>0</v>
      </c>
      <c r="R88" s="67">
        <f t="shared" si="4"/>
        <v>0</v>
      </c>
      <c r="S88" s="66">
        <v>1294</v>
      </c>
      <c r="T88" s="67">
        <v>41168.61</v>
      </c>
      <c r="U88" s="66">
        <v>1575</v>
      </c>
      <c r="V88" s="67">
        <f t="shared" si="5"/>
        <v>50108.625</v>
      </c>
      <c r="W88" s="66">
        <v>103</v>
      </c>
      <c r="X88" s="67">
        <v>3276.9450000000002</v>
      </c>
      <c r="Y88" s="66">
        <v>1770</v>
      </c>
      <c r="Z88" s="67">
        <v>56312.55</v>
      </c>
      <c r="AA88" s="66">
        <v>1356</v>
      </c>
      <c r="AB88" s="67">
        <v>43141.14</v>
      </c>
      <c r="AC88" s="66">
        <v>239</v>
      </c>
      <c r="AD88" s="67">
        <v>7603.7849999999999</v>
      </c>
      <c r="AE88" s="66">
        <v>831</v>
      </c>
      <c r="AF88" s="67">
        <v>26438.264999999999</v>
      </c>
      <c r="AG88" s="66">
        <v>804</v>
      </c>
      <c r="AH88" s="67">
        <v>25579.26</v>
      </c>
      <c r="AI88" s="66">
        <v>1809</v>
      </c>
      <c r="AJ88" s="67">
        <v>57553.334999999999</v>
      </c>
      <c r="AK88" s="66">
        <v>89</v>
      </c>
      <c r="AL88" s="67">
        <v>2831.5349999999999</v>
      </c>
      <c r="AM88" s="66">
        <v>176</v>
      </c>
      <c r="AN88" s="67">
        <v>5599.44</v>
      </c>
      <c r="AO88" s="66">
        <v>593</v>
      </c>
      <c r="AP88" s="67">
        <v>18866.294999999998</v>
      </c>
      <c r="AQ88" s="66">
        <v>1624</v>
      </c>
      <c r="AR88" s="67">
        <v>51667.56</v>
      </c>
    </row>
    <row r="89" spans="2:44" x14ac:dyDescent="0.3">
      <c r="B89" s="64" t="s">
        <v>179</v>
      </c>
      <c r="C89" s="64" t="s">
        <v>189</v>
      </c>
      <c r="D89" s="64" t="s">
        <v>190</v>
      </c>
      <c r="E89" s="64" t="s">
        <v>191</v>
      </c>
      <c r="F89" s="65">
        <v>9.5950000000000006</v>
      </c>
      <c r="G89" s="66">
        <v>1050</v>
      </c>
      <c r="H89" s="67">
        <v>10074.75</v>
      </c>
      <c r="I89" s="66">
        <v>0</v>
      </c>
      <c r="J89" s="67">
        <v>0</v>
      </c>
      <c r="K89" s="66">
        <v>832</v>
      </c>
      <c r="L89" s="67">
        <v>7983.04</v>
      </c>
      <c r="M89" s="66">
        <v>344</v>
      </c>
      <c r="N89" s="67">
        <v>3300.68</v>
      </c>
      <c r="O89" s="66">
        <v>205</v>
      </c>
      <c r="P89" s="67">
        <v>1966.9749999999999</v>
      </c>
      <c r="Q89" s="66">
        <v>1665</v>
      </c>
      <c r="R89" s="67">
        <f t="shared" si="4"/>
        <v>15975.675000000001</v>
      </c>
      <c r="S89" s="66">
        <v>1051</v>
      </c>
      <c r="T89" s="67">
        <v>10084.344999999999</v>
      </c>
      <c r="U89" s="66">
        <v>1875</v>
      </c>
      <c r="V89" s="67">
        <f t="shared" si="5"/>
        <v>17990.625</v>
      </c>
      <c r="W89" s="66">
        <v>219</v>
      </c>
      <c r="X89" s="67">
        <v>2101.3049999999998</v>
      </c>
      <c r="Y89" s="66">
        <v>2216</v>
      </c>
      <c r="Z89" s="67">
        <v>21262.52</v>
      </c>
      <c r="AA89" s="66">
        <v>1272</v>
      </c>
      <c r="AB89" s="67">
        <v>12204.84</v>
      </c>
      <c r="AC89" s="66">
        <v>303</v>
      </c>
      <c r="AD89" s="67">
        <v>2907.2849999999999</v>
      </c>
      <c r="AE89" s="66">
        <v>1491</v>
      </c>
      <c r="AF89" s="67">
        <v>14306.145</v>
      </c>
      <c r="AG89" s="66">
        <v>768</v>
      </c>
      <c r="AH89" s="67">
        <v>7368.96</v>
      </c>
      <c r="AI89" s="66">
        <v>1679</v>
      </c>
      <c r="AJ89" s="67">
        <v>16110.004999999999</v>
      </c>
      <c r="AK89" s="66">
        <v>115</v>
      </c>
      <c r="AL89" s="67">
        <v>1103.425</v>
      </c>
      <c r="AM89" s="66">
        <v>361</v>
      </c>
      <c r="AN89" s="67">
        <v>3463.7950000000001</v>
      </c>
      <c r="AO89" s="66">
        <v>740</v>
      </c>
      <c r="AP89" s="67">
        <v>7100.3</v>
      </c>
      <c r="AQ89" s="66">
        <v>2163</v>
      </c>
      <c r="AR89" s="67">
        <v>20753.985000000001</v>
      </c>
    </row>
    <row r="90" spans="2:44" x14ac:dyDescent="0.3">
      <c r="B90" s="64" t="s">
        <v>179</v>
      </c>
      <c r="C90" s="64" t="s">
        <v>178</v>
      </c>
      <c r="D90" s="64" t="s">
        <v>180</v>
      </c>
      <c r="E90" s="64" t="s">
        <v>181</v>
      </c>
      <c r="F90" s="65">
        <v>0.16159999999999999</v>
      </c>
      <c r="G90" s="66">
        <v>106041.05</v>
      </c>
      <c r="H90" s="67">
        <v>17136.233680000001</v>
      </c>
      <c r="I90" s="66">
        <v>0</v>
      </c>
      <c r="J90" s="67">
        <v>0</v>
      </c>
      <c r="K90" s="66">
        <v>40400</v>
      </c>
      <c r="L90" s="67">
        <v>6528.64</v>
      </c>
      <c r="M90" s="66">
        <v>27213</v>
      </c>
      <c r="N90" s="67">
        <v>4397.6207999999997</v>
      </c>
      <c r="O90" s="66">
        <v>18134</v>
      </c>
      <c r="P90" s="67">
        <v>2930.4544000000001</v>
      </c>
      <c r="Q90" s="66">
        <v>38351.199999999997</v>
      </c>
      <c r="R90" s="67">
        <f t="shared" si="4"/>
        <v>6197.5539199999994</v>
      </c>
      <c r="S90" s="66">
        <v>104891</v>
      </c>
      <c r="T90" s="67">
        <v>16950.385600000001</v>
      </c>
      <c r="U90" s="66">
        <v>155926</v>
      </c>
      <c r="V90" s="67">
        <f t="shared" si="5"/>
        <v>25197.641599999999</v>
      </c>
      <c r="W90" s="66">
        <v>5708</v>
      </c>
      <c r="X90" s="67">
        <v>922.41279999999995</v>
      </c>
      <c r="Y90" s="66">
        <v>71271.37</v>
      </c>
      <c r="Z90" s="67">
        <v>11517.453391999999</v>
      </c>
      <c r="AA90" s="66">
        <v>199000</v>
      </c>
      <c r="AB90" s="67">
        <v>32158.400000000001</v>
      </c>
      <c r="AC90" s="66">
        <v>0</v>
      </c>
      <c r="AD90" s="67">
        <v>0</v>
      </c>
      <c r="AE90" s="66">
        <v>145234</v>
      </c>
      <c r="AF90" s="67">
        <v>23469.814399999999</v>
      </c>
      <c r="AG90" s="66">
        <v>81211.179999999993</v>
      </c>
      <c r="AH90" s="67">
        <v>13123.726688000001</v>
      </c>
      <c r="AI90" s="66">
        <v>103381</v>
      </c>
      <c r="AJ90" s="67">
        <v>16706.369600000002</v>
      </c>
      <c r="AK90" s="66">
        <v>0</v>
      </c>
      <c r="AL90" s="67">
        <v>0</v>
      </c>
      <c r="AM90" s="66">
        <v>5663</v>
      </c>
      <c r="AN90" s="67">
        <v>915.14080000000001</v>
      </c>
      <c r="AO90" s="66">
        <v>75793</v>
      </c>
      <c r="AP90" s="67">
        <v>12248.148800000001</v>
      </c>
      <c r="AQ90" s="66">
        <v>271551.19</v>
      </c>
      <c r="AR90" s="67">
        <v>43882.672304</v>
      </c>
    </row>
    <row r="91" spans="2:44" x14ac:dyDescent="0.3">
      <c r="B91" s="64" t="s">
        <v>179</v>
      </c>
      <c r="C91" s="64" t="s">
        <v>186</v>
      </c>
      <c r="D91" s="64" t="s">
        <v>187</v>
      </c>
      <c r="E91" s="64" t="s">
        <v>126</v>
      </c>
      <c r="F91" s="65">
        <v>0.32319999999999999</v>
      </c>
      <c r="G91" s="66">
        <v>106041.05</v>
      </c>
      <c r="H91" s="67">
        <v>34272.467360000002</v>
      </c>
      <c r="I91" s="66">
        <v>0</v>
      </c>
      <c r="J91" s="67">
        <v>0</v>
      </c>
      <c r="K91" s="66">
        <v>80262</v>
      </c>
      <c r="L91" s="67">
        <v>25940.678400000001</v>
      </c>
      <c r="M91" s="66">
        <v>11064</v>
      </c>
      <c r="N91" s="67">
        <v>3575.8847999999998</v>
      </c>
      <c r="O91" s="66">
        <v>5692</v>
      </c>
      <c r="P91" s="67">
        <v>1839.6543999999999</v>
      </c>
      <c r="Q91" s="66">
        <v>38978.85</v>
      </c>
      <c r="R91" s="67">
        <f t="shared" si="4"/>
        <v>12597.964319999999</v>
      </c>
      <c r="S91" s="66">
        <v>90639</v>
      </c>
      <c r="T91" s="67">
        <v>29294.524799999999</v>
      </c>
      <c r="U91" s="66">
        <v>164120</v>
      </c>
      <c r="V91" s="67">
        <f t="shared" si="5"/>
        <v>53043.583999999995</v>
      </c>
      <c r="W91" s="66">
        <v>21303.21</v>
      </c>
      <c r="X91" s="67">
        <v>6885.1974719999998</v>
      </c>
      <c r="Y91" s="66">
        <v>225399.18</v>
      </c>
      <c r="Z91" s="67">
        <v>72849.014976000006</v>
      </c>
      <c r="AA91" s="66">
        <v>190000</v>
      </c>
      <c r="AB91" s="67">
        <v>61408</v>
      </c>
      <c r="AC91" s="66">
        <v>38874.6</v>
      </c>
      <c r="AD91" s="67">
        <v>12564.27072</v>
      </c>
      <c r="AE91" s="66">
        <v>33857</v>
      </c>
      <c r="AF91" s="67">
        <v>10942.582399999999</v>
      </c>
      <c r="AG91" s="66">
        <v>86146.69</v>
      </c>
      <c r="AH91" s="67">
        <v>27842.610207999998</v>
      </c>
      <c r="AI91" s="66">
        <v>150067</v>
      </c>
      <c r="AJ91" s="67">
        <v>48501.654399999999</v>
      </c>
      <c r="AK91" s="66">
        <v>18758</v>
      </c>
      <c r="AL91" s="67">
        <v>6062.5856000000003</v>
      </c>
      <c r="AM91" s="66">
        <v>30656.26</v>
      </c>
      <c r="AN91" s="67">
        <v>9908.1032319999995</v>
      </c>
      <c r="AO91" s="66">
        <v>75793</v>
      </c>
      <c r="AP91" s="67">
        <v>24496.297600000002</v>
      </c>
      <c r="AQ91" s="66">
        <v>271551.19</v>
      </c>
      <c r="AR91" s="67">
        <v>87765.344607999999</v>
      </c>
    </row>
    <row r="92" spans="2:44" x14ac:dyDescent="0.3">
      <c r="B92" s="64" t="s">
        <v>179</v>
      </c>
      <c r="C92" s="64" t="s">
        <v>408</v>
      </c>
      <c r="D92" s="64" t="s">
        <v>409</v>
      </c>
      <c r="E92" s="64" t="s">
        <v>410</v>
      </c>
      <c r="F92" s="65">
        <v>79.790000000000006</v>
      </c>
      <c r="G92" s="66">
        <v>6</v>
      </c>
      <c r="H92" s="67">
        <v>478.74</v>
      </c>
      <c r="I92" s="66">
        <v>0</v>
      </c>
      <c r="J92" s="67">
        <v>0</v>
      </c>
      <c r="K92" s="66">
        <v>30</v>
      </c>
      <c r="L92" s="67">
        <v>2393.6999999999998</v>
      </c>
      <c r="M92" s="66">
        <v>3</v>
      </c>
      <c r="N92" s="67">
        <v>239.37</v>
      </c>
      <c r="O92" s="66">
        <v>0</v>
      </c>
      <c r="P92" s="67">
        <v>0</v>
      </c>
      <c r="Q92" s="66">
        <v>0</v>
      </c>
      <c r="R92" s="67">
        <f t="shared" si="4"/>
        <v>0</v>
      </c>
      <c r="S92" s="66">
        <v>151</v>
      </c>
      <c r="T92" s="67">
        <v>12048.29</v>
      </c>
      <c r="U92" s="66">
        <v>131</v>
      </c>
      <c r="V92" s="67">
        <f t="shared" si="5"/>
        <v>10452.490000000002</v>
      </c>
      <c r="W92" s="66">
        <v>5</v>
      </c>
      <c r="X92" s="67">
        <v>398.95</v>
      </c>
      <c r="Y92" s="66">
        <v>73</v>
      </c>
      <c r="Z92" s="67">
        <v>5824.67</v>
      </c>
      <c r="AA92" s="66">
        <v>16</v>
      </c>
      <c r="AB92" s="67">
        <v>1276.6400000000001</v>
      </c>
      <c r="AC92" s="66">
        <v>3</v>
      </c>
      <c r="AD92" s="67">
        <v>239.37</v>
      </c>
      <c r="AE92" s="66">
        <v>20</v>
      </c>
      <c r="AF92" s="67">
        <v>1595.8</v>
      </c>
      <c r="AG92" s="66">
        <v>27</v>
      </c>
      <c r="AH92" s="67">
        <v>2154.33</v>
      </c>
      <c r="AI92" s="66">
        <v>39</v>
      </c>
      <c r="AJ92" s="67">
        <v>3111.81</v>
      </c>
      <c r="AK92" s="66">
        <v>0</v>
      </c>
      <c r="AL92" s="67">
        <v>0</v>
      </c>
      <c r="AM92" s="66">
        <v>12</v>
      </c>
      <c r="AN92" s="67">
        <v>957.48</v>
      </c>
      <c r="AO92" s="66">
        <v>2</v>
      </c>
      <c r="AP92" s="67">
        <v>159.58000000000001</v>
      </c>
      <c r="AQ92" s="66">
        <v>0</v>
      </c>
      <c r="AR92" s="67">
        <v>0</v>
      </c>
    </row>
    <row r="93" spans="2:44" x14ac:dyDescent="0.3">
      <c r="B93" s="64" t="s">
        <v>179</v>
      </c>
      <c r="C93" s="64" t="s">
        <v>183</v>
      </c>
      <c r="D93" s="64" t="s">
        <v>184</v>
      </c>
      <c r="E93" s="64" t="s">
        <v>181</v>
      </c>
      <c r="F93" s="65">
        <v>0.63629999999999998</v>
      </c>
      <c r="G93" s="66">
        <v>106041.05</v>
      </c>
      <c r="H93" s="67">
        <v>67473.920115000001</v>
      </c>
      <c r="I93" s="66">
        <v>0</v>
      </c>
      <c r="J93" s="67">
        <v>0</v>
      </c>
      <c r="K93" s="66">
        <v>106262</v>
      </c>
      <c r="L93" s="67">
        <v>67614.510599999994</v>
      </c>
      <c r="M93" s="66">
        <v>28368</v>
      </c>
      <c r="N93" s="67">
        <v>18050.558400000002</v>
      </c>
      <c r="O93" s="66">
        <v>17625</v>
      </c>
      <c r="P93" s="67">
        <v>11214.7875</v>
      </c>
      <c r="Q93" s="66">
        <v>102152.84</v>
      </c>
      <c r="R93" s="67">
        <f t="shared" si="4"/>
        <v>64999.852091999994</v>
      </c>
      <c r="S93" s="66">
        <v>122231</v>
      </c>
      <c r="T93" s="67">
        <v>77775.585300000006</v>
      </c>
      <c r="U93" s="66">
        <v>157287</v>
      </c>
      <c r="V93" s="67">
        <f t="shared" si="5"/>
        <v>100081.7181</v>
      </c>
      <c r="W93" s="66">
        <v>19576.400000000001</v>
      </c>
      <c r="X93" s="67">
        <v>12456.463320000001</v>
      </c>
      <c r="Y93" s="66">
        <v>132250.22</v>
      </c>
      <c r="Z93" s="67">
        <v>84150.814985999998</v>
      </c>
      <c r="AA93" s="66">
        <v>190000</v>
      </c>
      <c r="AB93" s="67">
        <v>120897</v>
      </c>
      <c r="AC93" s="66">
        <v>26673</v>
      </c>
      <c r="AD93" s="67">
        <v>16972.029900000001</v>
      </c>
      <c r="AE93" s="66">
        <v>103708</v>
      </c>
      <c r="AF93" s="67">
        <v>65989.400399999999</v>
      </c>
      <c r="AG93" s="66">
        <v>73489.919999999998</v>
      </c>
      <c r="AH93" s="67">
        <v>46761.636096000002</v>
      </c>
      <c r="AI93" s="66">
        <v>147893</v>
      </c>
      <c r="AJ93" s="67">
        <v>94104.315900000001</v>
      </c>
      <c r="AK93" s="66">
        <v>16324</v>
      </c>
      <c r="AL93" s="67">
        <v>10386.9612</v>
      </c>
      <c r="AM93" s="66">
        <v>26474</v>
      </c>
      <c r="AN93" s="67">
        <v>16845.406200000001</v>
      </c>
      <c r="AO93" s="66">
        <v>75793</v>
      </c>
      <c r="AP93" s="67">
        <v>48227.085899999998</v>
      </c>
      <c r="AQ93" s="66">
        <v>271551.19</v>
      </c>
      <c r="AR93" s="67">
        <v>172788.02219700001</v>
      </c>
    </row>
    <row r="94" spans="2:44" x14ac:dyDescent="0.3">
      <c r="B94" s="64" t="s">
        <v>179</v>
      </c>
      <c r="C94" s="64" t="s">
        <v>411</v>
      </c>
      <c r="D94" s="64" t="s">
        <v>412</v>
      </c>
      <c r="E94" s="64" t="s">
        <v>413</v>
      </c>
      <c r="F94" s="65">
        <v>2.121</v>
      </c>
      <c r="G94" s="66">
        <v>3842</v>
      </c>
      <c r="H94" s="67">
        <v>8148.8819999999996</v>
      </c>
      <c r="I94" s="66">
        <v>0</v>
      </c>
      <c r="J94" s="67">
        <v>0</v>
      </c>
      <c r="K94" s="66">
        <v>6900</v>
      </c>
      <c r="L94" s="67">
        <v>14634.9</v>
      </c>
      <c r="M94" s="66">
        <v>6</v>
      </c>
      <c r="N94" s="67">
        <v>12.726000000000001</v>
      </c>
      <c r="O94" s="66">
        <v>0</v>
      </c>
      <c r="P94" s="67">
        <v>0</v>
      </c>
      <c r="Q94" s="66">
        <v>6</v>
      </c>
      <c r="R94" s="67">
        <f t="shared" si="4"/>
        <v>12.725999999999999</v>
      </c>
      <c r="S94" s="66">
        <v>35</v>
      </c>
      <c r="T94" s="67">
        <v>74.234999999999999</v>
      </c>
      <c r="U94" s="66">
        <v>7852</v>
      </c>
      <c r="V94" s="67">
        <f t="shared" si="5"/>
        <v>16654.092000000001</v>
      </c>
      <c r="W94" s="66">
        <v>0</v>
      </c>
      <c r="X94" s="67">
        <v>0</v>
      </c>
      <c r="Y94" s="66">
        <v>1</v>
      </c>
      <c r="Z94" s="67">
        <v>2.121</v>
      </c>
      <c r="AA94" s="66">
        <v>5750</v>
      </c>
      <c r="AB94" s="67">
        <v>12195.75</v>
      </c>
      <c r="AC94" s="66">
        <v>0</v>
      </c>
      <c r="AD94" s="67">
        <v>0</v>
      </c>
      <c r="AE94" s="66">
        <v>115</v>
      </c>
      <c r="AF94" s="67">
        <v>243.91499999999999</v>
      </c>
      <c r="AG94" s="66">
        <v>0</v>
      </c>
      <c r="AH94" s="67">
        <v>0</v>
      </c>
      <c r="AI94" s="66">
        <v>0</v>
      </c>
      <c r="AJ94" s="67">
        <v>0</v>
      </c>
      <c r="AK94" s="66">
        <v>138</v>
      </c>
      <c r="AL94" s="67">
        <v>292.69799999999998</v>
      </c>
      <c r="AM94" s="66">
        <v>0</v>
      </c>
      <c r="AN94" s="67">
        <v>0</v>
      </c>
      <c r="AO94" s="66">
        <v>5</v>
      </c>
      <c r="AP94" s="67">
        <v>10.605</v>
      </c>
      <c r="AQ94" s="66">
        <v>0</v>
      </c>
      <c r="AR94" s="67">
        <v>0</v>
      </c>
    </row>
    <row r="95" spans="2:44" x14ac:dyDescent="0.3">
      <c r="B95" s="64" t="s">
        <v>179</v>
      </c>
      <c r="C95" s="64" t="s">
        <v>193</v>
      </c>
      <c r="D95" s="64" t="s">
        <v>194</v>
      </c>
      <c r="E95" s="64" t="s">
        <v>195</v>
      </c>
      <c r="F95" s="65">
        <v>2651.25</v>
      </c>
      <c r="G95" s="66">
        <v>3</v>
      </c>
      <c r="H95" s="67">
        <v>7953.75</v>
      </c>
      <c r="I95" s="66">
        <v>0</v>
      </c>
      <c r="J95" s="67">
        <v>0</v>
      </c>
      <c r="K95" s="66">
        <v>3</v>
      </c>
      <c r="L95" s="67">
        <v>7953.75</v>
      </c>
      <c r="M95" s="66">
        <v>1</v>
      </c>
      <c r="N95" s="67">
        <v>2651.25</v>
      </c>
      <c r="O95" s="66">
        <v>1</v>
      </c>
      <c r="P95" s="67">
        <v>2651.25</v>
      </c>
      <c r="Q95" s="66">
        <v>5</v>
      </c>
      <c r="R95" s="67">
        <f t="shared" si="4"/>
        <v>13256.25</v>
      </c>
      <c r="S95" s="66">
        <v>3</v>
      </c>
      <c r="T95" s="67">
        <v>7953.75</v>
      </c>
      <c r="U95" s="66">
        <v>3</v>
      </c>
      <c r="V95" s="67">
        <f t="shared" si="5"/>
        <v>7953.75</v>
      </c>
      <c r="W95" s="66">
        <v>0</v>
      </c>
      <c r="X95" s="67">
        <v>0</v>
      </c>
      <c r="Y95" s="66">
        <v>1</v>
      </c>
      <c r="Z95" s="67">
        <v>2651.25</v>
      </c>
      <c r="AA95" s="66">
        <v>2</v>
      </c>
      <c r="AB95" s="67">
        <v>5302.5</v>
      </c>
      <c r="AC95" s="66">
        <v>1</v>
      </c>
      <c r="AD95" s="67">
        <v>2651.25</v>
      </c>
      <c r="AE95" s="66">
        <v>5</v>
      </c>
      <c r="AF95" s="67">
        <v>13256.25</v>
      </c>
      <c r="AG95" s="66">
        <v>3</v>
      </c>
      <c r="AH95" s="67">
        <v>7953.75</v>
      </c>
      <c r="AI95" s="66">
        <v>4</v>
      </c>
      <c r="AJ95" s="67">
        <v>10605</v>
      </c>
      <c r="AK95" s="66">
        <v>0</v>
      </c>
      <c r="AL95" s="67">
        <v>0</v>
      </c>
      <c r="AM95" s="66">
        <v>1</v>
      </c>
      <c r="AN95" s="67">
        <v>2651.25</v>
      </c>
      <c r="AO95" s="66">
        <v>2</v>
      </c>
      <c r="AP95" s="67">
        <v>5302.5</v>
      </c>
      <c r="AQ95" s="66">
        <v>0</v>
      </c>
      <c r="AR95" s="67">
        <v>0</v>
      </c>
    </row>
    <row r="96" spans="2:44" x14ac:dyDescent="0.3">
      <c r="B96" s="64" t="s">
        <v>179</v>
      </c>
      <c r="C96" s="64" t="s">
        <v>197</v>
      </c>
      <c r="D96" s="64" t="s">
        <v>198</v>
      </c>
      <c r="E96" s="64" t="s">
        <v>199</v>
      </c>
      <c r="F96" s="65">
        <v>21.21</v>
      </c>
      <c r="G96" s="66">
        <v>296</v>
      </c>
      <c r="H96" s="67">
        <v>6278.16</v>
      </c>
      <c r="I96" s="66">
        <v>0</v>
      </c>
      <c r="J96" s="67">
        <v>0</v>
      </c>
      <c r="K96" s="66">
        <v>271</v>
      </c>
      <c r="L96" s="67">
        <v>5747.91</v>
      </c>
      <c r="M96" s="66">
        <v>89</v>
      </c>
      <c r="N96" s="67">
        <v>1887.69</v>
      </c>
      <c r="O96" s="66">
        <v>68</v>
      </c>
      <c r="P96" s="67">
        <v>1442.28</v>
      </c>
      <c r="Q96" s="66">
        <v>494</v>
      </c>
      <c r="R96" s="67">
        <f t="shared" si="4"/>
        <v>10477.74</v>
      </c>
      <c r="S96" s="66">
        <v>366</v>
      </c>
      <c r="T96" s="67">
        <v>7762.86</v>
      </c>
      <c r="U96" s="66">
        <v>604</v>
      </c>
      <c r="V96" s="67">
        <f t="shared" si="5"/>
        <v>12810.84</v>
      </c>
      <c r="W96" s="66">
        <v>49</v>
      </c>
      <c r="X96" s="67">
        <v>1039.29</v>
      </c>
      <c r="Y96" s="66">
        <v>689</v>
      </c>
      <c r="Z96" s="67">
        <v>14613.69</v>
      </c>
      <c r="AA96" s="66">
        <v>340</v>
      </c>
      <c r="AB96" s="67">
        <v>7211.4</v>
      </c>
      <c r="AC96" s="66">
        <v>25</v>
      </c>
      <c r="AD96" s="67">
        <v>530.25</v>
      </c>
      <c r="AE96" s="66">
        <v>499</v>
      </c>
      <c r="AF96" s="67">
        <v>10583.79</v>
      </c>
      <c r="AG96" s="66">
        <v>272</v>
      </c>
      <c r="AH96" s="67">
        <v>5769.12</v>
      </c>
      <c r="AI96" s="66">
        <v>797</v>
      </c>
      <c r="AJ96" s="67">
        <v>16904.37</v>
      </c>
      <c r="AK96" s="66">
        <v>65</v>
      </c>
      <c r="AL96" s="67">
        <v>1378.65</v>
      </c>
      <c r="AM96" s="66">
        <v>51</v>
      </c>
      <c r="AN96" s="67">
        <v>1081.71</v>
      </c>
      <c r="AO96" s="66">
        <v>304</v>
      </c>
      <c r="AP96" s="67">
        <v>6447.84</v>
      </c>
      <c r="AQ96" s="66">
        <v>995</v>
      </c>
      <c r="AR96" s="67">
        <v>21103.95</v>
      </c>
    </row>
    <row r="97" spans="2:44" x14ac:dyDescent="0.3">
      <c r="B97" s="64" t="s">
        <v>179</v>
      </c>
      <c r="C97" s="64" t="s">
        <v>414</v>
      </c>
      <c r="D97" s="64" t="s">
        <v>415</v>
      </c>
      <c r="E97" s="64" t="s">
        <v>416</v>
      </c>
      <c r="F97" s="65">
        <v>1272.5999999999999</v>
      </c>
      <c r="G97" s="66">
        <v>2</v>
      </c>
      <c r="H97" s="67">
        <v>2545.1999999999998</v>
      </c>
      <c r="I97" s="66">
        <v>0</v>
      </c>
      <c r="J97" s="67">
        <v>0</v>
      </c>
      <c r="K97" s="66">
        <v>5</v>
      </c>
      <c r="L97" s="67">
        <v>6363</v>
      </c>
      <c r="M97" s="66">
        <v>1</v>
      </c>
      <c r="N97" s="67">
        <v>1272.5999999999999</v>
      </c>
      <c r="O97" s="66">
        <v>0</v>
      </c>
      <c r="P97" s="67">
        <v>0</v>
      </c>
      <c r="Q97" s="66">
        <v>0</v>
      </c>
      <c r="R97" s="67">
        <f t="shared" si="4"/>
        <v>0</v>
      </c>
      <c r="S97" s="66">
        <v>1</v>
      </c>
      <c r="T97" s="67">
        <v>1272.5999999999999</v>
      </c>
      <c r="U97" s="66">
        <v>3</v>
      </c>
      <c r="V97" s="67">
        <f t="shared" si="5"/>
        <v>3817.7999999999997</v>
      </c>
      <c r="W97" s="66">
        <v>2</v>
      </c>
      <c r="X97" s="67">
        <v>2545.1999999999998</v>
      </c>
      <c r="Y97" s="66">
        <v>0</v>
      </c>
      <c r="Z97" s="67">
        <v>0</v>
      </c>
      <c r="AA97" s="66">
        <v>2</v>
      </c>
      <c r="AB97" s="67">
        <v>2545.1999999999998</v>
      </c>
      <c r="AC97" s="66">
        <v>2</v>
      </c>
      <c r="AD97" s="67">
        <v>2545.1999999999998</v>
      </c>
      <c r="AE97" s="66">
        <v>1</v>
      </c>
      <c r="AF97" s="67">
        <v>1272.5999999999999</v>
      </c>
      <c r="AG97" s="66">
        <v>0</v>
      </c>
      <c r="AH97" s="67">
        <v>0</v>
      </c>
      <c r="AI97" s="66">
        <v>1</v>
      </c>
      <c r="AJ97" s="67">
        <v>1272.5999999999999</v>
      </c>
      <c r="AK97" s="66">
        <v>1</v>
      </c>
      <c r="AL97" s="67">
        <v>1272.5999999999999</v>
      </c>
      <c r="AM97" s="66">
        <v>5</v>
      </c>
      <c r="AN97" s="67">
        <v>6363</v>
      </c>
      <c r="AO97" s="66">
        <v>1</v>
      </c>
      <c r="AP97" s="67">
        <v>1272.5999999999999</v>
      </c>
      <c r="AQ97" s="66">
        <v>2</v>
      </c>
      <c r="AR97" s="67">
        <v>2545.1999999999998</v>
      </c>
    </row>
    <row r="98" spans="2:44" x14ac:dyDescent="0.3">
      <c r="B98" s="64" t="s">
        <v>179</v>
      </c>
      <c r="C98" s="64" t="s">
        <v>417</v>
      </c>
      <c r="D98" s="64" t="s">
        <v>418</v>
      </c>
      <c r="E98" s="64" t="s">
        <v>323</v>
      </c>
      <c r="F98" s="65">
        <v>2121</v>
      </c>
      <c r="G98" s="66">
        <v>0</v>
      </c>
      <c r="H98" s="67">
        <v>0</v>
      </c>
      <c r="I98" s="66">
        <v>0</v>
      </c>
      <c r="J98" s="67">
        <v>0</v>
      </c>
      <c r="K98" s="66">
        <v>0</v>
      </c>
      <c r="L98" s="67">
        <v>0</v>
      </c>
      <c r="M98" s="66">
        <v>0</v>
      </c>
      <c r="N98" s="67">
        <v>0</v>
      </c>
      <c r="O98" s="66">
        <v>0</v>
      </c>
      <c r="P98" s="67">
        <v>0</v>
      </c>
      <c r="Q98" s="66">
        <v>0</v>
      </c>
      <c r="R98" s="67">
        <f t="shared" si="4"/>
        <v>0</v>
      </c>
      <c r="S98" s="66">
        <v>0</v>
      </c>
      <c r="T98" s="67">
        <v>0</v>
      </c>
      <c r="U98" s="66">
        <v>0</v>
      </c>
      <c r="V98" s="67">
        <f t="shared" si="5"/>
        <v>0</v>
      </c>
      <c r="W98" s="66">
        <v>0</v>
      </c>
      <c r="X98" s="67">
        <v>0</v>
      </c>
      <c r="Y98" s="66">
        <v>2</v>
      </c>
      <c r="Z98" s="67">
        <v>4242</v>
      </c>
      <c r="AA98" s="66">
        <v>1</v>
      </c>
      <c r="AB98" s="67">
        <v>2121</v>
      </c>
      <c r="AC98" s="66">
        <v>0</v>
      </c>
      <c r="AD98" s="67">
        <v>0</v>
      </c>
      <c r="AE98" s="66">
        <v>0</v>
      </c>
      <c r="AF98" s="67">
        <v>0</v>
      </c>
      <c r="AG98" s="66">
        <v>0</v>
      </c>
      <c r="AH98" s="67">
        <v>0</v>
      </c>
      <c r="AI98" s="66">
        <v>0</v>
      </c>
      <c r="AJ98" s="67">
        <v>0</v>
      </c>
      <c r="AK98" s="66">
        <v>0</v>
      </c>
      <c r="AL98" s="67">
        <v>0</v>
      </c>
      <c r="AM98" s="66">
        <v>0</v>
      </c>
      <c r="AN98" s="67">
        <v>0</v>
      </c>
      <c r="AO98" s="66">
        <v>0</v>
      </c>
      <c r="AP98" s="67">
        <v>0</v>
      </c>
      <c r="AQ98" s="66">
        <v>0</v>
      </c>
      <c r="AR98" s="67">
        <v>0</v>
      </c>
    </row>
    <row r="99" spans="2:44" x14ac:dyDescent="0.3">
      <c r="B99" s="64" t="s">
        <v>179</v>
      </c>
      <c r="C99" s="64" t="s">
        <v>419</v>
      </c>
      <c r="D99" s="64" t="s">
        <v>420</v>
      </c>
      <c r="E99" s="64" t="s">
        <v>421</v>
      </c>
      <c r="F99" s="65">
        <v>265.125</v>
      </c>
      <c r="G99" s="66">
        <v>0</v>
      </c>
      <c r="H99" s="67">
        <v>0</v>
      </c>
      <c r="I99" s="66">
        <v>0</v>
      </c>
      <c r="J99" s="67">
        <v>0</v>
      </c>
      <c r="K99" s="66">
        <v>10</v>
      </c>
      <c r="L99" s="67">
        <v>2651.25</v>
      </c>
      <c r="M99" s="66">
        <v>5</v>
      </c>
      <c r="N99" s="67">
        <v>1325.625</v>
      </c>
      <c r="O99" s="66">
        <v>0</v>
      </c>
      <c r="P99" s="67">
        <v>0</v>
      </c>
      <c r="Q99" s="66">
        <v>0</v>
      </c>
      <c r="R99" s="67">
        <f t="shared" si="4"/>
        <v>0</v>
      </c>
      <c r="S99" s="66">
        <v>0</v>
      </c>
      <c r="T99" s="67">
        <v>0</v>
      </c>
      <c r="U99" s="66">
        <v>28</v>
      </c>
      <c r="V99" s="67">
        <f t="shared" si="5"/>
        <v>7423.5</v>
      </c>
      <c r="W99" s="66">
        <v>1</v>
      </c>
      <c r="X99" s="67">
        <v>265.125</v>
      </c>
      <c r="Y99" s="66">
        <v>1</v>
      </c>
      <c r="Z99" s="67">
        <v>265.125</v>
      </c>
      <c r="AA99" s="66">
        <v>7</v>
      </c>
      <c r="AB99" s="67">
        <v>1855.875</v>
      </c>
      <c r="AC99" s="66">
        <v>0</v>
      </c>
      <c r="AD99" s="67">
        <v>0</v>
      </c>
      <c r="AE99" s="66">
        <v>6</v>
      </c>
      <c r="AF99" s="67">
        <v>1590.75</v>
      </c>
      <c r="AG99" s="66">
        <v>17</v>
      </c>
      <c r="AH99" s="67">
        <v>4507.125</v>
      </c>
      <c r="AI99" s="66">
        <v>3</v>
      </c>
      <c r="AJ99" s="67">
        <v>795.375</v>
      </c>
      <c r="AK99" s="66">
        <v>0</v>
      </c>
      <c r="AL99" s="67">
        <v>0</v>
      </c>
      <c r="AM99" s="66">
        <v>2</v>
      </c>
      <c r="AN99" s="67">
        <v>530.25</v>
      </c>
      <c r="AO99" s="66">
        <v>26</v>
      </c>
      <c r="AP99" s="67">
        <v>6893.25</v>
      </c>
      <c r="AQ99" s="66">
        <v>0</v>
      </c>
      <c r="AR99" s="67">
        <v>0</v>
      </c>
    </row>
    <row r="100" spans="2:44" x14ac:dyDescent="0.3">
      <c r="B100" s="64" t="s">
        <v>179</v>
      </c>
      <c r="C100" s="64" t="s">
        <v>422</v>
      </c>
      <c r="D100" s="64" t="s">
        <v>423</v>
      </c>
      <c r="E100" s="64" t="s">
        <v>424</v>
      </c>
      <c r="F100" s="65">
        <v>0.5353</v>
      </c>
      <c r="G100" s="66">
        <v>3644.98</v>
      </c>
      <c r="H100" s="67">
        <v>1951.157794</v>
      </c>
      <c r="I100" s="66">
        <v>0</v>
      </c>
      <c r="J100" s="67">
        <v>0</v>
      </c>
      <c r="K100" s="66">
        <v>20000</v>
      </c>
      <c r="L100" s="67">
        <v>10706</v>
      </c>
      <c r="M100" s="66">
        <v>1</v>
      </c>
      <c r="N100" s="67">
        <v>0.5353</v>
      </c>
      <c r="O100" s="66">
        <v>0</v>
      </c>
      <c r="P100" s="67">
        <v>0</v>
      </c>
      <c r="Q100" s="66">
        <v>208</v>
      </c>
      <c r="R100" s="67">
        <f t="shared" si="4"/>
        <v>111.3424</v>
      </c>
      <c r="S100" s="66">
        <v>7075</v>
      </c>
      <c r="T100" s="67">
        <v>3787.2474999999999</v>
      </c>
      <c r="U100" s="66">
        <v>3</v>
      </c>
      <c r="V100" s="67">
        <f t="shared" si="5"/>
        <v>1.6059000000000001</v>
      </c>
      <c r="W100" s="66">
        <v>80</v>
      </c>
      <c r="X100" s="67">
        <v>42.823999999999998</v>
      </c>
      <c r="Y100" s="66">
        <v>326</v>
      </c>
      <c r="Z100" s="67">
        <v>174.5078</v>
      </c>
      <c r="AA100" s="66">
        <v>21000</v>
      </c>
      <c r="AB100" s="67">
        <v>11241.3</v>
      </c>
      <c r="AC100" s="66">
        <v>0</v>
      </c>
      <c r="AD100" s="67">
        <v>0</v>
      </c>
      <c r="AE100" s="66">
        <v>0</v>
      </c>
      <c r="AF100" s="67">
        <v>0</v>
      </c>
      <c r="AG100" s="66">
        <v>614.1</v>
      </c>
      <c r="AH100" s="67">
        <v>328.72773000000001</v>
      </c>
      <c r="AI100" s="66">
        <v>2428</v>
      </c>
      <c r="AJ100" s="67">
        <v>1299.7084</v>
      </c>
      <c r="AK100" s="66">
        <v>0</v>
      </c>
      <c r="AL100" s="67">
        <v>0</v>
      </c>
      <c r="AM100" s="66">
        <v>0</v>
      </c>
      <c r="AN100" s="67">
        <v>0</v>
      </c>
      <c r="AO100" s="66">
        <v>6</v>
      </c>
      <c r="AP100" s="67">
        <v>3.2118000000000002</v>
      </c>
      <c r="AQ100" s="66">
        <v>0</v>
      </c>
      <c r="AR100" s="67">
        <v>0</v>
      </c>
    </row>
    <row r="101" spans="2:44" x14ac:dyDescent="0.3">
      <c r="B101" s="64" t="s">
        <v>202</v>
      </c>
      <c r="C101" s="64" t="s">
        <v>201</v>
      </c>
      <c r="D101" s="64" t="s">
        <v>203</v>
      </c>
      <c r="E101" s="64" t="s">
        <v>204</v>
      </c>
      <c r="F101" s="65">
        <v>1484.7</v>
      </c>
      <c r="G101" s="66">
        <v>29</v>
      </c>
      <c r="H101" s="67">
        <v>43056.3</v>
      </c>
      <c r="I101" s="66">
        <v>76</v>
      </c>
      <c r="J101" s="67">
        <v>112837.2</v>
      </c>
      <c r="K101" s="66">
        <v>25</v>
      </c>
      <c r="L101" s="67">
        <v>37117.5</v>
      </c>
      <c r="M101" s="66">
        <v>12</v>
      </c>
      <c r="N101" s="67">
        <v>17816.400000000001</v>
      </c>
      <c r="O101" s="66">
        <v>10</v>
      </c>
      <c r="P101" s="67">
        <v>14847</v>
      </c>
      <c r="Q101" s="66">
        <v>44</v>
      </c>
      <c r="R101" s="67">
        <f t="shared" ref="R101:R132" si="6">Q101*F101</f>
        <v>65326.8</v>
      </c>
      <c r="S101" s="66">
        <v>21</v>
      </c>
      <c r="T101" s="67">
        <v>31178.7</v>
      </c>
      <c r="U101" s="66">
        <v>76</v>
      </c>
      <c r="V101" s="67">
        <f t="shared" ref="V101:V132" si="7">U101*F101</f>
        <v>112837.2</v>
      </c>
      <c r="W101" s="66">
        <v>8</v>
      </c>
      <c r="X101" s="67">
        <v>11877.6</v>
      </c>
      <c r="Y101" s="66">
        <v>69</v>
      </c>
      <c r="Z101" s="67">
        <v>102444.3</v>
      </c>
      <c r="AA101" s="66">
        <v>50</v>
      </c>
      <c r="AB101" s="67">
        <v>74235</v>
      </c>
      <c r="AC101" s="66">
        <v>14</v>
      </c>
      <c r="AD101" s="67">
        <v>20785.8</v>
      </c>
      <c r="AE101" s="66">
        <v>39</v>
      </c>
      <c r="AF101" s="67">
        <v>57903.3</v>
      </c>
      <c r="AG101" s="66">
        <v>33</v>
      </c>
      <c r="AH101" s="67">
        <v>48995.1</v>
      </c>
      <c r="AI101" s="66">
        <v>71</v>
      </c>
      <c r="AJ101" s="67">
        <v>105413.7</v>
      </c>
      <c r="AK101" s="66">
        <v>11</v>
      </c>
      <c r="AL101" s="67">
        <v>16331.7</v>
      </c>
      <c r="AM101" s="66">
        <v>9</v>
      </c>
      <c r="AN101" s="67">
        <v>13362.3</v>
      </c>
      <c r="AO101" s="66">
        <v>28</v>
      </c>
      <c r="AP101" s="67">
        <v>41571.599999999999</v>
      </c>
      <c r="AQ101" s="66">
        <v>59</v>
      </c>
      <c r="AR101" s="67">
        <v>87597.3</v>
      </c>
    </row>
    <row r="102" spans="2:44" x14ac:dyDescent="0.3">
      <c r="B102" s="64" t="s">
        <v>202</v>
      </c>
      <c r="C102" s="64" t="s">
        <v>201</v>
      </c>
      <c r="D102" s="64" t="s">
        <v>206</v>
      </c>
      <c r="E102" s="64" t="s">
        <v>204</v>
      </c>
      <c r="F102" s="65">
        <v>1696.8</v>
      </c>
      <c r="G102" s="66">
        <v>16</v>
      </c>
      <c r="H102" s="67">
        <v>27148.799999999999</v>
      </c>
      <c r="I102" s="66">
        <v>25</v>
      </c>
      <c r="J102" s="67">
        <v>42420</v>
      </c>
      <c r="K102" s="66">
        <v>3</v>
      </c>
      <c r="L102" s="67">
        <v>5090.3999999999996</v>
      </c>
      <c r="M102" s="66">
        <v>4</v>
      </c>
      <c r="N102" s="67">
        <v>6787.2</v>
      </c>
      <c r="O102" s="66">
        <v>6</v>
      </c>
      <c r="P102" s="67">
        <v>10180.799999999999</v>
      </c>
      <c r="Q102" s="66">
        <v>53</v>
      </c>
      <c r="R102" s="67">
        <f t="shared" si="6"/>
        <v>89930.4</v>
      </c>
      <c r="S102" s="66">
        <v>32</v>
      </c>
      <c r="T102" s="67">
        <v>54297.599999999999</v>
      </c>
      <c r="U102" s="66">
        <v>34</v>
      </c>
      <c r="V102" s="67">
        <f t="shared" si="7"/>
        <v>57691.199999999997</v>
      </c>
      <c r="W102" s="66">
        <v>0</v>
      </c>
      <c r="X102" s="67">
        <v>0</v>
      </c>
      <c r="Y102" s="66">
        <v>19</v>
      </c>
      <c r="Z102" s="67">
        <v>32239.200000000001</v>
      </c>
      <c r="AA102" s="66">
        <v>26</v>
      </c>
      <c r="AB102" s="67">
        <v>44116.800000000003</v>
      </c>
      <c r="AC102" s="66">
        <v>0</v>
      </c>
      <c r="AD102" s="67">
        <v>0</v>
      </c>
      <c r="AE102" s="66">
        <v>39</v>
      </c>
      <c r="AF102" s="67">
        <v>66175.199999999997</v>
      </c>
      <c r="AG102" s="66">
        <v>2</v>
      </c>
      <c r="AH102" s="67">
        <v>3393.6</v>
      </c>
      <c r="AI102" s="66">
        <v>16</v>
      </c>
      <c r="AJ102" s="67">
        <v>27148.799999999999</v>
      </c>
      <c r="AK102" s="66">
        <v>2</v>
      </c>
      <c r="AL102" s="67">
        <v>3393.6</v>
      </c>
      <c r="AM102" s="66">
        <v>0</v>
      </c>
      <c r="AN102" s="67">
        <v>0</v>
      </c>
      <c r="AO102" s="66">
        <v>14</v>
      </c>
      <c r="AP102" s="67">
        <v>23755.200000000001</v>
      </c>
      <c r="AQ102" s="66">
        <v>14</v>
      </c>
      <c r="AR102" s="67">
        <v>23755.200000000001</v>
      </c>
    </row>
    <row r="103" spans="2:44" x14ac:dyDescent="0.3">
      <c r="B103" s="64" t="s">
        <v>202</v>
      </c>
      <c r="C103" s="64" t="s">
        <v>201</v>
      </c>
      <c r="D103" s="64" t="s">
        <v>425</v>
      </c>
      <c r="E103" s="64" t="s">
        <v>204</v>
      </c>
      <c r="F103" s="65">
        <v>1908.9</v>
      </c>
      <c r="G103" s="66">
        <v>3</v>
      </c>
      <c r="H103" s="67">
        <v>5726.7</v>
      </c>
      <c r="I103" s="66">
        <v>0</v>
      </c>
      <c r="J103" s="67">
        <v>0</v>
      </c>
      <c r="K103" s="66">
        <v>16</v>
      </c>
      <c r="L103" s="67">
        <v>30542.400000000001</v>
      </c>
      <c r="M103" s="66">
        <v>0</v>
      </c>
      <c r="N103" s="67">
        <v>0</v>
      </c>
      <c r="O103" s="66">
        <v>0</v>
      </c>
      <c r="P103" s="67">
        <v>0</v>
      </c>
      <c r="Q103" s="66">
        <v>0</v>
      </c>
      <c r="R103" s="67">
        <f t="shared" si="6"/>
        <v>0</v>
      </c>
      <c r="S103" s="66">
        <v>2</v>
      </c>
      <c r="T103" s="67">
        <v>3817.8</v>
      </c>
      <c r="U103" s="66">
        <v>1</v>
      </c>
      <c r="V103" s="67">
        <f t="shared" si="7"/>
        <v>1908.9</v>
      </c>
      <c r="W103" s="66">
        <v>0</v>
      </c>
      <c r="X103" s="67">
        <v>0</v>
      </c>
      <c r="Y103" s="66">
        <v>0</v>
      </c>
      <c r="Z103" s="67">
        <v>0</v>
      </c>
      <c r="AA103" s="66">
        <v>0</v>
      </c>
      <c r="AB103" s="67">
        <v>0</v>
      </c>
      <c r="AC103" s="66">
        <v>0</v>
      </c>
      <c r="AD103" s="67">
        <v>0</v>
      </c>
      <c r="AE103" s="66">
        <v>0</v>
      </c>
      <c r="AF103" s="67">
        <v>0</v>
      </c>
      <c r="AG103" s="66">
        <v>0</v>
      </c>
      <c r="AH103" s="67">
        <v>0</v>
      </c>
      <c r="AI103" s="66">
        <v>0</v>
      </c>
      <c r="AJ103" s="67">
        <v>0</v>
      </c>
      <c r="AK103" s="66">
        <v>0</v>
      </c>
      <c r="AL103" s="67">
        <v>0</v>
      </c>
      <c r="AM103" s="66">
        <v>0</v>
      </c>
      <c r="AN103" s="67">
        <v>0</v>
      </c>
      <c r="AO103" s="66">
        <v>0</v>
      </c>
      <c r="AP103" s="67">
        <v>0</v>
      </c>
      <c r="AQ103" s="66">
        <v>0</v>
      </c>
      <c r="AR103" s="67">
        <v>0</v>
      </c>
    </row>
    <row r="104" spans="2:44" x14ac:dyDescent="0.3">
      <c r="B104" s="64" t="s">
        <v>202</v>
      </c>
      <c r="C104" s="64" t="s">
        <v>208</v>
      </c>
      <c r="D104" s="64" t="s">
        <v>209</v>
      </c>
      <c r="E104" s="64" t="s">
        <v>210</v>
      </c>
      <c r="F104" s="65">
        <v>265.125</v>
      </c>
      <c r="G104" s="66">
        <v>7</v>
      </c>
      <c r="H104" s="67">
        <v>1855.875</v>
      </c>
      <c r="I104" s="66">
        <v>4</v>
      </c>
      <c r="J104" s="67">
        <v>1060.5</v>
      </c>
      <c r="K104" s="66">
        <v>2</v>
      </c>
      <c r="L104" s="67">
        <v>530.25</v>
      </c>
      <c r="M104" s="66">
        <v>2</v>
      </c>
      <c r="N104" s="67">
        <v>530.25</v>
      </c>
      <c r="O104" s="66">
        <v>1</v>
      </c>
      <c r="P104" s="67">
        <v>265.125</v>
      </c>
      <c r="Q104" s="66">
        <v>7</v>
      </c>
      <c r="R104" s="67">
        <f t="shared" si="6"/>
        <v>1855.875</v>
      </c>
      <c r="S104" s="66">
        <v>5</v>
      </c>
      <c r="T104" s="67">
        <v>1325.625</v>
      </c>
      <c r="U104" s="66">
        <v>14</v>
      </c>
      <c r="V104" s="67">
        <f t="shared" si="7"/>
        <v>3711.75</v>
      </c>
      <c r="W104" s="66">
        <v>0</v>
      </c>
      <c r="X104" s="67">
        <v>0</v>
      </c>
      <c r="Y104" s="66">
        <v>4</v>
      </c>
      <c r="Z104" s="67">
        <v>1060.5</v>
      </c>
      <c r="AA104" s="66">
        <v>0</v>
      </c>
      <c r="AB104" s="67">
        <v>0</v>
      </c>
      <c r="AC104" s="66">
        <v>2</v>
      </c>
      <c r="AD104" s="67">
        <v>530.25</v>
      </c>
      <c r="AE104" s="66">
        <v>0</v>
      </c>
      <c r="AF104" s="67">
        <v>0</v>
      </c>
      <c r="AG104" s="66">
        <v>0</v>
      </c>
      <c r="AH104" s="67">
        <v>0</v>
      </c>
      <c r="AI104" s="66">
        <v>2</v>
      </c>
      <c r="AJ104" s="67">
        <v>530.25</v>
      </c>
      <c r="AK104" s="66">
        <v>0</v>
      </c>
      <c r="AL104" s="67">
        <v>0</v>
      </c>
      <c r="AM104" s="66">
        <v>2</v>
      </c>
      <c r="AN104" s="67">
        <v>530.25</v>
      </c>
      <c r="AO104" s="66">
        <v>0</v>
      </c>
      <c r="AP104" s="67">
        <v>0</v>
      </c>
      <c r="AQ104" s="66">
        <v>4</v>
      </c>
      <c r="AR104" s="67">
        <v>1060.5</v>
      </c>
    </row>
    <row r="105" spans="2:44" x14ac:dyDescent="0.3">
      <c r="B105" s="64" t="s">
        <v>202</v>
      </c>
      <c r="C105" s="64" t="s">
        <v>426</v>
      </c>
      <c r="D105" s="64" t="s">
        <v>427</v>
      </c>
      <c r="E105" s="64" t="s">
        <v>428</v>
      </c>
      <c r="F105" s="65">
        <v>742.35</v>
      </c>
      <c r="G105" s="66">
        <v>0</v>
      </c>
      <c r="H105" s="67">
        <v>0</v>
      </c>
      <c r="I105" s="66">
        <v>1</v>
      </c>
      <c r="J105" s="67">
        <v>742.35</v>
      </c>
      <c r="K105" s="66">
        <v>0</v>
      </c>
      <c r="L105" s="67">
        <v>0</v>
      </c>
      <c r="M105" s="66">
        <v>0</v>
      </c>
      <c r="N105" s="67">
        <v>0</v>
      </c>
      <c r="O105" s="66">
        <v>0</v>
      </c>
      <c r="P105" s="67">
        <v>0</v>
      </c>
      <c r="Q105" s="66">
        <v>0</v>
      </c>
      <c r="R105" s="67">
        <f t="shared" si="6"/>
        <v>0</v>
      </c>
      <c r="S105" s="66">
        <v>0</v>
      </c>
      <c r="T105" s="67">
        <v>0</v>
      </c>
      <c r="U105" s="66">
        <v>4</v>
      </c>
      <c r="V105" s="67">
        <f t="shared" si="7"/>
        <v>2969.4</v>
      </c>
      <c r="W105" s="66">
        <v>0</v>
      </c>
      <c r="X105" s="67">
        <v>0</v>
      </c>
      <c r="Y105" s="66">
        <v>0</v>
      </c>
      <c r="Z105" s="67">
        <v>0</v>
      </c>
      <c r="AA105" s="66">
        <v>8</v>
      </c>
      <c r="AB105" s="67">
        <v>5938.8</v>
      </c>
      <c r="AC105" s="66">
        <v>0</v>
      </c>
      <c r="AD105" s="67">
        <v>0</v>
      </c>
      <c r="AE105" s="66">
        <v>0</v>
      </c>
      <c r="AF105" s="67">
        <v>0</v>
      </c>
      <c r="AG105" s="66">
        <v>0</v>
      </c>
      <c r="AH105" s="67">
        <v>0</v>
      </c>
      <c r="AI105" s="66">
        <v>0</v>
      </c>
      <c r="AJ105" s="67">
        <v>0</v>
      </c>
      <c r="AK105" s="66">
        <v>0</v>
      </c>
      <c r="AL105" s="67">
        <v>0</v>
      </c>
      <c r="AM105" s="66">
        <v>0</v>
      </c>
      <c r="AN105" s="67">
        <v>0</v>
      </c>
      <c r="AO105" s="66">
        <v>0</v>
      </c>
      <c r="AP105" s="67">
        <v>0</v>
      </c>
      <c r="AQ105" s="66">
        <v>0</v>
      </c>
      <c r="AR105" s="67">
        <v>0</v>
      </c>
    </row>
    <row r="106" spans="2:44" x14ac:dyDescent="0.3">
      <c r="B106" s="64" t="s">
        <v>202</v>
      </c>
      <c r="C106" s="64" t="s">
        <v>429</v>
      </c>
      <c r="D106" s="64" t="s">
        <v>430</v>
      </c>
      <c r="E106" s="64" t="s">
        <v>431</v>
      </c>
      <c r="F106" s="65">
        <v>848.4</v>
      </c>
      <c r="G106" s="66">
        <v>2</v>
      </c>
      <c r="H106" s="67">
        <v>1696.8</v>
      </c>
      <c r="I106" s="66">
        <v>0</v>
      </c>
      <c r="J106" s="67">
        <v>0</v>
      </c>
      <c r="K106" s="66">
        <v>0</v>
      </c>
      <c r="L106" s="67">
        <v>0</v>
      </c>
      <c r="M106" s="66">
        <v>2</v>
      </c>
      <c r="N106" s="67">
        <v>1696.8</v>
      </c>
      <c r="O106" s="66">
        <v>0</v>
      </c>
      <c r="P106" s="67">
        <v>0</v>
      </c>
      <c r="Q106" s="66">
        <v>0</v>
      </c>
      <c r="R106" s="67">
        <f t="shared" si="6"/>
        <v>0</v>
      </c>
      <c r="S106" s="66">
        <v>1</v>
      </c>
      <c r="T106" s="67">
        <v>848.4</v>
      </c>
      <c r="U106" s="66">
        <v>3</v>
      </c>
      <c r="V106" s="67">
        <f t="shared" si="7"/>
        <v>2545.1999999999998</v>
      </c>
      <c r="W106" s="66">
        <v>0</v>
      </c>
      <c r="X106" s="67">
        <v>0</v>
      </c>
      <c r="Y106" s="66">
        <v>5</v>
      </c>
      <c r="Z106" s="67">
        <v>4242</v>
      </c>
      <c r="AA106" s="66">
        <v>0</v>
      </c>
      <c r="AB106" s="67">
        <v>0</v>
      </c>
      <c r="AC106" s="66">
        <v>0</v>
      </c>
      <c r="AD106" s="67">
        <v>0</v>
      </c>
      <c r="AE106" s="66">
        <v>0</v>
      </c>
      <c r="AF106" s="67">
        <v>0</v>
      </c>
      <c r="AG106" s="66">
        <v>1</v>
      </c>
      <c r="AH106" s="67">
        <v>848.4</v>
      </c>
      <c r="AI106" s="66">
        <v>0</v>
      </c>
      <c r="AJ106" s="67">
        <v>0</v>
      </c>
      <c r="AK106" s="66">
        <v>0</v>
      </c>
      <c r="AL106" s="67">
        <v>0</v>
      </c>
      <c r="AM106" s="66">
        <v>4</v>
      </c>
      <c r="AN106" s="67">
        <v>3393.6</v>
      </c>
      <c r="AO106" s="66">
        <v>3</v>
      </c>
      <c r="AP106" s="67">
        <v>2545.1999999999998</v>
      </c>
      <c r="AQ106" s="66">
        <v>5</v>
      </c>
      <c r="AR106" s="67">
        <v>4242</v>
      </c>
    </row>
    <row r="107" spans="2:44" x14ac:dyDescent="0.3">
      <c r="B107" s="64" t="s">
        <v>213</v>
      </c>
      <c r="C107" s="64" t="s">
        <v>212</v>
      </c>
      <c r="D107" s="64" t="s">
        <v>214</v>
      </c>
      <c r="E107" s="64" t="s">
        <v>215</v>
      </c>
      <c r="F107" s="65">
        <v>318.14999999999998</v>
      </c>
      <c r="G107" s="66">
        <v>10</v>
      </c>
      <c r="H107" s="67">
        <v>3181.5</v>
      </c>
      <c r="I107" s="66">
        <v>0</v>
      </c>
      <c r="J107" s="67">
        <v>0</v>
      </c>
      <c r="K107" s="66">
        <v>30</v>
      </c>
      <c r="L107" s="67">
        <v>9544.5</v>
      </c>
      <c r="M107" s="66">
        <v>3</v>
      </c>
      <c r="N107" s="67">
        <v>954.45</v>
      </c>
      <c r="O107" s="66">
        <v>2</v>
      </c>
      <c r="P107" s="67">
        <v>636.29999999999995</v>
      </c>
      <c r="Q107" s="66">
        <v>9</v>
      </c>
      <c r="R107" s="67">
        <f t="shared" si="6"/>
        <v>2863.35</v>
      </c>
      <c r="S107" s="66">
        <v>19</v>
      </c>
      <c r="T107" s="67">
        <v>6044.85</v>
      </c>
      <c r="U107" s="66">
        <v>63</v>
      </c>
      <c r="V107" s="67">
        <f t="shared" si="7"/>
        <v>20043.449999999997</v>
      </c>
      <c r="W107" s="66">
        <v>2</v>
      </c>
      <c r="X107" s="67">
        <v>636.29999999999995</v>
      </c>
      <c r="Y107" s="66">
        <v>13</v>
      </c>
      <c r="Z107" s="67">
        <v>4135.95</v>
      </c>
      <c r="AA107" s="66">
        <v>34</v>
      </c>
      <c r="AB107" s="67">
        <v>10817.1</v>
      </c>
      <c r="AC107" s="66">
        <v>8</v>
      </c>
      <c r="AD107" s="67">
        <v>2545.1999999999998</v>
      </c>
      <c r="AE107" s="66">
        <v>7</v>
      </c>
      <c r="AF107" s="67">
        <v>2227.0500000000002</v>
      </c>
      <c r="AG107" s="66">
        <v>60</v>
      </c>
      <c r="AH107" s="67">
        <v>19089</v>
      </c>
      <c r="AI107" s="66">
        <v>16</v>
      </c>
      <c r="AJ107" s="67">
        <v>5090.3999999999996</v>
      </c>
      <c r="AK107" s="66">
        <v>7</v>
      </c>
      <c r="AL107" s="67">
        <v>2227.0500000000002</v>
      </c>
      <c r="AM107" s="66">
        <v>5</v>
      </c>
      <c r="AN107" s="67">
        <v>1590.75</v>
      </c>
      <c r="AO107" s="66">
        <v>22</v>
      </c>
      <c r="AP107" s="67">
        <v>6999.3</v>
      </c>
      <c r="AQ107" s="66">
        <v>0</v>
      </c>
      <c r="AR107" s="67">
        <v>0</v>
      </c>
    </row>
    <row r="108" spans="2:44" x14ac:dyDescent="0.3">
      <c r="B108" s="64" t="s">
        <v>213</v>
      </c>
      <c r="C108" s="64" t="s">
        <v>432</v>
      </c>
      <c r="D108" s="64" t="s">
        <v>433</v>
      </c>
      <c r="E108" s="64" t="s">
        <v>434</v>
      </c>
      <c r="F108" s="65">
        <v>1.4341999999999999</v>
      </c>
      <c r="G108" s="66">
        <v>106399.05</v>
      </c>
      <c r="H108" s="67">
        <v>152597.51751000001</v>
      </c>
      <c r="I108" s="66">
        <v>0</v>
      </c>
      <c r="J108" s="67">
        <v>0</v>
      </c>
      <c r="K108" s="66">
        <v>104262</v>
      </c>
      <c r="L108" s="67">
        <v>149532.56039999999</v>
      </c>
      <c r="M108" s="66">
        <v>30810</v>
      </c>
      <c r="N108" s="67">
        <v>44187.701999999997</v>
      </c>
      <c r="O108" s="66">
        <v>18134</v>
      </c>
      <c r="P108" s="67">
        <v>26007.782800000001</v>
      </c>
      <c r="Q108" s="66">
        <v>122972.39</v>
      </c>
      <c r="R108" s="67">
        <f t="shared" si="6"/>
        <v>176367.00173799999</v>
      </c>
      <c r="S108" s="66">
        <v>137843</v>
      </c>
      <c r="T108" s="67">
        <v>197694.43059999999</v>
      </c>
      <c r="U108" s="66">
        <v>167584</v>
      </c>
      <c r="V108" s="67">
        <f t="shared" si="7"/>
        <v>240348.97279999999</v>
      </c>
      <c r="W108" s="66">
        <v>20186.21</v>
      </c>
      <c r="X108" s="67">
        <v>28951.062382</v>
      </c>
      <c r="Y108" s="66">
        <v>238870.75</v>
      </c>
      <c r="Z108" s="67">
        <v>342588.42965000001</v>
      </c>
      <c r="AA108" s="66">
        <v>247600</v>
      </c>
      <c r="AB108" s="67">
        <v>355107.92</v>
      </c>
      <c r="AC108" s="66">
        <v>38874.6</v>
      </c>
      <c r="AD108" s="67">
        <v>55753.95132</v>
      </c>
      <c r="AE108" s="66">
        <v>169645.52</v>
      </c>
      <c r="AF108" s="67">
        <v>243305.604784</v>
      </c>
      <c r="AG108" s="66">
        <v>86146.69</v>
      </c>
      <c r="AH108" s="67">
        <v>123551.582798</v>
      </c>
      <c r="AI108" s="66">
        <v>153378</v>
      </c>
      <c r="AJ108" s="67">
        <v>219974.72760000001</v>
      </c>
      <c r="AK108" s="66">
        <v>19771</v>
      </c>
      <c r="AL108" s="67">
        <v>28355.568200000002</v>
      </c>
      <c r="AM108" s="66">
        <v>31415.26</v>
      </c>
      <c r="AN108" s="67">
        <v>45055.765892000003</v>
      </c>
      <c r="AO108" s="66">
        <v>75793</v>
      </c>
      <c r="AP108" s="67">
        <v>108702.32060000001</v>
      </c>
      <c r="AQ108" s="66">
        <v>271551.19</v>
      </c>
      <c r="AR108" s="67">
        <v>389458.71669799997</v>
      </c>
    </row>
    <row r="109" spans="2:44" x14ac:dyDescent="0.3">
      <c r="B109" s="64" t="s">
        <v>213</v>
      </c>
      <c r="C109" s="64" t="s">
        <v>435</v>
      </c>
      <c r="D109" s="64" t="s">
        <v>436</v>
      </c>
      <c r="E109" s="64" t="s">
        <v>437</v>
      </c>
      <c r="F109" s="65">
        <v>1272.5999999999999</v>
      </c>
      <c r="G109" s="66">
        <v>4</v>
      </c>
      <c r="H109" s="67">
        <v>5090.3999999999996</v>
      </c>
      <c r="I109" s="66">
        <v>0</v>
      </c>
      <c r="J109" s="67">
        <v>0</v>
      </c>
      <c r="K109" s="66">
        <v>7</v>
      </c>
      <c r="L109" s="67">
        <v>8908.2000000000007</v>
      </c>
      <c r="M109" s="66">
        <v>2</v>
      </c>
      <c r="N109" s="67">
        <v>2545.1999999999998</v>
      </c>
      <c r="O109" s="66">
        <v>0</v>
      </c>
      <c r="P109" s="67">
        <v>0</v>
      </c>
      <c r="Q109" s="66">
        <v>51</v>
      </c>
      <c r="R109" s="67">
        <f t="shared" si="6"/>
        <v>64902.6</v>
      </c>
      <c r="S109" s="66">
        <v>11</v>
      </c>
      <c r="T109" s="67">
        <v>13998.6</v>
      </c>
      <c r="U109" s="66">
        <v>41</v>
      </c>
      <c r="V109" s="67">
        <f t="shared" si="7"/>
        <v>52176.6</v>
      </c>
      <c r="W109" s="66">
        <v>1</v>
      </c>
      <c r="X109" s="67">
        <v>1272.5999999999999</v>
      </c>
      <c r="Y109" s="66">
        <v>2</v>
      </c>
      <c r="Z109" s="67">
        <v>2545.1999999999998</v>
      </c>
      <c r="AA109" s="66">
        <v>0</v>
      </c>
      <c r="AB109" s="67">
        <v>0</v>
      </c>
      <c r="AC109" s="66">
        <v>20</v>
      </c>
      <c r="AD109" s="67">
        <v>25452</v>
      </c>
      <c r="AE109" s="66">
        <v>0</v>
      </c>
      <c r="AF109" s="67">
        <v>0</v>
      </c>
      <c r="AG109" s="66">
        <v>23</v>
      </c>
      <c r="AH109" s="67">
        <v>29269.8</v>
      </c>
      <c r="AI109" s="66">
        <v>29</v>
      </c>
      <c r="AJ109" s="67">
        <v>36905.4</v>
      </c>
      <c r="AK109" s="66">
        <v>6</v>
      </c>
      <c r="AL109" s="67">
        <v>7635.6</v>
      </c>
      <c r="AM109" s="66">
        <v>1</v>
      </c>
      <c r="AN109" s="67">
        <v>1272.5999999999999</v>
      </c>
      <c r="AO109" s="66">
        <v>4</v>
      </c>
      <c r="AP109" s="67">
        <v>5090.3999999999996</v>
      </c>
      <c r="AQ109" s="66">
        <v>0</v>
      </c>
      <c r="AR109" s="67">
        <v>0</v>
      </c>
    </row>
    <row r="110" spans="2:44" x14ac:dyDescent="0.3">
      <c r="B110" s="64" t="s">
        <v>213</v>
      </c>
      <c r="C110" s="64" t="s">
        <v>438</v>
      </c>
      <c r="D110" s="64" t="s">
        <v>439</v>
      </c>
      <c r="E110" s="64" t="s">
        <v>440</v>
      </c>
      <c r="F110" s="65">
        <v>0.84840000000000004</v>
      </c>
      <c r="G110" s="66">
        <v>19558</v>
      </c>
      <c r="H110" s="67">
        <v>16593.0072</v>
      </c>
      <c r="I110" s="66">
        <v>0</v>
      </c>
      <c r="J110" s="67">
        <v>0</v>
      </c>
      <c r="K110" s="66">
        <v>22600</v>
      </c>
      <c r="L110" s="67">
        <v>19173.84</v>
      </c>
      <c r="M110" s="66">
        <v>6000</v>
      </c>
      <c r="N110" s="67">
        <v>5090.3999999999996</v>
      </c>
      <c r="O110" s="66">
        <v>0</v>
      </c>
      <c r="P110" s="67">
        <v>0</v>
      </c>
      <c r="Q110" s="66">
        <v>72229.210000000006</v>
      </c>
      <c r="R110" s="67">
        <f t="shared" si="6"/>
        <v>61279.26176400001</v>
      </c>
      <c r="S110" s="66">
        <v>38933</v>
      </c>
      <c r="T110" s="67">
        <v>33030.7572</v>
      </c>
      <c r="U110" s="66">
        <v>89095</v>
      </c>
      <c r="V110" s="67">
        <f t="shared" si="7"/>
        <v>75588.198000000004</v>
      </c>
      <c r="W110" s="66">
        <v>5000</v>
      </c>
      <c r="X110" s="67">
        <v>4242</v>
      </c>
      <c r="Y110" s="66">
        <v>48338.42</v>
      </c>
      <c r="Z110" s="67">
        <v>41010.315527999999</v>
      </c>
      <c r="AA110" s="66">
        <v>104875</v>
      </c>
      <c r="AB110" s="67">
        <v>88975.95</v>
      </c>
      <c r="AC110" s="66">
        <v>11450</v>
      </c>
      <c r="AD110" s="67">
        <v>9714.18</v>
      </c>
      <c r="AE110" s="66">
        <v>0</v>
      </c>
      <c r="AF110" s="67">
        <v>0</v>
      </c>
      <c r="AG110" s="66">
        <v>22254.03</v>
      </c>
      <c r="AH110" s="67">
        <v>18880.319051999999</v>
      </c>
      <c r="AI110" s="66">
        <v>65921</v>
      </c>
      <c r="AJ110" s="67">
        <v>55927.376400000001</v>
      </c>
      <c r="AK110" s="66">
        <v>5298</v>
      </c>
      <c r="AL110" s="67">
        <v>4494.8231999999998</v>
      </c>
      <c r="AM110" s="66">
        <v>7057</v>
      </c>
      <c r="AN110" s="67">
        <v>5987.1588000000002</v>
      </c>
      <c r="AO110" s="66">
        <v>29200</v>
      </c>
      <c r="AP110" s="67">
        <v>24773.279999999999</v>
      </c>
      <c r="AQ110" s="66">
        <v>0</v>
      </c>
      <c r="AR110" s="67">
        <v>0</v>
      </c>
    </row>
    <row r="111" spans="2:44" x14ac:dyDescent="0.3">
      <c r="B111" s="64" t="s">
        <v>213</v>
      </c>
      <c r="C111" s="64" t="s">
        <v>217</v>
      </c>
      <c r="D111" s="64" t="s">
        <v>218</v>
      </c>
      <c r="E111" s="64" t="s">
        <v>219</v>
      </c>
      <c r="F111" s="65">
        <v>265.125</v>
      </c>
      <c r="G111" s="66">
        <v>14</v>
      </c>
      <c r="H111" s="67">
        <v>3711.75</v>
      </c>
      <c r="I111" s="66">
        <v>34</v>
      </c>
      <c r="J111" s="67">
        <v>9014.25</v>
      </c>
      <c r="K111" s="66">
        <v>8</v>
      </c>
      <c r="L111" s="67">
        <v>2121</v>
      </c>
      <c r="M111" s="66">
        <v>5</v>
      </c>
      <c r="N111" s="67">
        <v>1325.625</v>
      </c>
      <c r="O111" s="66">
        <v>5</v>
      </c>
      <c r="P111" s="67">
        <v>1325.625</v>
      </c>
      <c r="Q111" s="66">
        <v>36</v>
      </c>
      <c r="R111" s="67">
        <f t="shared" si="6"/>
        <v>9544.5</v>
      </c>
      <c r="S111" s="66">
        <v>21</v>
      </c>
      <c r="T111" s="67">
        <v>5567.625</v>
      </c>
      <c r="U111" s="66">
        <v>48</v>
      </c>
      <c r="V111" s="67">
        <f t="shared" si="7"/>
        <v>12726</v>
      </c>
      <c r="W111" s="66">
        <v>8</v>
      </c>
      <c r="X111" s="67">
        <v>2121</v>
      </c>
      <c r="Y111" s="66">
        <v>29</v>
      </c>
      <c r="Z111" s="67">
        <v>7688.625</v>
      </c>
      <c r="AA111" s="66">
        <v>33</v>
      </c>
      <c r="AB111" s="67">
        <v>8749.125</v>
      </c>
      <c r="AC111" s="66">
        <v>13</v>
      </c>
      <c r="AD111" s="67">
        <v>3446.625</v>
      </c>
      <c r="AE111" s="66">
        <v>52</v>
      </c>
      <c r="AF111" s="67">
        <v>13786.5</v>
      </c>
      <c r="AG111" s="66">
        <v>10</v>
      </c>
      <c r="AH111" s="67">
        <v>2651.25</v>
      </c>
      <c r="AI111" s="66">
        <v>35</v>
      </c>
      <c r="AJ111" s="67">
        <v>9279.375</v>
      </c>
      <c r="AK111" s="66">
        <v>7</v>
      </c>
      <c r="AL111" s="67">
        <v>1855.875</v>
      </c>
      <c r="AM111" s="66">
        <v>9</v>
      </c>
      <c r="AN111" s="67">
        <v>2386.125</v>
      </c>
      <c r="AO111" s="66">
        <v>14</v>
      </c>
      <c r="AP111" s="67">
        <v>3711.75</v>
      </c>
      <c r="AQ111" s="66">
        <v>29</v>
      </c>
      <c r="AR111" s="67">
        <v>7688.625</v>
      </c>
    </row>
    <row r="112" spans="2:44" x14ac:dyDescent="0.3">
      <c r="B112" s="64" t="s">
        <v>213</v>
      </c>
      <c r="C112" s="64" t="s">
        <v>441</v>
      </c>
      <c r="D112" s="64" t="s">
        <v>442</v>
      </c>
      <c r="E112" s="64" t="s">
        <v>443</v>
      </c>
      <c r="F112" s="65">
        <v>318.14999999999998</v>
      </c>
      <c r="G112" s="66">
        <v>96</v>
      </c>
      <c r="H112" s="67">
        <v>30542.400000000001</v>
      </c>
      <c r="I112" s="66">
        <v>101</v>
      </c>
      <c r="J112" s="67">
        <v>32133.15</v>
      </c>
      <c r="K112" s="66">
        <v>18</v>
      </c>
      <c r="L112" s="67">
        <v>5726.7</v>
      </c>
      <c r="M112" s="66">
        <v>10</v>
      </c>
      <c r="N112" s="67">
        <v>3181.5</v>
      </c>
      <c r="O112" s="66">
        <v>0</v>
      </c>
      <c r="P112" s="67">
        <v>0</v>
      </c>
      <c r="Q112" s="66">
        <v>107</v>
      </c>
      <c r="R112" s="67">
        <f t="shared" si="6"/>
        <v>34042.049999999996</v>
      </c>
      <c r="S112" s="66">
        <v>154</v>
      </c>
      <c r="T112" s="67">
        <v>48995.1</v>
      </c>
      <c r="U112" s="66">
        <v>162</v>
      </c>
      <c r="V112" s="67">
        <f t="shared" si="7"/>
        <v>51540.299999999996</v>
      </c>
      <c r="W112" s="66">
        <v>7</v>
      </c>
      <c r="X112" s="67">
        <v>2227.0500000000002</v>
      </c>
      <c r="Y112" s="66">
        <v>89</v>
      </c>
      <c r="Z112" s="67">
        <v>28315.35</v>
      </c>
      <c r="AA112" s="66">
        <v>51</v>
      </c>
      <c r="AB112" s="67">
        <v>16225.65</v>
      </c>
      <c r="AC112" s="66">
        <v>0</v>
      </c>
      <c r="AD112" s="67">
        <v>0</v>
      </c>
      <c r="AE112" s="66">
        <v>0</v>
      </c>
      <c r="AF112" s="67">
        <v>0</v>
      </c>
      <c r="AG112" s="66">
        <v>42</v>
      </c>
      <c r="AH112" s="67">
        <v>13362.3</v>
      </c>
      <c r="AI112" s="66">
        <v>78</v>
      </c>
      <c r="AJ112" s="67">
        <v>24815.7</v>
      </c>
      <c r="AK112" s="66">
        <v>1</v>
      </c>
      <c r="AL112" s="67">
        <v>318.14999999999998</v>
      </c>
      <c r="AM112" s="66">
        <v>3</v>
      </c>
      <c r="AN112" s="67">
        <v>954.45</v>
      </c>
      <c r="AO112" s="66">
        <v>84</v>
      </c>
      <c r="AP112" s="67">
        <v>26724.6</v>
      </c>
      <c r="AQ112" s="66">
        <v>89</v>
      </c>
      <c r="AR112" s="67">
        <v>28315.35</v>
      </c>
    </row>
    <row r="113" spans="2:44" x14ac:dyDescent="0.3">
      <c r="B113" s="64" t="s">
        <v>213</v>
      </c>
      <c r="C113" s="64" t="s">
        <v>444</v>
      </c>
      <c r="D113" s="64" t="s">
        <v>445</v>
      </c>
      <c r="E113" s="64" t="s">
        <v>446</v>
      </c>
      <c r="F113" s="65">
        <v>2121</v>
      </c>
      <c r="G113" s="66">
        <v>0</v>
      </c>
      <c r="H113" s="67">
        <v>0</v>
      </c>
      <c r="I113" s="66">
        <v>0</v>
      </c>
      <c r="J113" s="67">
        <v>0</v>
      </c>
      <c r="K113" s="66">
        <v>10</v>
      </c>
      <c r="L113" s="67">
        <v>21210</v>
      </c>
      <c r="M113" s="66">
        <v>2</v>
      </c>
      <c r="N113" s="67">
        <v>4242</v>
      </c>
      <c r="O113" s="66">
        <v>0</v>
      </c>
      <c r="P113" s="67">
        <v>0</v>
      </c>
      <c r="Q113" s="66">
        <v>0</v>
      </c>
      <c r="R113" s="67">
        <f t="shared" si="6"/>
        <v>0</v>
      </c>
      <c r="S113" s="66">
        <v>0</v>
      </c>
      <c r="T113" s="67">
        <v>0</v>
      </c>
      <c r="U113" s="66">
        <v>0</v>
      </c>
      <c r="V113" s="67">
        <f t="shared" si="7"/>
        <v>0</v>
      </c>
      <c r="W113" s="66">
        <v>0</v>
      </c>
      <c r="X113" s="67">
        <v>0</v>
      </c>
      <c r="Y113" s="66">
        <v>4</v>
      </c>
      <c r="Z113" s="67">
        <v>8484</v>
      </c>
      <c r="AA113" s="66">
        <v>2</v>
      </c>
      <c r="AB113" s="67">
        <v>4242</v>
      </c>
      <c r="AC113" s="66">
        <v>0</v>
      </c>
      <c r="AD113" s="67">
        <v>0</v>
      </c>
      <c r="AE113" s="66">
        <v>0</v>
      </c>
      <c r="AF113" s="67">
        <v>0</v>
      </c>
      <c r="AG113" s="66">
        <v>0</v>
      </c>
      <c r="AH113" s="67">
        <v>0</v>
      </c>
      <c r="AI113" s="66">
        <v>0</v>
      </c>
      <c r="AJ113" s="67">
        <v>0</v>
      </c>
      <c r="AK113" s="66">
        <v>0</v>
      </c>
      <c r="AL113" s="67">
        <v>0</v>
      </c>
      <c r="AM113" s="66">
        <v>0</v>
      </c>
      <c r="AN113" s="67">
        <v>0</v>
      </c>
      <c r="AO113" s="66">
        <v>0</v>
      </c>
      <c r="AP113" s="67">
        <v>0</v>
      </c>
      <c r="AQ113" s="66">
        <v>2</v>
      </c>
      <c r="AR113" s="67">
        <v>4242</v>
      </c>
    </row>
    <row r="114" spans="2:44" x14ac:dyDescent="0.3">
      <c r="B114" s="64" t="s">
        <v>213</v>
      </c>
      <c r="C114" s="64" t="s">
        <v>447</v>
      </c>
      <c r="D114" s="64" t="s">
        <v>448</v>
      </c>
      <c r="E114" s="64" t="s">
        <v>449</v>
      </c>
      <c r="F114" s="65">
        <v>212.1</v>
      </c>
      <c r="G114" s="66">
        <v>8</v>
      </c>
      <c r="H114" s="67">
        <v>1696.8</v>
      </c>
      <c r="I114" s="66">
        <v>0</v>
      </c>
      <c r="J114" s="67">
        <v>0</v>
      </c>
      <c r="K114" s="66">
        <v>11</v>
      </c>
      <c r="L114" s="67">
        <v>2333.1</v>
      </c>
      <c r="M114" s="66">
        <v>2</v>
      </c>
      <c r="N114" s="67">
        <v>424.2</v>
      </c>
      <c r="O114" s="66">
        <v>0</v>
      </c>
      <c r="P114" s="67">
        <v>0</v>
      </c>
      <c r="Q114" s="66">
        <v>11</v>
      </c>
      <c r="R114" s="67">
        <f t="shared" si="6"/>
        <v>2333.1</v>
      </c>
      <c r="S114" s="66">
        <v>12</v>
      </c>
      <c r="T114" s="67">
        <v>2545.1999999999998</v>
      </c>
      <c r="U114" s="66">
        <v>47</v>
      </c>
      <c r="V114" s="67">
        <f t="shared" si="7"/>
        <v>9968.6999999999989</v>
      </c>
      <c r="W114" s="66">
        <v>2</v>
      </c>
      <c r="X114" s="67">
        <v>424.2</v>
      </c>
      <c r="Y114" s="66">
        <v>31</v>
      </c>
      <c r="Z114" s="67">
        <v>6575.1</v>
      </c>
      <c r="AA114" s="66">
        <v>27</v>
      </c>
      <c r="AB114" s="67">
        <v>5726.7</v>
      </c>
      <c r="AC114" s="66">
        <v>9</v>
      </c>
      <c r="AD114" s="67">
        <v>1908.9</v>
      </c>
      <c r="AE114" s="66">
        <v>0</v>
      </c>
      <c r="AF114" s="67">
        <v>0</v>
      </c>
      <c r="AG114" s="66">
        <v>20</v>
      </c>
      <c r="AH114" s="67">
        <v>4242</v>
      </c>
      <c r="AI114" s="66">
        <v>62</v>
      </c>
      <c r="AJ114" s="67">
        <v>13150.2</v>
      </c>
      <c r="AK114" s="66">
        <v>4</v>
      </c>
      <c r="AL114" s="67">
        <v>848.4</v>
      </c>
      <c r="AM114" s="66">
        <v>12</v>
      </c>
      <c r="AN114" s="67">
        <v>2545.1999999999998</v>
      </c>
      <c r="AO114" s="66">
        <v>12</v>
      </c>
      <c r="AP114" s="67">
        <v>2545.1999999999998</v>
      </c>
      <c r="AQ114" s="66">
        <v>0</v>
      </c>
      <c r="AR114" s="67">
        <v>0</v>
      </c>
    </row>
    <row r="115" spans="2:44" x14ac:dyDescent="0.3">
      <c r="B115" s="64" t="s">
        <v>213</v>
      </c>
      <c r="C115" s="64" t="s">
        <v>450</v>
      </c>
      <c r="D115" s="64" t="s">
        <v>451</v>
      </c>
      <c r="E115" s="64" t="s">
        <v>384</v>
      </c>
      <c r="F115" s="65">
        <v>848.4</v>
      </c>
      <c r="G115" s="66">
        <v>0</v>
      </c>
      <c r="H115" s="67">
        <v>0</v>
      </c>
      <c r="I115" s="66">
        <v>0</v>
      </c>
      <c r="J115" s="67">
        <v>0</v>
      </c>
      <c r="K115" s="66">
        <v>0</v>
      </c>
      <c r="L115" s="67">
        <v>0</v>
      </c>
      <c r="M115" s="66">
        <v>0</v>
      </c>
      <c r="N115" s="67">
        <v>0</v>
      </c>
      <c r="O115" s="66">
        <v>0</v>
      </c>
      <c r="P115" s="67">
        <v>0</v>
      </c>
      <c r="Q115" s="66">
        <v>0</v>
      </c>
      <c r="R115" s="67">
        <f t="shared" si="6"/>
        <v>0</v>
      </c>
      <c r="S115" s="66">
        <v>0</v>
      </c>
      <c r="T115" s="67">
        <v>0</v>
      </c>
      <c r="U115" s="66">
        <v>0</v>
      </c>
      <c r="V115" s="67">
        <f t="shared" si="7"/>
        <v>0</v>
      </c>
      <c r="W115" s="66">
        <v>0</v>
      </c>
      <c r="X115" s="67">
        <v>0</v>
      </c>
      <c r="Y115" s="66">
        <v>1</v>
      </c>
      <c r="Z115" s="67">
        <v>848.4</v>
      </c>
      <c r="AA115" s="66">
        <v>2</v>
      </c>
      <c r="AB115" s="67">
        <v>1696.8</v>
      </c>
      <c r="AC115" s="66">
        <v>0</v>
      </c>
      <c r="AD115" s="67">
        <v>0</v>
      </c>
      <c r="AE115" s="66">
        <v>0</v>
      </c>
      <c r="AF115" s="67">
        <v>0</v>
      </c>
      <c r="AG115" s="66">
        <v>0</v>
      </c>
      <c r="AH115" s="67">
        <v>0</v>
      </c>
      <c r="AI115" s="66">
        <v>0</v>
      </c>
      <c r="AJ115" s="67">
        <v>0</v>
      </c>
      <c r="AK115" s="66">
        <v>0</v>
      </c>
      <c r="AL115" s="67">
        <v>0</v>
      </c>
      <c r="AM115" s="66">
        <v>0</v>
      </c>
      <c r="AN115" s="67">
        <v>0</v>
      </c>
      <c r="AO115" s="66">
        <v>0</v>
      </c>
      <c r="AP115" s="67">
        <v>0</v>
      </c>
      <c r="AQ115" s="66">
        <v>0</v>
      </c>
      <c r="AR115" s="67">
        <v>0</v>
      </c>
    </row>
    <row r="116" spans="2:44" x14ac:dyDescent="0.3">
      <c r="B116" s="64" t="s">
        <v>213</v>
      </c>
      <c r="C116" s="64" t="s">
        <v>452</v>
      </c>
      <c r="D116" s="64" t="s">
        <v>453</v>
      </c>
      <c r="E116" s="64" t="s">
        <v>454</v>
      </c>
      <c r="F116" s="65">
        <v>3181.5</v>
      </c>
      <c r="G116" s="66">
        <v>0</v>
      </c>
      <c r="H116" s="67">
        <v>0</v>
      </c>
      <c r="I116" s="66">
        <v>0</v>
      </c>
      <c r="J116" s="67">
        <v>0</v>
      </c>
      <c r="K116" s="66">
        <v>0</v>
      </c>
      <c r="L116" s="67">
        <v>0</v>
      </c>
      <c r="M116" s="66">
        <v>0</v>
      </c>
      <c r="N116" s="67">
        <v>0</v>
      </c>
      <c r="O116" s="66">
        <v>0</v>
      </c>
      <c r="P116" s="67">
        <v>0</v>
      </c>
      <c r="Q116" s="66">
        <v>3</v>
      </c>
      <c r="R116" s="67">
        <f t="shared" si="6"/>
        <v>9544.5</v>
      </c>
      <c r="S116" s="66">
        <v>1</v>
      </c>
      <c r="T116" s="67">
        <v>3181.5</v>
      </c>
      <c r="U116" s="66">
        <v>1</v>
      </c>
      <c r="V116" s="67">
        <f t="shared" si="7"/>
        <v>3181.5</v>
      </c>
      <c r="W116" s="66">
        <v>0</v>
      </c>
      <c r="X116" s="67">
        <v>0</v>
      </c>
      <c r="Y116" s="66">
        <v>1</v>
      </c>
      <c r="Z116" s="67">
        <v>3181.5</v>
      </c>
      <c r="AA116" s="66">
        <v>2</v>
      </c>
      <c r="AB116" s="67">
        <v>6363</v>
      </c>
      <c r="AC116" s="66">
        <v>0</v>
      </c>
      <c r="AD116" s="67">
        <v>0</v>
      </c>
      <c r="AE116" s="66">
        <v>0</v>
      </c>
      <c r="AF116" s="67">
        <v>0</v>
      </c>
      <c r="AG116" s="66">
        <v>0</v>
      </c>
      <c r="AH116" s="67">
        <v>0</v>
      </c>
      <c r="AI116" s="66">
        <v>0</v>
      </c>
      <c r="AJ116" s="67">
        <v>0</v>
      </c>
      <c r="AK116" s="66">
        <v>0</v>
      </c>
      <c r="AL116" s="67">
        <v>0</v>
      </c>
      <c r="AM116" s="66">
        <v>0</v>
      </c>
      <c r="AN116" s="67">
        <v>0</v>
      </c>
      <c r="AO116" s="66">
        <v>2</v>
      </c>
      <c r="AP116" s="67">
        <v>6363</v>
      </c>
      <c r="AQ116" s="66">
        <v>0</v>
      </c>
      <c r="AR116" s="67">
        <v>0</v>
      </c>
    </row>
    <row r="117" spans="2:44" x14ac:dyDescent="0.3">
      <c r="B117" s="64" t="s">
        <v>213</v>
      </c>
      <c r="C117" s="64" t="s">
        <v>455</v>
      </c>
      <c r="D117" s="64" t="s">
        <v>456</v>
      </c>
      <c r="E117" s="64" t="s">
        <v>454</v>
      </c>
      <c r="F117" s="65">
        <v>3181.5</v>
      </c>
      <c r="G117" s="66">
        <v>0</v>
      </c>
      <c r="H117" s="67">
        <v>0</v>
      </c>
      <c r="I117" s="66">
        <v>0</v>
      </c>
      <c r="J117" s="67">
        <v>0</v>
      </c>
      <c r="K117" s="66">
        <v>3</v>
      </c>
      <c r="L117" s="67">
        <v>9544.5</v>
      </c>
      <c r="M117" s="66">
        <v>0</v>
      </c>
      <c r="N117" s="67">
        <v>0</v>
      </c>
      <c r="O117" s="66">
        <v>0</v>
      </c>
      <c r="P117" s="67">
        <v>0</v>
      </c>
      <c r="Q117" s="66">
        <v>0</v>
      </c>
      <c r="R117" s="67">
        <f t="shared" si="6"/>
        <v>0</v>
      </c>
      <c r="S117" s="66">
        <v>0</v>
      </c>
      <c r="T117" s="67">
        <v>0</v>
      </c>
      <c r="U117" s="66">
        <v>1</v>
      </c>
      <c r="V117" s="67">
        <f t="shared" si="7"/>
        <v>3181.5</v>
      </c>
      <c r="W117" s="66">
        <v>0</v>
      </c>
      <c r="X117" s="67">
        <v>0</v>
      </c>
      <c r="Y117" s="66">
        <v>1</v>
      </c>
      <c r="Z117" s="67">
        <v>3181.5</v>
      </c>
      <c r="AA117" s="66">
        <v>1</v>
      </c>
      <c r="AB117" s="67">
        <v>3181.5</v>
      </c>
      <c r="AC117" s="66">
        <v>0</v>
      </c>
      <c r="AD117" s="67">
        <v>0</v>
      </c>
      <c r="AE117" s="66">
        <v>0</v>
      </c>
      <c r="AF117" s="67">
        <v>0</v>
      </c>
      <c r="AG117" s="66">
        <v>0</v>
      </c>
      <c r="AH117" s="67">
        <v>0</v>
      </c>
      <c r="AI117" s="66">
        <v>0</v>
      </c>
      <c r="AJ117" s="67">
        <v>0</v>
      </c>
      <c r="AK117" s="66">
        <v>0</v>
      </c>
      <c r="AL117" s="67">
        <v>0</v>
      </c>
      <c r="AM117" s="66">
        <v>0</v>
      </c>
      <c r="AN117" s="67">
        <v>0</v>
      </c>
      <c r="AO117" s="66">
        <v>0</v>
      </c>
      <c r="AP117" s="67">
        <v>0</v>
      </c>
      <c r="AQ117" s="66">
        <v>0</v>
      </c>
      <c r="AR117" s="67">
        <v>0</v>
      </c>
    </row>
    <row r="118" spans="2:44" x14ac:dyDescent="0.3">
      <c r="B118" s="64" t="s">
        <v>213</v>
      </c>
      <c r="C118" s="64" t="s">
        <v>457</v>
      </c>
      <c r="D118" s="64" t="s">
        <v>458</v>
      </c>
      <c r="E118" s="64" t="s">
        <v>454</v>
      </c>
      <c r="F118" s="65">
        <v>2651.25</v>
      </c>
      <c r="G118" s="66">
        <v>0</v>
      </c>
      <c r="H118" s="67">
        <v>0</v>
      </c>
      <c r="I118" s="66">
        <v>0</v>
      </c>
      <c r="J118" s="67">
        <v>0</v>
      </c>
      <c r="K118" s="66">
        <v>0</v>
      </c>
      <c r="L118" s="67">
        <v>0</v>
      </c>
      <c r="M118" s="66">
        <v>0</v>
      </c>
      <c r="N118" s="67">
        <v>0</v>
      </c>
      <c r="O118" s="66">
        <v>0</v>
      </c>
      <c r="P118" s="67">
        <v>0</v>
      </c>
      <c r="Q118" s="66">
        <v>0</v>
      </c>
      <c r="R118" s="67">
        <f t="shared" si="6"/>
        <v>0</v>
      </c>
      <c r="S118" s="66">
        <v>0</v>
      </c>
      <c r="T118" s="67">
        <v>0</v>
      </c>
      <c r="U118" s="66">
        <v>1</v>
      </c>
      <c r="V118" s="67">
        <f t="shared" si="7"/>
        <v>2651.25</v>
      </c>
      <c r="W118" s="66">
        <v>0</v>
      </c>
      <c r="X118" s="67">
        <v>0</v>
      </c>
      <c r="Y118" s="66">
        <v>0</v>
      </c>
      <c r="Z118" s="67">
        <v>0</v>
      </c>
      <c r="AA118" s="66">
        <v>0</v>
      </c>
      <c r="AB118" s="67">
        <v>0</v>
      </c>
      <c r="AC118" s="66">
        <v>0</v>
      </c>
      <c r="AD118" s="67">
        <v>0</v>
      </c>
      <c r="AE118" s="66">
        <v>0</v>
      </c>
      <c r="AF118" s="67">
        <v>0</v>
      </c>
      <c r="AG118" s="66">
        <v>0</v>
      </c>
      <c r="AH118" s="67">
        <v>0</v>
      </c>
      <c r="AI118" s="66">
        <v>0</v>
      </c>
      <c r="AJ118" s="67">
        <v>0</v>
      </c>
      <c r="AK118" s="66">
        <v>0</v>
      </c>
      <c r="AL118" s="67">
        <v>0</v>
      </c>
      <c r="AM118" s="66">
        <v>0</v>
      </c>
      <c r="AN118" s="67">
        <v>0</v>
      </c>
      <c r="AO118" s="66">
        <v>0</v>
      </c>
      <c r="AP118" s="67">
        <v>0</v>
      </c>
      <c r="AQ118" s="66">
        <v>0</v>
      </c>
      <c r="AR118" s="67">
        <v>0</v>
      </c>
    </row>
    <row r="119" spans="2:44" x14ac:dyDescent="0.3">
      <c r="B119" s="64" t="s">
        <v>213</v>
      </c>
      <c r="C119" s="64" t="s">
        <v>459</v>
      </c>
      <c r="D119" s="64" t="s">
        <v>460</v>
      </c>
      <c r="E119" s="64" t="s">
        <v>454</v>
      </c>
      <c r="F119" s="65">
        <v>1272.5999999999999</v>
      </c>
      <c r="G119" s="66">
        <v>0</v>
      </c>
      <c r="H119" s="67">
        <v>0</v>
      </c>
      <c r="I119" s="66">
        <v>0</v>
      </c>
      <c r="J119" s="67">
        <v>0</v>
      </c>
      <c r="K119" s="66">
        <v>0</v>
      </c>
      <c r="L119" s="67">
        <v>0</v>
      </c>
      <c r="M119" s="66">
        <v>0</v>
      </c>
      <c r="N119" s="67">
        <v>0</v>
      </c>
      <c r="O119" s="66">
        <v>0</v>
      </c>
      <c r="P119" s="67">
        <v>0</v>
      </c>
      <c r="Q119" s="66">
        <v>0</v>
      </c>
      <c r="R119" s="67">
        <f t="shared" si="6"/>
        <v>0</v>
      </c>
      <c r="S119" s="66">
        <v>0</v>
      </c>
      <c r="T119" s="67">
        <v>0</v>
      </c>
      <c r="U119" s="66">
        <v>0</v>
      </c>
      <c r="V119" s="67">
        <f t="shared" si="7"/>
        <v>0</v>
      </c>
      <c r="W119" s="66">
        <v>0</v>
      </c>
      <c r="X119" s="67">
        <v>0</v>
      </c>
      <c r="Y119" s="66">
        <v>0</v>
      </c>
      <c r="Z119" s="67">
        <v>0</v>
      </c>
      <c r="AA119" s="66">
        <v>2</v>
      </c>
      <c r="AB119" s="67">
        <v>2545.1999999999998</v>
      </c>
      <c r="AC119" s="66">
        <v>0</v>
      </c>
      <c r="AD119" s="67">
        <v>0</v>
      </c>
      <c r="AE119" s="66">
        <v>0</v>
      </c>
      <c r="AF119" s="67">
        <v>0</v>
      </c>
      <c r="AG119" s="66">
        <v>0</v>
      </c>
      <c r="AH119" s="67">
        <v>0</v>
      </c>
      <c r="AI119" s="66">
        <v>0</v>
      </c>
      <c r="AJ119" s="67">
        <v>0</v>
      </c>
      <c r="AK119" s="66">
        <v>0</v>
      </c>
      <c r="AL119" s="67">
        <v>0</v>
      </c>
      <c r="AM119" s="66">
        <v>0</v>
      </c>
      <c r="AN119" s="67">
        <v>0</v>
      </c>
      <c r="AO119" s="66">
        <v>0</v>
      </c>
      <c r="AP119" s="67">
        <v>0</v>
      </c>
      <c r="AQ119" s="66">
        <v>0</v>
      </c>
      <c r="AR119" s="67">
        <v>0</v>
      </c>
    </row>
    <row r="120" spans="2:44" x14ac:dyDescent="0.3">
      <c r="B120" s="64" t="s">
        <v>213</v>
      </c>
      <c r="C120" s="64" t="s">
        <v>461</v>
      </c>
      <c r="D120" s="64" t="s">
        <v>462</v>
      </c>
      <c r="E120" s="64" t="s">
        <v>437</v>
      </c>
      <c r="F120" s="65">
        <v>15907.5</v>
      </c>
      <c r="G120" s="66">
        <v>0</v>
      </c>
      <c r="H120" s="67">
        <v>0</v>
      </c>
      <c r="I120" s="66">
        <v>0</v>
      </c>
      <c r="J120" s="67">
        <v>0</v>
      </c>
      <c r="K120" s="66">
        <v>0</v>
      </c>
      <c r="L120" s="67">
        <v>0</v>
      </c>
      <c r="M120" s="66">
        <v>0</v>
      </c>
      <c r="N120" s="67">
        <v>0</v>
      </c>
      <c r="O120" s="66">
        <v>0</v>
      </c>
      <c r="P120" s="67">
        <v>0</v>
      </c>
      <c r="Q120" s="66">
        <v>0</v>
      </c>
      <c r="R120" s="67">
        <f t="shared" si="6"/>
        <v>0</v>
      </c>
      <c r="S120" s="66">
        <v>0</v>
      </c>
      <c r="T120" s="67">
        <v>0</v>
      </c>
      <c r="U120" s="66">
        <v>0</v>
      </c>
      <c r="V120" s="67">
        <f t="shared" si="7"/>
        <v>0</v>
      </c>
      <c r="W120" s="66">
        <v>0</v>
      </c>
      <c r="X120" s="67">
        <v>0</v>
      </c>
      <c r="Y120" s="66">
        <v>0</v>
      </c>
      <c r="Z120" s="67">
        <v>0</v>
      </c>
      <c r="AA120" s="66">
        <v>2</v>
      </c>
      <c r="AB120" s="67">
        <v>31815</v>
      </c>
      <c r="AC120" s="66">
        <v>0</v>
      </c>
      <c r="AD120" s="67">
        <v>0</v>
      </c>
      <c r="AE120" s="66">
        <v>0</v>
      </c>
      <c r="AF120" s="67">
        <v>0</v>
      </c>
      <c r="AG120" s="66">
        <v>0</v>
      </c>
      <c r="AH120" s="67">
        <v>0</v>
      </c>
      <c r="AI120" s="66">
        <v>0</v>
      </c>
      <c r="AJ120" s="67">
        <v>0</v>
      </c>
      <c r="AK120" s="66">
        <v>0</v>
      </c>
      <c r="AL120" s="67">
        <v>0</v>
      </c>
      <c r="AM120" s="66">
        <v>0</v>
      </c>
      <c r="AN120" s="67">
        <v>0</v>
      </c>
      <c r="AO120" s="66">
        <v>0</v>
      </c>
      <c r="AP120" s="67">
        <v>0</v>
      </c>
      <c r="AQ120" s="66">
        <v>0</v>
      </c>
      <c r="AR120" s="67">
        <v>0</v>
      </c>
    </row>
    <row r="121" spans="2:44" x14ac:dyDescent="0.3">
      <c r="B121" s="64" t="s">
        <v>213</v>
      </c>
      <c r="C121" s="64" t="s">
        <v>463</v>
      </c>
      <c r="D121" s="64" t="s">
        <v>464</v>
      </c>
      <c r="E121" s="64" t="s">
        <v>465</v>
      </c>
      <c r="F121" s="65">
        <v>0.42420000000000002</v>
      </c>
      <c r="G121" s="66">
        <v>11936</v>
      </c>
      <c r="H121" s="67">
        <v>5063.2511999999997</v>
      </c>
      <c r="I121" s="66">
        <v>0</v>
      </c>
      <c r="J121" s="67">
        <v>0</v>
      </c>
      <c r="K121" s="66">
        <v>0</v>
      </c>
      <c r="L121" s="67">
        <v>0</v>
      </c>
      <c r="M121" s="66">
        <v>0</v>
      </c>
      <c r="N121" s="67">
        <v>0</v>
      </c>
      <c r="O121" s="66">
        <v>0</v>
      </c>
      <c r="P121" s="67">
        <v>0</v>
      </c>
      <c r="Q121" s="66">
        <v>65452</v>
      </c>
      <c r="R121" s="67">
        <f t="shared" si="6"/>
        <v>27764.738400000002</v>
      </c>
      <c r="S121" s="66">
        <v>45060</v>
      </c>
      <c r="T121" s="67">
        <v>19114.452000000001</v>
      </c>
      <c r="U121" s="66">
        <v>73230</v>
      </c>
      <c r="V121" s="67">
        <f t="shared" si="7"/>
        <v>31064.166000000001</v>
      </c>
      <c r="W121" s="66">
        <v>7947.35</v>
      </c>
      <c r="X121" s="67">
        <v>3371.2658700000002</v>
      </c>
      <c r="Y121" s="66">
        <v>112045.66</v>
      </c>
      <c r="Z121" s="67">
        <v>47529.768971999998</v>
      </c>
      <c r="AA121" s="66">
        <v>0</v>
      </c>
      <c r="AB121" s="67">
        <v>0</v>
      </c>
      <c r="AC121" s="66">
        <v>0</v>
      </c>
      <c r="AD121" s="67">
        <v>0</v>
      </c>
      <c r="AE121" s="66">
        <v>0</v>
      </c>
      <c r="AF121" s="67">
        <v>0</v>
      </c>
      <c r="AG121" s="66">
        <v>4514.62</v>
      </c>
      <c r="AH121" s="67">
        <v>1915.1018039999999</v>
      </c>
      <c r="AI121" s="66">
        <v>160125</v>
      </c>
      <c r="AJ121" s="67">
        <v>67925.024999999994</v>
      </c>
      <c r="AK121" s="66">
        <v>0</v>
      </c>
      <c r="AL121" s="67">
        <v>0</v>
      </c>
      <c r="AM121" s="66">
        <v>20456</v>
      </c>
      <c r="AN121" s="67">
        <v>8677.4351999999999</v>
      </c>
      <c r="AO121" s="66">
        <v>30279</v>
      </c>
      <c r="AP121" s="67">
        <v>12844.3518</v>
      </c>
      <c r="AQ121" s="66">
        <v>0</v>
      </c>
      <c r="AR121" s="67">
        <v>0</v>
      </c>
    </row>
    <row r="122" spans="2:44" x14ac:dyDescent="0.3">
      <c r="B122" s="64" t="s">
        <v>213</v>
      </c>
      <c r="C122" s="64" t="s">
        <v>466</v>
      </c>
      <c r="D122" s="64" t="s">
        <v>467</v>
      </c>
      <c r="E122" s="64" t="s">
        <v>468</v>
      </c>
      <c r="F122" s="65">
        <v>212.1</v>
      </c>
      <c r="G122" s="66">
        <v>10</v>
      </c>
      <c r="H122" s="67">
        <v>2121</v>
      </c>
      <c r="I122" s="66">
        <v>0</v>
      </c>
      <c r="J122" s="67">
        <v>0</v>
      </c>
      <c r="K122" s="66">
        <v>9</v>
      </c>
      <c r="L122" s="67">
        <v>1908.9</v>
      </c>
      <c r="M122" s="66">
        <v>0</v>
      </c>
      <c r="N122" s="67">
        <v>0</v>
      </c>
      <c r="O122" s="66">
        <v>0</v>
      </c>
      <c r="P122" s="67">
        <v>0</v>
      </c>
      <c r="Q122" s="66">
        <v>0</v>
      </c>
      <c r="R122" s="67">
        <f t="shared" si="6"/>
        <v>0</v>
      </c>
      <c r="S122" s="66">
        <v>2</v>
      </c>
      <c r="T122" s="67">
        <v>424.2</v>
      </c>
      <c r="U122" s="66">
        <v>5</v>
      </c>
      <c r="V122" s="67">
        <f t="shared" si="7"/>
        <v>1060.5</v>
      </c>
      <c r="W122" s="66">
        <v>0</v>
      </c>
      <c r="X122" s="67">
        <v>0</v>
      </c>
      <c r="Y122" s="66">
        <v>1</v>
      </c>
      <c r="Z122" s="67">
        <v>212.1</v>
      </c>
      <c r="AA122" s="66">
        <v>1</v>
      </c>
      <c r="AB122" s="67">
        <v>212.1</v>
      </c>
      <c r="AC122" s="66">
        <v>0</v>
      </c>
      <c r="AD122" s="67">
        <v>0</v>
      </c>
      <c r="AE122" s="66">
        <v>0</v>
      </c>
      <c r="AF122" s="67">
        <v>0</v>
      </c>
      <c r="AG122" s="66">
        <v>2</v>
      </c>
      <c r="AH122" s="67">
        <v>424.2</v>
      </c>
      <c r="AI122" s="66">
        <v>0</v>
      </c>
      <c r="AJ122" s="67">
        <v>0</v>
      </c>
      <c r="AK122" s="66">
        <v>0</v>
      </c>
      <c r="AL122" s="67">
        <v>0</v>
      </c>
      <c r="AM122" s="66">
        <v>10</v>
      </c>
      <c r="AN122" s="67">
        <v>2121</v>
      </c>
      <c r="AO122" s="66">
        <v>4</v>
      </c>
      <c r="AP122" s="67">
        <v>848.4</v>
      </c>
      <c r="AQ122" s="66">
        <v>0</v>
      </c>
      <c r="AR122" s="67">
        <v>0</v>
      </c>
    </row>
    <row r="123" spans="2:44" x14ac:dyDescent="0.3">
      <c r="B123" s="64" t="s">
        <v>213</v>
      </c>
      <c r="C123" s="64" t="s">
        <v>469</v>
      </c>
      <c r="D123" s="64" t="s">
        <v>470</v>
      </c>
      <c r="E123" s="64" t="s">
        <v>471</v>
      </c>
      <c r="F123" s="65">
        <v>21.21</v>
      </c>
      <c r="G123" s="66">
        <v>97</v>
      </c>
      <c r="H123" s="67">
        <v>2057.37</v>
      </c>
      <c r="I123" s="66">
        <v>0</v>
      </c>
      <c r="J123" s="67">
        <v>0</v>
      </c>
      <c r="K123" s="66">
        <v>0</v>
      </c>
      <c r="L123" s="67">
        <v>0</v>
      </c>
      <c r="M123" s="66">
        <v>0</v>
      </c>
      <c r="N123" s="67">
        <v>0</v>
      </c>
      <c r="O123" s="66">
        <v>0</v>
      </c>
      <c r="P123" s="67">
        <v>0</v>
      </c>
      <c r="Q123" s="66">
        <v>0</v>
      </c>
      <c r="R123" s="67">
        <f t="shared" si="6"/>
        <v>0</v>
      </c>
      <c r="S123" s="66">
        <v>533</v>
      </c>
      <c r="T123" s="67">
        <v>11304.93</v>
      </c>
      <c r="U123" s="66">
        <v>818</v>
      </c>
      <c r="V123" s="67">
        <f t="shared" si="7"/>
        <v>17349.780000000002</v>
      </c>
      <c r="W123" s="66">
        <v>30</v>
      </c>
      <c r="X123" s="67">
        <v>636.29999999999995</v>
      </c>
      <c r="Y123" s="66">
        <v>1879</v>
      </c>
      <c r="Z123" s="67">
        <v>39853.589999999997</v>
      </c>
      <c r="AA123" s="66">
        <v>0</v>
      </c>
      <c r="AB123" s="67">
        <v>0</v>
      </c>
      <c r="AC123" s="66">
        <v>0</v>
      </c>
      <c r="AD123" s="67">
        <v>0</v>
      </c>
      <c r="AE123" s="66">
        <v>0</v>
      </c>
      <c r="AF123" s="67">
        <v>0</v>
      </c>
      <c r="AG123" s="66">
        <v>97</v>
      </c>
      <c r="AH123" s="67">
        <v>2057.37</v>
      </c>
      <c r="AI123" s="66">
        <v>1234</v>
      </c>
      <c r="AJ123" s="67">
        <v>26173.14</v>
      </c>
      <c r="AK123" s="66">
        <v>0</v>
      </c>
      <c r="AL123" s="67">
        <v>0</v>
      </c>
      <c r="AM123" s="66">
        <v>68</v>
      </c>
      <c r="AN123" s="67">
        <v>1442.28</v>
      </c>
      <c r="AO123" s="66">
        <v>0</v>
      </c>
      <c r="AP123" s="67">
        <v>0</v>
      </c>
      <c r="AQ123" s="66">
        <v>0</v>
      </c>
      <c r="AR123" s="67">
        <v>0</v>
      </c>
    </row>
    <row r="124" spans="2:44" x14ac:dyDescent="0.3">
      <c r="B124" s="64" t="s">
        <v>213</v>
      </c>
      <c r="C124" s="64" t="s">
        <v>332</v>
      </c>
      <c r="D124" s="64" t="s">
        <v>472</v>
      </c>
      <c r="E124" s="64" t="s">
        <v>473</v>
      </c>
      <c r="F124" s="65">
        <v>424.2</v>
      </c>
      <c r="G124" s="66">
        <v>0</v>
      </c>
      <c r="H124" s="67">
        <v>0</v>
      </c>
      <c r="I124" s="66">
        <v>0</v>
      </c>
      <c r="J124" s="67">
        <v>0</v>
      </c>
      <c r="K124" s="66">
        <v>0</v>
      </c>
      <c r="L124" s="67">
        <v>0</v>
      </c>
      <c r="M124" s="66">
        <v>0</v>
      </c>
      <c r="N124" s="67">
        <v>0</v>
      </c>
      <c r="O124" s="66">
        <v>0</v>
      </c>
      <c r="P124" s="67">
        <v>0</v>
      </c>
      <c r="Q124" s="66">
        <v>0</v>
      </c>
      <c r="R124" s="67">
        <f t="shared" si="6"/>
        <v>0</v>
      </c>
      <c r="S124" s="66">
        <v>6</v>
      </c>
      <c r="T124" s="67">
        <v>2545.1999999999998</v>
      </c>
      <c r="U124" s="66">
        <v>0</v>
      </c>
      <c r="V124" s="67">
        <f t="shared" si="7"/>
        <v>0</v>
      </c>
      <c r="W124" s="66">
        <v>0</v>
      </c>
      <c r="X124" s="67">
        <v>0</v>
      </c>
      <c r="Y124" s="66">
        <v>0</v>
      </c>
      <c r="Z124" s="67">
        <v>0</v>
      </c>
      <c r="AA124" s="66">
        <v>0</v>
      </c>
      <c r="AB124" s="67">
        <v>0</v>
      </c>
      <c r="AC124" s="66">
        <v>0</v>
      </c>
      <c r="AD124" s="67">
        <v>0</v>
      </c>
      <c r="AE124" s="66">
        <v>0</v>
      </c>
      <c r="AF124" s="67">
        <v>0</v>
      </c>
      <c r="AG124" s="66">
        <v>0</v>
      </c>
      <c r="AH124" s="67">
        <v>0</v>
      </c>
      <c r="AI124" s="66">
        <v>0</v>
      </c>
      <c r="AJ124" s="67">
        <v>0</v>
      </c>
      <c r="AK124" s="66">
        <v>0</v>
      </c>
      <c r="AL124" s="67">
        <v>0</v>
      </c>
      <c r="AM124" s="66">
        <v>0</v>
      </c>
      <c r="AN124" s="67">
        <v>0</v>
      </c>
      <c r="AO124" s="66">
        <v>0</v>
      </c>
      <c r="AP124" s="67">
        <v>0</v>
      </c>
      <c r="AQ124" s="66">
        <v>0</v>
      </c>
      <c r="AR124" s="67">
        <v>0</v>
      </c>
    </row>
    <row r="125" spans="2:44" x14ac:dyDescent="0.3">
      <c r="B125" s="64" t="s">
        <v>213</v>
      </c>
      <c r="C125" s="64" t="s">
        <v>332</v>
      </c>
      <c r="D125" s="64" t="s">
        <v>474</v>
      </c>
      <c r="E125" s="64" t="s">
        <v>475</v>
      </c>
      <c r="F125" s="65">
        <v>127.26</v>
      </c>
      <c r="G125" s="66">
        <v>0</v>
      </c>
      <c r="H125" s="67">
        <v>0</v>
      </c>
      <c r="I125" s="66">
        <v>0</v>
      </c>
      <c r="J125" s="67">
        <v>0</v>
      </c>
      <c r="K125" s="66">
        <v>0</v>
      </c>
      <c r="L125" s="67">
        <v>0</v>
      </c>
      <c r="M125" s="66">
        <v>0</v>
      </c>
      <c r="N125" s="67">
        <v>0</v>
      </c>
      <c r="O125" s="66">
        <v>0</v>
      </c>
      <c r="P125" s="67">
        <v>0</v>
      </c>
      <c r="Q125" s="66">
        <v>0</v>
      </c>
      <c r="R125" s="67">
        <f t="shared" si="6"/>
        <v>0</v>
      </c>
      <c r="S125" s="66">
        <v>10</v>
      </c>
      <c r="T125" s="67">
        <v>1272.5999999999999</v>
      </c>
      <c r="U125" s="66">
        <v>0</v>
      </c>
      <c r="V125" s="67">
        <f t="shared" si="7"/>
        <v>0</v>
      </c>
      <c r="W125" s="66">
        <v>0</v>
      </c>
      <c r="X125" s="67">
        <v>0</v>
      </c>
      <c r="Y125" s="66">
        <v>0</v>
      </c>
      <c r="Z125" s="67">
        <v>0</v>
      </c>
      <c r="AA125" s="66">
        <v>0</v>
      </c>
      <c r="AB125" s="67">
        <v>0</v>
      </c>
      <c r="AC125" s="66">
        <v>0</v>
      </c>
      <c r="AD125" s="67">
        <v>0</v>
      </c>
      <c r="AE125" s="66">
        <v>0</v>
      </c>
      <c r="AF125" s="67">
        <v>0</v>
      </c>
      <c r="AG125" s="66">
        <v>0</v>
      </c>
      <c r="AH125" s="67">
        <v>0</v>
      </c>
      <c r="AI125" s="66">
        <v>14</v>
      </c>
      <c r="AJ125" s="67">
        <v>1781.64</v>
      </c>
      <c r="AK125" s="66">
        <v>0</v>
      </c>
      <c r="AL125" s="67">
        <v>0</v>
      </c>
      <c r="AM125" s="66">
        <v>0</v>
      </c>
      <c r="AN125" s="67">
        <v>0</v>
      </c>
      <c r="AO125" s="66">
        <v>0</v>
      </c>
      <c r="AP125" s="67">
        <v>0</v>
      </c>
      <c r="AQ125" s="66">
        <v>0</v>
      </c>
      <c r="AR125" s="67">
        <v>0</v>
      </c>
    </row>
    <row r="126" spans="2:44" x14ac:dyDescent="0.3">
      <c r="B126" s="64" t="s">
        <v>213</v>
      </c>
      <c r="C126" s="64" t="s">
        <v>332</v>
      </c>
      <c r="D126" s="64" t="s">
        <v>476</v>
      </c>
      <c r="E126" s="64" t="s">
        <v>477</v>
      </c>
      <c r="F126" s="65">
        <v>8.08</v>
      </c>
      <c r="G126" s="66">
        <v>98144</v>
      </c>
      <c r="H126" s="67">
        <v>793003.52000000002</v>
      </c>
      <c r="I126" s="66">
        <v>0</v>
      </c>
      <c r="J126" s="67">
        <v>0</v>
      </c>
      <c r="K126" s="66">
        <v>0</v>
      </c>
      <c r="L126" s="67">
        <v>0</v>
      </c>
      <c r="M126" s="66">
        <v>7050</v>
      </c>
      <c r="N126" s="67">
        <v>56964</v>
      </c>
      <c r="O126" s="66">
        <v>0</v>
      </c>
      <c r="P126" s="67">
        <v>0</v>
      </c>
      <c r="Q126" s="66">
        <v>0</v>
      </c>
      <c r="R126" s="67">
        <f t="shared" si="6"/>
        <v>0</v>
      </c>
      <c r="S126" s="66">
        <v>6164</v>
      </c>
      <c r="T126" s="67">
        <v>49805.120000000003</v>
      </c>
      <c r="U126" s="66">
        <v>75000</v>
      </c>
      <c r="V126" s="67">
        <f t="shared" si="7"/>
        <v>606000</v>
      </c>
      <c r="W126" s="66">
        <v>8200</v>
      </c>
      <c r="X126" s="67">
        <v>66256</v>
      </c>
      <c r="Y126" s="66">
        <v>12930.87</v>
      </c>
      <c r="Z126" s="67">
        <v>104481.4296</v>
      </c>
      <c r="AA126" s="66">
        <v>120000</v>
      </c>
      <c r="AB126" s="67">
        <v>969600</v>
      </c>
      <c r="AC126" s="66">
        <v>0</v>
      </c>
      <c r="AD126" s="67">
        <v>0</v>
      </c>
      <c r="AE126" s="66">
        <v>0</v>
      </c>
      <c r="AF126" s="67">
        <v>0</v>
      </c>
      <c r="AG126" s="66">
        <v>0</v>
      </c>
      <c r="AH126" s="67">
        <v>0</v>
      </c>
      <c r="AI126" s="66">
        <v>14945</v>
      </c>
      <c r="AJ126" s="67">
        <v>120755.6</v>
      </c>
      <c r="AK126" s="66">
        <v>0</v>
      </c>
      <c r="AL126" s="67">
        <v>0</v>
      </c>
      <c r="AM126" s="66">
        <v>0</v>
      </c>
      <c r="AN126" s="67">
        <v>0</v>
      </c>
      <c r="AO126" s="66">
        <v>0</v>
      </c>
      <c r="AP126" s="67">
        <v>0</v>
      </c>
      <c r="AQ126" s="66">
        <v>0</v>
      </c>
      <c r="AR126" s="67">
        <v>0</v>
      </c>
    </row>
    <row r="127" spans="2:44" x14ac:dyDescent="0.3">
      <c r="B127" s="64" t="s">
        <v>213</v>
      </c>
      <c r="C127" s="64" t="s">
        <v>332</v>
      </c>
      <c r="D127" s="64" t="s">
        <v>478</v>
      </c>
      <c r="E127" s="64" t="s">
        <v>477</v>
      </c>
      <c r="F127" s="65">
        <v>7.4740000000000002</v>
      </c>
      <c r="G127" s="66">
        <v>148288</v>
      </c>
      <c r="H127" s="67">
        <v>1108304.5120000001</v>
      </c>
      <c r="I127" s="66">
        <v>0</v>
      </c>
      <c r="J127" s="67">
        <v>0</v>
      </c>
      <c r="K127" s="66">
        <v>0</v>
      </c>
      <c r="L127" s="67">
        <v>0</v>
      </c>
      <c r="M127" s="66">
        <v>7050</v>
      </c>
      <c r="N127" s="67">
        <v>52691.7</v>
      </c>
      <c r="O127" s="66">
        <v>0</v>
      </c>
      <c r="P127" s="67">
        <v>0</v>
      </c>
      <c r="Q127" s="66">
        <v>0</v>
      </c>
      <c r="R127" s="67">
        <f t="shared" si="6"/>
        <v>0</v>
      </c>
      <c r="S127" s="66">
        <v>2581</v>
      </c>
      <c r="T127" s="67">
        <v>19290.394</v>
      </c>
      <c r="U127" s="66">
        <v>50000</v>
      </c>
      <c r="V127" s="67">
        <f t="shared" si="7"/>
        <v>373700</v>
      </c>
      <c r="W127" s="66">
        <v>20800</v>
      </c>
      <c r="X127" s="67">
        <v>155459.20000000001</v>
      </c>
      <c r="Y127" s="66">
        <v>6486.36</v>
      </c>
      <c r="Z127" s="67">
        <v>48479.054640000002</v>
      </c>
      <c r="AA127" s="66">
        <v>120000</v>
      </c>
      <c r="AB127" s="67">
        <v>896880</v>
      </c>
      <c r="AC127" s="66">
        <v>0</v>
      </c>
      <c r="AD127" s="67">
        <v>0</v>
      </c>
      <c r="AE127" s="66">
        <v>0</v>
      </c>
      <c r="AF127" s="67">
        <v>0</v>
      </c>
      <c r="AG127" s="66">
        <v>0</v>
      </c>
      <c r="AH127" s="67">
        <v>0</v>
      </c>
      <c r="AI127" s="66">
        <v>5140</v>
      </c>
      <c r="AJ127" s="67">
        <v>38416.36</v>
      </c>
      <c r="AK127" s="66">
        <v>0</v>
      </c>
      <c r="AL127" s="67">
        <v>0</v>
      </c>
      <c r="AM127" s="66">
        <v>0</v>
      </c>
      <c r="AN127" s="67">
        <v>0</v>
      </c>
      <c r="AO127" s="66">
        <v>0</v>
      </c>
      <c r="AP127" s="67">
        <v>0</v>
      </c>
      <c r="AQ127" s="66">
        <v>0</v>
      </c>
      <c r="AR127" s="67">
        <v>0</v>
      </c>
    </row>
    <row r="128" spans="2:44" x14ac:dyDescent="0.3">
      <c r="B128" s="64" t="s">
        <v>479</v>
      </c>
      <c r="C128" s="64" t="s">
        <v>480</v>
      </c>
      <c r="D128" s="64" t="s">
        <v>481</v>
      </c>
      <c r="E128" s="64" t="s">
        <v>482</v>
      </c>
      <c r="F128" s="65" t="s">
        <v>21</v>
      </c>
      <c r="G128" s="66">
        <v>0</v>
      </c>
      <c r="H128" s="67"/>
      <c r="I128" s="66">
        <v>0</v>
      </c>
      <c r="J128" s="67">
        <v>0</v>
      </c>
      <c r="K128" s="66">
        <v>0</v>
      </c>
      <c r="L128" s="67"/>
      <c r="M128" s="66">
        <v>3000</v>
      </c>
      <c r="N128" s="67">
        <v>3000</v>
      </c>
      <c r="O128" s="66">
        <v>0</v>
      </c>
      <c r="P128" s="67">
        <v>0</v>
      </c>
      <c r="Q128" s="66">
        <v>14325</v>
      </c>
      <c r="R128" s="67">
        <f>Q128</f>
        <v>14325</v>
      </c>
      <c r="S128" s="66">
        <v>0</v>
      </c>
      <c r="T128" s="67"/>
      <c r="U128" s="66">
        <v>0</v>
      </c>
      <c r="V128" s="67"/>
      <c r="W128" s="66">
        <v>0</v>
      </c>
      <c r="X128" s="67"/>
      <c r="Y128" s="66">
        <v>20000</v>
      </c>
      <c r="Z128" s="67">
        <v>20000</v>
      </c>
      <c r="AA128" s="66">
        <v>0</v>
      </c>
      <c r="AB128" s="67"/>
      <c r="AC128" s="66">
        <v>5500</v>
      </c>
      <c r="AD128" s="67">
        <v>5500</v>
      </c>
      <c r="AE128" s="66">
        <v>0</v>
      </c>
      <c r="AF128" s="67"/>
      <c r="AG128" s="66">
        <v>15</v>
      </c>
      <c r="AH128" s="67">
        <v>15</v>
      </c>
      <c r="AI128" s="66">
        <v>17000</v>
      </c>
      <c r="AJ128" s="67">
        <v>17000</v>
      </c>
      <c r="AK128" s="66">
        <v>0</v>
      </c>
      <c r="AL128" s="67"/>
      <c r="AM128" s="66">
        <v>0</v>
      </c>
      <c r="AN128" s="67"/>
      <c r="AO128" s="66">
        <v>6900</v>
      </c>
      <c r="AP128" s="67">
        <v>6900</v>
      </c>
      <c r="AQ128" s="66">
        <v>20000</v>
      </c>
      <c r="AR128" s="67">
        <v>20000</v>
      </c>
    </row>
    <row r="129" spans="2:44" x14ac:dyDescent="0.3">
      <c r="B129" s="64" t="s">
        <v>483</v>
      </c>
      <c r="C129" s="64" t="s">
        <v>332</v>
      </c>
      <c r="D129" s="64" t="s">
        <v>484</v>
      </c>
      <c r="E129" s="64" t="s">
        <v>485</v>
      </c>
      <c r="F129" s="68">
        <v>0.05</v>
      </c>
      <c r="G129" s="66"/>
      <c r="H129" s="67">
        <v>224562.49297389999</v>
      </c>
      <c r="I129" s="66"/>
      <c r="J129" s="67">
        <v>102703.6781</v>
      </c>
      <c r="K129" s="66"/>
      <c r="L129" s="67">
        <v>121306.08448</v>
      </c>
      <c r="M129" s="66"/>
      <c r="N129" s="67">
        <v>46914.952469999997</v>
      </c>
      <c r="O129" s="66"/>
      <c r="P129" s="67">
        <v>195648.77003499999</v>
      </c>
      <c r="Q129" s="66"/>
      <c r="R129" s="67">
        <f>F129*(SUM(R5:R128))</f>
        <v>108652.61605402004</v>
      </c>
      <c r="S129" s="66"/>
      <c r="T129" s="67">
        <v>185413.698195</v>
      </c>
      <c r="U129" s="66"/>
      <c r="V129" s="67">
        <f>F129*(SUM(V5:V128))</f>
        <v>186114.56900500006</v>
      </c>
      <c r="W129" s="66"/>
      <c r="X129" s="67">
        <v>26919.548253100002</v>
      </c>
      <c r="Y129" s="66"/>
      <c r="Z129" s="67">
        <v>283673.27930889197</v>
      </c>
      <c r="AA129" s="66"/>
      <c r="AB129" s="67">
        <v>243148.75519</v>
      </c>
      <c r="AC129" s="66"/>
      <c r="AD129" s="67">
        <v>16719.986533493</v>
      </c>
      <c r="AE129" s="66"/>
      <c r="AF129" s="67">
        <v>1106089.88683003</v>
      </c>
      <c r="AG129" s="66"/>
      <c r="AH129" s="67">
        <v>84520.806957099994</v>
      </c>
      <c r="AI129" s="66"/>
      <c r="AJ129" s="67">
        <v>164390.35189875</v>
      </c>
      <c r="AK129" s="66"/>
      <c r="AL129" s="67">
        <v>12277.499400000001</v>
      </c>
      <c r="AM129" s="66"/>
      <c r="AN129" s="67">
        <v>19193.5725599</v>
      </c>
      <c r="AO129" s="66"/>
      <c r="AP129" s="67">
        <v>219082.70690678601</v>
      </c>
      <c r="AQ129" s="66"/>
      <c r="AR129" s="67">
        <v>93416.556910300002</v>
      </c>
    </row>
    <row r="130" spans="2:44" x14ac:dyDescent="0.3">
      <c r="B130" s="64" t="s">
        <v>483</v>
      </c>
      <c r="C130" s="64" t="s">
        <v>332</v>
      </c>
      <c r="D130" s="64" t="s">
        <v>486</v>
      </c>
      <c r="E130" s="64" t="s">
        <v>487</v>
      </c>
      <c r="F130" s="65">
        <v>0.1111</v>
      </c>
      <c r="G130" s="66">
        <v>0</v>
      </c>
      <c r="H130" s="67">
        <v>0</v>
      </c>
      <c r="I130" s="66">
        <v>0</v>
      </c>
      <c r="J130" s="67">
        <v>0</v>
      </c>
      <c r="K130" s="66">
        <v>106262</v>
      </c>
      <c r="L130" s="67">
        <v>11805.708199999999</v>
      </c>
      <c r="M130" s="66">
        <v>0</v>
      </c>
      <c r="N130" s="67">
        <v>0</v>
      </c>
      <c r="O130" s="66">
        <v>0</v>
      </c>
      <c r="P130" s="67">
        <v>0</v>
      </c>
      <c r="Q130" s="66">
        <v>0</v>
      </c>
      <c r="R130" s="67">
        <f t="shared" ref="R130:R138" si="8">Q130*F130</f>
        <v>0</v>
      </c>
      <c r="S130" s="66">
        <v>0</v>
      </c>
      <c r="T130" s="67">
        <v>0</v>
      </c>
      <c r="U130" s="66">
        <v>0</v>
      </c>
      <c r="V130" s="67">
        <f t="shared" ref="V130:V138" si="9">U130*F130</f>
        <v>0</v>
      </c>
      <c r="W130" s="66">
        <v>0</v>
      </c>
      <c r="X130" s="67">
        <v>0</v>
      </c>
      <c r="Y130" s="66">
        <v>238828.9</v>
      </c>
      <c r="Z130" s="67">
        <v>26533.890790000001</v>
      </c>
      <c r="AA130" s="66">
        <v>0</v>
      </c>
      <c r="AB130" s="67">
        <v>0</v>
      </c>
      <c r="AC130" s="66">
        <v>38874.6</v>
      </c>
      <c r="AD130" s="67">
        <v>4318.9680600000002</v>
      </c>
      <c r="AE130" s="66">
        <v>0</v>
      </c>
      <c r="AF130" s="67">
        <v>0</v>
      </c>
      <c r="AG130" s="66">
        <v>86148.46</v>
      </c>
      <c r="AH130" s="67">
        <v>9571.0939060000001</v>
      </c>
      <c r="AI130" s="66">
        <v>0</v>
      </c>
      <c r="AJ130" s="67">
        <v>0</v>
      </c>
      <c r="AK130" s="66">
        <v>19731</v>
      </c>
      <c r="AL130" s="67">
        <v>2192.1140999999998</v>
      </c>
      <c r="AM130" s="66">
        <v>0</v>
      </c>
      <c r="AN130" s="67">
        <v>0</v>
      </c>
      <c r="AO130" s="66">
        <v>0</v>
      </c>
      <c r="AP130" s="67">
        <v>0</v>
      </c>
      <c r="AQ130" s="66">
        <v>0</v>
      </c>
      <c r="AR130" s="67">
        <v>0</v>
      </c>
    </row>
    <row r="131" spans="2:44" x14ac:dyDescent="0.3">
      <c r="B131" s="64" t="s">
        <v>483</v>
      </c>
      <c r="C131" s="64" t="s">
        <v>332</v>
      </c>
      <c r="D131" s="64" t="s">
        <v>488</v>
      </c>
      <c r="E131" s="64" t="s">
        <v>487</v>
      </c>
      <c r="F131" s="65">
        <v>0.10100000000000001</v>
      </c>
      <c r="G131" s="66">
        <v>0</v>
      </c>
      <c r="H131" s="67">
        <v>0</v>
      </c>
      <c r="I131" s="66">
        <v>0</v>
      </c>
      <c r="J131" s="67">
        <v>0</v>
      </c>
      <c r="K131" s="66">
        <v>106262</v>
      </c>
      <c r="L131" s="67">
        <v>10732.462</v>
      </c>
      <c r="M131" s="66">
        <v>0</v>
      </c>
      <c r="N131" s="67">
        <v>0</v>
      </c>
      <c r="O131" s="66">
        <v>0</v>
      </c>
      <c r="P131" s="67">
        <v>0</v>
      </c>
      <c r="Q131" s="66">
        <v>0</v>
      </c>
      <c r="R131" s="67">
        <f t="shared" si="8"/>
        <v>0</v>
      </c>
      <c r="S131" s="66">
        <v>0</v>
      </c>
      <c r="T131" s="67">
        <v>0</v>
      </c>
      <c r="U131" s="66">
        <v>167584</v>
      </c>
      <c r="V131" s="67">
        <f t="shared" si="9"/>
        <v>16925.984</v>
      </c>
      <c r="W131" s="66">
        <v>0</v>
      </c>
      <c r="X131" s="67">
        <v>0</v>
      </c>
      <c r="Y131" s="66">
        <v>238828.9</v>
      </c>
      <c r="Z131" s="67">
        <v>24121.7189</v>
      </c>
      <c r="AA131" s="66">
        <v>0</v>
      </c>
      <c r="AB131" s="67">
        <v>0</v>
      </c>
      <c r="AC131" s="66">
        <v>38874.6</v>
      </c>
      <c r="AD131" s="67">
        <v>3926.3346000000001</v>
      </c>
      <c r="AE131" s="66">
        <v>0</v>
      </c>
      <c r="AF131" s="67">
        <v>0</v>
      </c>
      <c r="AG131" s="66">
        <v>86148.46</v>
      </c>
      <c r="AH131" s="67">
        <v>8700.9944599999999</v>
      </c>
      <c r="AI131" s="66">
        <v>155782</v>
      </c>
      <c r="AJ131" s="67">
        <v>15733.982</v>
      </c>
      <c r="AK131" s="66">
        <v>19731</v>
      </c>
      <c r="AL131" s="67">
        <v>1992.8309999999999</v>
      </c>
      <c r="AM131" s="66">
        <v>37475.26</v>
      </c>
      <c r="AN131" s="67">
        <v>3785.00126</v>
      </c>
      <c r="AO131" s="66">
        <v>0</v>
      </c>
      <c r="AP131" s="67">
        <v>0</v>
      </c>
      <c r="AQ131" s="66">
        <v>0</v>
      </c>
      <c r="AR131" s="67">
        <v>0</v>
      </c>
    </row>
    <row r="132" spans="2:44" x14ac:dyDescent="0.3">
      <c r="B132" s="64" t="s">
        <v>483</v>
      </c>
      <c r="C132" s="64" t="s">
        <v>332</v>
      </c>
      <c r="D132" s="64" t="s">
        <v>489</v>
      </c>
      <c r="E132" s="64" t="s">
        <v>487</v>
      </c>
      <c r="F132" s="65">
        <v>6.0600000000000001E-2</v>
      </c>
      <c r="G132" s="66">
        <v>0</v>
      </c>
      <c r="H132" s="67">
        <v>0</v>
      </c>
      <c r="I132" s="66">
        <v>0</v>
      </c>
      <c r="J132" s="67">
        <v>0</v>
      </c>
      <c r="K132" s="66">
        <v>106262</v>
      </c>
      <c r="L132" s="67">
        <v>6439.4772000000003</v>
      </c>
      <c r="M132" s="66">
        <v>0</v>
      </c>
      <c r="N132" s="67">
        <v>0</v>
      </c>
      <c r="O132" s="66">
        <v>22261</v>
      </c>
      <c r="P132" s="67">
        <v>1349.0165999999999</v>
      </c>
      <c r="Q132" s="66">
        <v>0</v>
      </c>
      <c r="R132" s="67">
        <f t="shared" si="8"/>
        <v>0</v>
      </c>
      <c r="S132" s="66">
        <v>0</v>
      </c>
      <c r="T132" s="67">
        <v>0</v>
      </c>
      <c r="U132" s="66">
        <v>0</v>
      </c>
      <c r="V132" s="67">
        <f t="shared" si="9"/>
        <v>0</v>
      </c>
      <c r="W132" s="66">
        <v>0</v>
      </c>
      <c r="X132" s="67">
        <v>0</v>
      </c>
      <c r="Y132" s="66">
        <v>238828.9</v>
      </c>
      <c r="Z132" s="67">
        <v>14473.03134</v>
      </c>
      <c r="AA132" s="66">
        <v>0</v>
      </c>
      <c r="AB132" s="67">
        <v>0</v>
      </c>
      <c r="AC132" s="66">
        <v>38874.6</v>
      </c>
      <c r="AD132" s="67">
        <v>2355.8007600000001</v>
      </c>
      <c r="AE132" s="66">
        <v>0</v>
      </c>
      <c r="AF132" s="67">
        <v>0</v>
      </c>
      <c r="AG132" s="66">
        <v>86148.46</v>
      </c>
      <c r="AH132" s="67">
        <v>5220.5966760000001</v>
      </c>
      <c r="AI132" s="66">
        <v>0</v>
      </c>
      <c r="AJ132" s="67">
        <v>0</v>
      </c>
      <c r="AK132" s="66">
        <v>19731</v>
      </c>
      <c r="AL132" s="67">
        <v>1195.6985999999999</v>
      </c>
      <c r="AM132" s="66">
        <v>0</v>
      </c>
      <c r="AN132" s="67">
        <v>0</v>
      </c>
      <c r="AO132" s="66">
        <v>0</v>
      </c>
      <c r="AP132" s="67">
        <v>0</v>
      </c>
      <c r="AQ132" s="66">
        <v>0</v>
      </c>
      <c r="AR132" s="67">
        <v>0</v>
      </c>
    </row>
    <row r="133" spans="2:44" x14ac:dyDescent="0.3">
      <c r="B133" s="64" t="s">
        <v>483</v>
      </c>
      <c r="C133" s="64" t="s">
        <v>332</v>
      </c>
      <c r="D133" s="64" t="s">
        <v>490</v>
      </c>
      <c r="E133" s="64" t="s">
        <v>487</v>
      </c>
      <c r="F133" s="65">
        <v>5.0500000000000003E-2</v>
      </c>
      <c r="G133" s="66">
        <v>0</v>
      </c>
      <c r="H133" s="67">
        <v>0</v>
      </c>
      <c r="I133" s="66">
        <v>0</v>
      </c>
      <c r="J133" s="67">
        <v>0</v>
      </c>
      <c r="K133" s="66">
        <v>106262</v>
      </c>
      <c r="L133" s="67">
        <v>5366.2309999999998</v>
      </c>
      <c r="M133" s="66">
        <v>0</v>
      </c>
      <c r="N133" s="67">
        <v>0</v>
      </c>
      <c r="O133" s="66">
        <v>0</v>
      </c>
      <c r="P133" s="67">
        <v>0</v>
      </c>
      <c r="Q133" s="66">
        <v>0</v>
      </c>
      <c r="R133" s="67">
        <f t="shared" si="8"/>
        <v>0</v>
      </c>
      <c r="S133" s="66">
        <v>0</v>
      </c>
      <c r="T133" s="67">
        <v>0</v>
      </c>
      <c r="U133" s="66">
        <v>0</v>
      </c>
      <c r="V133" s="67">
        <f t="shared" si="9"/>
        <v>0</v>
      </c>
      <c r="W133" s="66">
        <v>0</v>
      </c>
      <c r="X133" s="67">
        <v>0</v>
      </c>
      <c r="Y133" s="66">
        <v>238828.9</v>
      </c>
      <c r="Z133" s="67">
        <v>12060.85945</v>
      </c>
      <c r="AA133" s="66">
        <v>0</v>
      </c>
      <c r="AB133" s="67">
        <v>0</v>
      </c>
      <c r="AC133" s="66">
        <v>38874.6</v>
      </c>
      <c r="AD133" s="67">
        <v>1963.1673000000001</v>
      </c>
      <c r="AE133" s="66">
        <v>0</v>
      </c>
      <c r="AF133" s="67">
        <v>0</v>
      </c>
      <c r="AG133" s="66">
        <v>86148.46</v>
      </c>
      <c r="AH133" s="67">
        <v>4350.4972299999999</v>
      </c>
      <c r="AI133" s="66">
        <v>0</v>
      </c>
      <c r="AJ133" s="67">
        <v>0</v>
      </c>
      <c r="AK133" s="66">
        <v>19731</v>
      </c>
      <c r="AL133" s="67">
        <v>996.41549999999995</v>
      </c>
      <c r="AM133" s="66">
        <v>35611.26</v>
      </c>
      <c r="AN133" s="67">
        <v>1798.3686299999999</v>
      </c>
      <c r="AO133" s="66">
        <v>0</v>
      </c>
      <c r="AP133" s="67">
        <v>0</v>
      </c>
      <c r="AQ133" s="66">
        <v>0</v>
      </c>
      <c r="AR133" s="67">
        <v>0</v>
      </c>
    </row>
    <row r="134" spans="2:44" x14ac:dyDescent="0.3">
      <c r="B134" s="69" t="s">
        <v>491</v>
      </c>
      <c r="C134" s="64" t="s">
        <v>492</v>
      </c>
      <c r="D134" s="64" t="s">
        <v>493</v>
      </c>
      <c r="E134" s="64" t="s">
        <v>305</v>
      </c>
      <c r="F134" s="70">
        <v>116.655</v>
      </c>
      <c r="G134" s="66"/>
      <c r="H134" s="67">
        <v>0</v>
      </c>
      <c r="I134" s="66"/>
      <c r="J134" s="67">
        <v>0</v>
      </c>
      <c r="K134" s="66"/>
      <c r="L134" s="67">
        <v>0</v>
      </c>
      <c r="M134" s="66"/>
      <c r="N134" s="67">
        <v>0</v>
      </c>
      <c r="O134" s="66"/>
      <c r="P134" s="67">
        <v>0</v>
      </c>
      <c r="Q134" s="66"/>
      <c r="R134" s="67">
        <f t="shared" si="8"/>
        <v>0</v>
      </c>
      <c r="S134" s="66"/>
      <c r="T134" s="67">
        <v>0</v>
      </c>
      <c r="U134" s="66"/>
      <c r="V134" s="67">
        <f t="shared" si="9"/>
        <v>0</v>
      </c>
      <c r="W134" s="66"/>
      <c r="X134" s="67">
        <v>0</v>
      </c>
      <c r="Y134" s="66"/>
      <c r="Z134" s="67">
        <v>0</v>
      </c>
      <c r="AA134" s="66"/>
      <c r="AB134" s="67">
        <v>0</v>
      </c>
      <c r="AC134" s="66"/>
      <c r="AD134" s="67">
        <v>0</v>
      </c>
      <c r="AE134" s="66"/>
      <c r="AF134" s="67">
        <v>0</v>
      </c>
      <c r="AG134" s="66"/>
      <c r="AH134" s="67">
        <v>0</v>
      </c>
      <c r="AI134" s="66"/>
      <c r="AJ134" s="67">
        <v>0</v>
      </c>
      <c r="AK134" s="66"/>
      <c r="AL134" s="67">
        <v>0</v>
      </c>
      <c r="AM134" s="66"/>
      <c r="AN134" s="67">
        <v>0</v>
      </c>
      <c r="AO134" s="66"/>
      <c r="AP134" s="67">
        <v>0</v>
      </c>
      <c r="AQ134" s="66"/>
      <c r="AR134" s="67">
        <v>0</v>
      </c>
    </row>
    <row r="135" spans="2:44" x14ac:dyDescent="0.3">
      <c r="B135" s="69" t="s">
        <v>491</v>
      </c>
      <c r="C135" s="64" t="s">
        <v>494</v>
      </c>
      <c r="D135" s="64" t="s">
        <v>495</v>
      </c>
      <c r="E135" s="64" t="s">
        <v>352</v>
      </c>
      <c r="F135" s="70">
        <v>1400</v>
      </c>
      <c r="G135" s="66"/>
      <c r="H135" s="67">
        <v>0</v>
      </c>
      <c r="I135" s="66"/>
      <c r="J135" s="67">
        <v>0</v>
      </c>
      <c r="K135" s="66"/>
      <c r="L135" s="67">
        <v>0</v>
      </c>
      <c r="M135" s="66"/>
      <c r="N135" s="67">
        <v>0</v>
      </c>
      <c r="O135" s="66"/>
      <c r="P135" s="67">
        <v>0</v>
      </c>
      <c r="Q135" s="66"/>
      <c r="R135" s="67">
        <f t="shared" si="8"/>
        <v>0</v>
      </c>
      <c r="S135" s="66"/>
      <c r="T135" s="67">
        <v>0</v>
      </c>
      <c r="U135" s="66"/>
      <c r="V135" s="67">
        <f t="shared" si="9"/>
        <v>0</v>
      </c>
      <c r="W135" s="66"/>
      <c r="X135" s="67">
        <v>0</v>
      </c>
      <c r="Y135" s="66"/>
      <c r="Z135" s="67">
        <v>0</v>
      </c>
      <c r="AA135" s="66"/>
      <c r="AB135" s="67">
        <v>0</v>
      </c>
      <c r="AC135" s="66"/>
      <c r="AD135" s="67">
        <v>0</v>
      </c>
      <c r="AE135" s="66"/>
      <c r="AF135" s="67">
        <v>0</v>
      </c>
      <c r="AG135" s="66"/>
      <c r="AH135" s="67">
        <v>0</v>
      </c>
      <c r="AI135" s="66"/>
      <c r="AJ135" s="67">
        <v>0</v>
      </c>
      <c r="AK135" s="66"/>
      <c r="AL135" s="67">
        <v>0</v>
      </c>
      <c r="AM135" s="66"/>
      <c r="AN135" s="67">
        <v>0</v>
      </c>
      <c r="AO135" s="66"/>
      <c r="AP135" s="67">
        <v>0</v>
      </c>
      <c r="AQ135" s="66"/>
      <c r="AR135" s="67">
        <v>0</v>
      </c>
    </row>
    <row r="136" spans="2:44" x14ac:dyDescent="0.3">
      <c r="B136" s="69" t="s">
        <v>491</v>
      </c>
      <c r="C136" s="64" t="s">
        <v>496</v>
      </c>
      <c r="D136" s="64" t="s">
        <v>497</v>
      </c>
      <c r="E136" s="64" t="s">
        <v>498</v>
      </c>
      <c r="F136" s="70">
        <v>42.42</v>
      </c>
      <c r="G136" s="66"/>
      <c r="H136" s="67">
        <v>0</v>
      </c>
      <c r="I136" s="66"/>
      <c r="J136" s="67">
        <v>0</v>
      </c>
      <c r="K136" s="66"/>
      <c r="L136" s="67">
        <v>0</v>
      </c>
      <c r="M136" s="66"/>
      <c r="N136" s="67">
        <v>0</v>
      </c>
      <c r="O136" s="66"/>
      <c r="P136" s="67">
        <v>0</v>
      </c>
      <c r="Q136" s="66"/>
      <c r="R136" s="67">
        <f t="shared" si="8"/>
        <v>0</v>
      </c>
      <c r="S136" s="66"/>
      <c r="T136" s="67">
        <v>0</v>
      </c>
      <c r="U136" s="66"/>
      <c r="V136" s="67">
        <f t="shared" si="9"/>
        <v>0</v>
      </c>
      <c r="W136" s="66"/>
      <c r="X136" s="67">
        <v>0</v>
      </c>
      <c r="Y136" s="66"/>
      <c r="Z136" s="67">
        <v>0</v>
      </c>
      <c r="AA136" s="66"/>
      <c r="AB136" s="67">
        <v>0</v>
      </c>
      <c r="AC136" s="66"/>
      <c r="AD136" s="67">
        <v>0</v>
      </c>
      <c r="AE136" s="66"/>
      <c r="AF136" s="67">
        <v>0</v>
      </c>
      <c r="AG136" s="66"/>
      <c r="AH136" s="67">
        <v>0</v>
      </c>
      <c r="AI136" s="66"/>
      <c r="AJ136" s="67">
        <v>0</v>
      </c>
      <c r="AK136" s="66"/>
      <c r="AL136" s="67">
        <v>0</v>
      </c>
      <c r="AM136" s="66"/>
      <c r="AN136" s="67">
        <v>0</v>
      </c>
      <c r="AO136" s="66"/>
      <c r="AP136" s="67">
        <v>0</v>
      </c>
      <c r="AQ136" s="66"/>
      <c r="AR136" s="67">
        <v>0</v>
      </c>
    </row>
    <row r="137" spans="2:44" x14ac:dyDescent="0.3">
      <c r="B137" s="69" t="s">
        <v>491</v>
      </c>
      <c r="C137" s="64" t="s">
        <v>499</v>
      </c>
      <c r="D137" s="64" t="s">
        <v>500</v>
      </c>
      <c r="E137" s="64" t="s">
        <v>501</v>
      </c>
      <c r="F137" s="70">
        <v>42.42</v>
      </c>
      <c r="G137" s="66"/>
      <c r="H137" s="67">
        <v>0</v>
      </c>
      <c r="I137" s="66"/>
      <c r="J137" s="67">
        <v>0</v>
      </c>
      <c r="K137" s="66"/>
      <c r="L137" s="67">
        <v>0</v>
      </c>
      <c r="M137" s="66"/>
      <c r="N137" s="67">
        <v>0</v>
      </c>
      <c r="O137" s="66"/>
      <c r="P137" s="67">
        <v>0</v>
      </c>
      <c r="Q137" s="66"/>
      <c r="R137" s="67">
        <f t="shared" si="8"/>
        <v>0</v>
      </c>
      <c r="S137" s="66"/>
      <c r="T137" s="67">
        <v>0</v>
      </c>
      <c r="U137" s="66"/>
      <c r="V137" s="67">
        <f t="shared" si="9"/>
        <v>0</v>
      </c>
      <c r="W137" s="66"/>
      <c r="X137" s="67">
        <v>0</v>
      </c>
      <c r="Y137" s="66"/>
      <c r="Z137" s="67">
        <v>0</v>
      </c>
      <c r="AA137" s="66"/>
      <c r="AB137" s="67">
        <v>0</v>
      </c>
      <c r="AC137" s="66"/>
      <c r="AD137" s="67">
        <v>0</v>
      </c>
      <c r="AE137" s="66"/>
      <c r="AF137" s="67">
        <v>0</v>
      </c>
      <c r="AG137" s="66"/>
      <c r="AH137" s="67">
        <v>0</v>
      </c>
      <c r="AI137" s="66"/>
      <c r="AJ137" s="67">
        <v>0</v>
      </c>
      <c r="AK137" s="66"/>
      <c r="AL137" s="67">
        <v>0</v>
      </c>
      <c r="AM137" s="66"/>
      <c r="AN137" s="67">
        <v>0</v>
      </c>
      <c r="AO137" s="66"/>
      <c r="AP137" s="67">
        <v>0</v>
      </c>
      <c r="AQ137" s="66"/>
      <c r="AR137" s="67">
        <v>0</v>
      </c>
    </row>
    <row r="138" spans="2:44" x14ac:dyDescent="0.3">
      <c r="B138" s="69" t="s">
        <v>491</v>
      </c>
      <c r="C138" s="64" t="s">
        <v>502</v>
      </c>
      <c r="D138" s="64" t="s">
        <v>503</v>
      </c>
      <c r="E138" s="64" t="s">
        <v>332</v>
      </c>
      <c r="F138" s="70"/>
      <c r="G138" s="66"/>
      <c r="H138" s="67">
        <v>0</v>
      </c>
      <c r="I138" s="66"/>
      <c r="J138" s="67">
        <v>0</v>
      </c>
      <c r="K138" s="66"/>
      <c r="L138" s="67">
        <v>0</v>
      </c>
      <c r="M138" s="66"/>
      <c r="N138" s="67">
        <v>0</v>
      </c>
      <c r="O138" s="66"/>
      <c r="P138" s="67">
        <v>0</v>
      </c>
      <c r="Q138" s="66"/>
      <c r="R138" s="67">
        <f t="shared" si="8"/>
        <v>0</v>
      </c>
      <c r="S138" s="66"/>
      <c r="T138" s="67">
        <v>0</v>
      </c>
      <c r="U138" s="66"/>
      <c r="V138" s="67">
        <f t="shared" si="9"/>
        <v>0</v>
      </c>
      <c r="W138" s="66"/>
      <c r="X138" s="67">
        <v>0</v>
      </c>
      <c r="Y138" s="66"/>
      <c r="Z138" s="67">
        <v>0</v>
      </c>
      <c r="AA138" s="66"/>
      <c r="AB138" s="67">
        <v>0</v>
      </c>
      <c r="AC138" s="66"/>
      <c r="AD138" s="67">
        <v>0</v>
      </c>
      <c r="AE138" s="66"/>
      <c r="AF138" s="67">
        <v>0</v>
      </c>
      <c r="AG138" s="66"/>
      <c r="AH138" s="67">
        <v>0</v>
      </c>
      <c r="AI138" s="66"/>
      <c r="AJ138" s="67">
        <v>0</v>
      </c>
      <c r="AK138" s="66"/>
      <c r="AL138" s="67">
        <v>0</v>
      </c>
      <c r="AM138" s="66"/>
      <c r="AN138" s="67">
        <v>0</v>
      </c>
      <c r="AO138" s="66"/>
      <c r="AP138" s="67">
        <v>0</v>
      </c>
      <c r="AQ138" s="66"/>
      <c r="AR138" s="67">
        <v>0</v>
      </c>
    </row>
    <row r="139" spans="2:44" x14ac:dyDescent="0.3">
      <c r="B139" s="64" t="s">
        <v>504</v>
      </c>
      <c r="C139" s="64"/>
      <c r="D139" s="64"/>
      <c r="E139" s="64"/>
      <c r="F139" s="71"/>
      <c r="G139" s="71">
        <v>4956409.8499999996</v>
      </c>
      <c r="H139" s="72">
        <v>4715812.3524519</v>
      </c>
      <c r="I139" s="71">
        <v>220698</v>
      </c>
      <c r="J139" s="72">
        <v>2156777.2401000001</v>
      </c>
      <c r="K139" s="71">
        <v>3199323</v>
      </c>
      <c r="L139" s="72">
        <v>2581771.6524800002</v>
      </c>
      <c r="M139" s="71">
        <v>846463</v>
      </c>
      <c r="N139" s="72">
        <v>985214.00187000004</v>
      </c>
      <c r="O139" s="71">
        <v>169511</v>
      </c>
      <c r="P139" s="72">
        <v>4109973.1873349999</v>
      </c>
      <c r="Q139" s="71">
        <v>6376143.1639999999</v>
      </c>
      <c r="R139" s="72">
        <f>SUM(R5:R138)</f>
        <v>2281704.9371344205</v>
      </c>
      <c r="S139" s="71">
        <v>3087579</v>
      </c>
      <c r="T139" s="72">
        <v>3893687.662095</v>
      </c>
      <c r="U139" s="71">
        <f>SUM(U5:U138)</f>
        <v>1839600</v>
      </c>
      <c r="V139" s="72">
        <f>SUM(V5:V138)</f>
        <v>3925331.9331050008</v>
      </c>
      <c r="W139" s="71">
        <v>318253.88</v>
      </c>
      <c r="X139" s="72">
        <v>565310.51331509999</v>
      </c>
      <c r="Y139" s="71">
        <v>31924785.719999999</v>
      </c>
      <c r="Z139" s="72">
        <v>6034328.3659667401</v>
      </c>
      <c r="AA139" s="71">
        <v>8990168.4000000004</v>
      </c>
      <c r="AB139" s="72">
        <v>5106123.8589899996</v>
      </c>
      <c r="AC139" s="71">
        <v>379801.8</v>
      </c>
      <c r="AD139" s="72">
        <v>363683.98792335298</v>
      </c>
      <c r="AE139" s="71">
        <v>47103182.498999998</v>
      </c>
      <c r="AF139" s="72">
        <f>SUM(AF5:AF138)</f>
        <v>19536690.113430537</v>
      </c>
      <c r="AG139" s="71">
        <v>1093900.8700000001</v>
      </c>
      <c r="AH139" s="72">
        <v>1802780.1283710999</v>
      </c>
      <c r="AI139" s="71">
        <v>7781744.1550000003</v>
      </c>
      <c r="AJ139" s="72">
        <v>3467931.3718737499</v>
      </c>
      <c r="AK139" s="71">
        <v>204395</v>
      </c>
      <c r="AL139" s="72">
        <v>264204.5466</v>
      </c>
      <c r="AM139" s="71">
        <v>361785.02</v>
      </c>
      <c r="AN139" s="72">
        <v>408648.39364790003</v>
      </c>
      <c r="AO139" s="71">
        <v>16310036</v>
      </c>
      <c r="AP139" s="72">
        <v>4600736.8450424997</v>
      </c>
      <c r="AQ139" s="71">
        <v>5253965.58</v>
      </c>
      <c r="AR139" s="72">
        <v>1961747.6951162999</v>
      </c>
    </row>
  </sheetData>
  <pageMargins left="0.7" right="0.7" top="1.14375" bottom="1.143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N10"/>
  <sheetViews>
    <sheetView zoomScaleNormal="100" workbookViewId="0">
      <selection activeCellId="1" sqref="AC33 A1"/>
    </sheetView>
  </sheetViews>
  <sheetFormatPr defaultColWidth="8.77734375" defaultRowHeight="14.4" x14ac:dyDescent="0.3"/>
  <cols>
    <col min="2" max="2" width="25.5546875" customWidth="1"/>
    <col min="3" max="14" width="20.77734375" customWidth="1"/>
  </cols>
  <sheetData>
    <row r="2" spans="2:14" s="73" customFormat="1" ht="81" customHeight="1" x14ac:dyDescent="0.2">
      <c r="B2" s="74" t="s">
        <v>0</v>
      </c>
      <c r="C2" s="74" t="s">
        <v>505</v>
      </c>
      <c r="D2" s="74" t="s">
        <v>506</v>
      </c>
      <c r="E2" s="74" t="s">
        <v>507</v>
      </c>
      <c r="F2" s="74" t="s">
        <v>508</v>
      </c>
      <c r="G2" s="74" t="s">
        <v>509</v>
      </c>
      <c r="H2" s="74" t="s">
        <v>510</v>
      </c>
      <c r="I2" s="74" t="s">
        <v>511</v>
      </c>
      <c r="J2" s="74" t="s">
        <v>512</v>
      </c>
      <c r="K2" s="74" t="s">
        <v>513</v>
      </c>
      <c r="L2" s="74" t="s">
        <v>514</v>
      </c>
      <c r="M2" s="74" t="s">
        <v>515</v>
      </c>
      <c r="N2" s="74" t="s">
        <v>516</v>
      </c>
    </row>
    <row r="3" spans="2:14" ht="27.6" x14ac:dyDescent="0.3">
      <c r="B3" s="75" t="s">
        <v>517</v>
      </c>
      <c r="C3" s="76" t="s">
        <v>518</v>
      </c>
      <c r="D3" s="76" t="s">
        <v>519</v>
      </c>
      <c r="E3" s="76" t="s">
        <v>520</v>
      </c>
      <c r="F3" s="76" t="s">
        <v>521</v>
      </c>
      <c r="G3" s="76" t="s">
        <v>522</v>
      </c>
      <c r="H3" s="76" t="s">
        <v>523</v>
      </c>
      <c r="I3" s="76" t="s">
        <v>524</v>
      </c>
      <c r="J3" s="76" t="s">
        <v>518</v>
      </c>
      <c r="K3" s="76"/>
      <c r="L3" s="77" t="s">
        <v>525</v>
      </c>
      <c r="M3" s="77" t="s">
        <v>526</v>
      </c>
      <c r="N3" s="76"/>
    </row>
    <row r="4" spans="2:14" ht="41.4" x14ac:dyDescent="0.3">
      <c r="B4" s="75" t="s">
        <v>527</v>
      </c>
      <c r="C4" s="76" t="s">
        <v>518</v>
      </c>
      <c r="D4" s="76" t="s">
        <v>528</v>
      </c>
      <c r="E4" s="76" t="s">
        <v>26</v>
      </c>
      <c r="F4" s="76" t="s">
        <v>529</v>
      </c>
      <c r="G4" s="76" t="s">
        <v>530</v>
      </c>
      <c r="H4" s="76" t="s">
        <v>531</v>
      </c>
      <c r="I4" s="76" t="s">
        <v>532</v>
      </c>
      <c r="J4" s="76" t="s">
        <v>518</v>
      </c>
      <c r="K4" s="76"/>
      <c r="L4" s="77" t="s">
        <v>533</v>
      </c>
      <c r="M4" s="77" t="s">
        <v>534</v>
      </c>
      <c r="N4" s="76"/>
    </row>
    <row r="5" spans="2:14" ht="41.4" x14ac:dyDescent="0.3">
      <c r="B5" s="75" t="s">
        <v>535</v>
      </c>
      <c r="C5" s="76" t="s">
        <v>518</v>
      </c>
      <c r="D5" s="76" t="s">
        <v>536</v>
      </c>
      <c r="E5" s="76" t="s">
        <v>537</v>
      </c>
      <c r="F5" s="76" t="s">
        <v>538</v>
      </c>
      <c r="G5" s="76" t="s">
        <v>539</v>
      </c>
      <c r="H5" s="76" t="s">
        <v>540</v>
      </c>
      <c r="I5" s="76">
        <v>35385339</v>
      </c>
      <c r="J5" s="76" t="s">
        <v>518</v>
      </c>
      <c r="K5" s="76"/>
      <c r="L5" s="77" t="s">
        <v>541</v>
      </c>
      <c r="M5" s="77" t="s">
        <v>542</v>
      </c>
      <c r="N5" s="76"/>
    </row>
    <row r="6" spans="2:14" ht="43.5" customHeight="1" x14ac:dyDescent="0.3">
      <c r="B6" s="75" t="s">
        <v>543</v>
      </c>
      <c r="C6" s="76" t="s">
        <v>544</v>
      </c>
      <c r="D6" s="76"/>
      <c r="E6" s="76" t="s">
        <v>545</v>
      </c>
      <c r="F6" s="76"/>
      <c r="G6" s="76"/>
      <c r="H6" s="76"/>
      <c r="I6" s="76"/>
      <c r="J6" s="76" t="s">
        <v>518</v>
      </c>
      <c r="K6" s="76"/>
      <c r="L6" s="77"/>
      <c r="M6" s="77"/>
      <c r="N6" s="76"/>
    </row>
    <row r="7" spans="2:14" ht="179.4" x14ac:dyDescent="0.3">
      <c r="B7" s="75" t="s">
        <v>546</v>
      </c>
      <c r="C7" s="76" t="s">
        <v>518</v>
      </c>
      <c r="D7" s="76" t="s">
        <v>547</v>
      </c>
      <c r="E7" s="76" t="s">
        <v>548</v>
      </c>
      <c r="F7" s="76" t="s">
        <v>549</v>
      </c>
      <c r="G7" s="76" t="s">
        <v>550</v>
      </c>
      <c r="H7" s="76" t="s">
        <v>551</v>
      </c>
      <c r="I7" s="76" t="s">
        <v>552</v>
      </c>
      <c r="J7" s="76" t="s">
        <v>518</v>
      </c>
      <c r="K7" s="76"/>
      <c r="L7" s="77" t="s">
        <v>541</v>
      </c>
      <c r="M7" s="77" t="s">
        <v>542</v>
      </c>
      <c r="N7" s="76" t="s">
        <v>553</v>
      </c>
    </row>
    <row r="8" spans="2:14" ht="27.6" x14ac:dyDescent="0.3">
      <c r="B8" s="75" t="s">
        <v>554</v>
      </c>
      <c r="C8" s="76" t="s">
        <v>555</v>
      </c>
      <c r="D8" s="76" t="s">
        <v>556</v>
      </c>
      <c r="E8" s="76" t="s">
        <v>33</v>
      </c>
      <c r="F8" s="76" t="s">
        <v>557</v>
      </c>
      <c r="G8" s="76" t="s">
        <v>558</v>
      </c>
      <c r="H8" s="76" t="s">
        <v>559</v>
      </c>
      <c r="I8" s="78">
        <v>376464879</v>
      </c>
      <c r="J8" s="76" t="s">
        <v>518</v>
      </c>
      <c r="K8" s="76"/>
      <c r="L8" s="76"/>
      <c r="M8" s="76"/>
      <c r="N8" s="76"/>
    </row>
    <row r="9" spans="2:14" ht="41.4" x14ac:dyDescent="0.3">
      <c r="B9" s="79" t="s">
        <v>560</v>
      </c>
      <c r="C9" s="76" t="s">
        <v>518</v>
      </c>
      <c r="D9" s="76" t="s">
        <v>561</v>
      </c>
      <c r="E9" s="76" t="s">
        <v>30</v>
      </c>
      <c r="F9" s="76" t="s">
        <v>562</v>
      </c>
      <c r="G9" s="76" t="s">
        <v>530</v>
      </c>
      <c r="H9" s="76" t="s">
        <v>563</v>
      </c>
      <c r="I9" s="76" t="s">
        <v>564</v>
      </c>
      <c r="J9" s="76" t="s">
        <v>518</v>
      </c>
      <c r="K9" s="76"/>
      <c r="L9" s="77" t="s">
        <v>541</v>
      </c>
      <c r="M9" s="77" t="s">
        <v>542</v>
      </c>
      <c r="N9" s="76"/>
    </row>
    <row r="10" spans="2:14" ht="41.4" x14ac:dyDescent="0.3">
      <c r="B10" s="79" t="s">
        <v>565</v>
      </c>
      <c r="C10" s="76" t="s">
        <v>518</v>
      </c>
      <c r="D10" s="76" t="s">
        <v>566</v>
      </c>
      <c r="E10" s="76" t="s">
        <v>567</v>
      </c>
      <c r="F10" s="76" t="s">
        <v>568</v>
      </c>
      <c r="G10" s="76" t="s">
        <v>569</v>
      </c>
      <c r="H10" s="76" t="s">
        <v>570</v>
      </c>
      <c r="I10" s="76" t="s">
        <v>571</v>
      </c>
      <c r="J10" s="76" t="s">
        <v>518</v>
      </c>
      <c r="K10" s="76"/>
      <c r="L10" s="77" t="s">
        <v>572</v>
      </c>
      <c r="M10" s="77" t="s">
        <v>573</v>
      </c>
      <c r="N10" s="76"/>
    </row>
  </sheetData>
  <hyperlinks>
    <hyperlink ref="L3" r:id="rId1" xr:uid="{00000000-0004-0000-0400-000000000000}"/>
    <hyperlink ref="M3" r:id="rId2" xr:uid="{00000000-0004-0000-0400-000001000000}"/>
    <hyperlink ref="L4" r:id="rId3" xr:uid="{00000000-0004-0000-0400-000002000000}"/>
    <hyperlink ref="M4" r:id="rId4" xr:uid="{00000000-0004-0000-0400-000003000000}"/>
    <hyperlink ref="L5" r:id="rId5" xr:uid="{00000000-0004-0000-0400-000004000000}"/>
    <hyperlink ref="M5" r:id="rId6" xr:uid="{00000000-0004-0000-0400-000005000000}"/>
    <hyperlink ref="L7" r:id="rId7" xr:uid="{00000000-0004-0000-0400-000006000000}"/>
    <hyperlink ref="M7" r:id="rId8" xr:uid="{00000000-0004-0000-0400-000007000000}"/>
    <hyperlink ref="L9" r:id="rId9" xr:uid="{00000000-0004-0000-0400-000008000000}"/>
    <hyperlink ref="M9" r:id="rId10" xr:uid="{00000000-0004-0000-0400-000009000000}"/>
    <hyperlink ref="L10" r:id="rId11" xr:uid="{00000000-0004-0000-0400-00000A000000}"/>
    <hyperlink ref="M10" r:id="rId12" xr:uid="{00000000-0004-0000-0400-00000B000000}"/>
  </hyperlinks>
  <pageMargins left="0.7" right="0.7" top="1.14375" bottom="1.143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2202</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Riscontro_Solleciti_2022</vt:lpstr>
      <vt:lpstr>PIVOT</vt:lpstr>
      <vt:lpstr>Consistenze</vt:lpstr>
      <vt:lpstr>Valori_a_BA_Singoli_enti</vt:lpstr>
      <vt:lpstr>Estrazione_FOL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Cristina Cassani</dc:creator>
  <dc:description/>
  <cp:lastModifiedBy>Peta Maurizio</cp:lastModifiedBy>
  <cp:revision>51</cp:revision>
  <dcterms:created xsi:type="dcterms:W3CDTF">2023-12-12T16:06:03Z</dcterms:created>
  <dcterms:modified xsi:type="dcterms:W3CDTF">2025-12-12T15:26:13Z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ActionId">
    <vt:lpwstr>b6a6e8a0-dd9a-4038-a1f0-e29b4e64b5a9</vt:lpwstr>
  </property>
  <property fmtid="{D5CDD505-2E9C-101B-9397-08002B2CF9AE}" pid="3" name="MSIP_Label_ea60d57e-af5b-4752-ac57-3e4f28ca11dc_ContentBits">
    <vt:lpwstr>0</vt:lpwstr>
  </property>
  <property fmtid="{D5CDD505-2E9C-101B-9397-08002B2CF9AE}" pid="4" name="MSIP_Label_ea60d57e-af5b-4752-ac57-3e4f28ca11dc_Enabled">
    <vt:lpwstr>true</vt:lpwstr>
  </property>
  <property fmtid="{D5CDD505-2E9C-101B-9397-08002B2CF9AE}" pid="5" name="MSIP_Label_ea60d57e-af5b-4752-ac57-3e4f28ca11dc_Method">
    <vt:lpwstr>Privileged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etDate">
    <vt:lpwstr>2023-12-12T16:06:16Z</vt:lpwstr>
  </property>
  <property fmtid="{D5CDD505-2E9C-101B-9397-08002B2CF9AE}" pid="8" name="MSIP_Label_ea60d57e-af5b-4752-ac57-3e4f28ca11dc_SiteId">
    <vt:lpwstr>36da45f1-dd2c-4d1f-af13-5abe46b99921</vt:lpwstr>
  </property>
</Properties>
</file>