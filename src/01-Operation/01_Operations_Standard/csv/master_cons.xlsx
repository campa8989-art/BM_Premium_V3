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https://manutencoop-my.sharepoint.com/personal/icampagnoli_manutencoop_it/Documents/BM ivan/01-ASST FBF Sacco/01-Operation/10_AI/01_Operations/csv/"/>
    </mc:Choice>
  </mc:AlternateContent>
  <xr:revisionPtr revIDLastSave="62" documentId="13_ncr:1_{DEA37BFC-35AC-46CB-B507-B44CB4112934}" xr6:coauthVersionLast="47" xr6:coauthVersionMax="47" xr10:uidLastSave="{FF159931-FE81-4434-9E28-4D0D4949CCE2}"/>
  <bookViews>
    <workbookView xWindow="-120" yWindow="-120" windowWidth="29040" windowHeight="15720" tabRatio="500" firstSheet="3" activeTab="3" xr2:uid="{00000000-000D-0000-FFFF-FFFF00000000}"/>
  </bookViews>
  <sheets>
    <sheet name="Riscontro Solleciti 2022" sheetId="1" state="hidden" r:id="rId1"/>
    <sheet name="PIVOT" sheetId="2" state="hidden" r:id="rId2"/>
    <sheet name="Riepilogo Spesa per Ente" sheetId="3" state="hidden" r:id="rId3"/>
    <sheet name="Consistenze 09_12_25 Gara" sheetId="4" r:id="rId4"/>
    <sheet name="Consistenze Agg 17_03_26" sheetId="9" r:id="rId5"/>
    <sheet name="Offerta economica agg 17_03_26" sheetId="5" r:id="rId6"/>
    <sheet name="Valori a BA_Singoli enti" sheetId="6" state="hidden" r:id="rId7"/>
    <sheet name="Estrazione FOL" sheetId="7" state="hidden" r:id="rId8"/>
    <sheet name="DPCache_DETTAGLIO PREZZI " sheetId="8" state="hidden" r:id="rId9"/>
  </sheets>
  <definedNames>
    <definedName name="_FilterDatabase" localSheetId="2">'Riepilogo Spesa per Ente'!$B$3:$J$16</definedName>
    <definedName name="_FilterDatabase" localSheetId="0">'Riscontro Solleciti 2022'!$B$2:$H$14</definedName>
    <definedName name="_FilterDatabase" localSheetId="6">'Valori a BA_Singoli enti'!$B$4:$AR$139</definedName>
    <definedName name="_xlnm._FilterDatabase" localSheetId="8" hidden="1">'DPCache_DETTAGLIO PREZZI '!$A$1:$AT$1</definedName>
    <definedName name="_xlnm._FilterDatabase" localSheetId="5" hidden="1">'Offerta economica agg 17_03_26'!$A$2:$R$38</definedName>
    <definedName name="_xlnm.Print_Area" localSheetId="5">'Offerta economica agg 17_03_26'!$A$1:$R$38</definedName>
    <definedName name="_xlnm.Print_Titles" localSheetId="5">'Offerta economica agg 17_03_26'!$1:$2</definedName>
  </definedNames>
  <calcPr calcId="191028"/>
  <pivotCaches>
    <pivotCache cacheId="39"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O13" i="9" l="1"/>
  <c r="AO10" i="9"/>
  <c r="J33" i="5"/>
  <c r="AO34" i="9"/>
  <c r="P32" i="5"/>
  <c r="Q32" i="5" s="1"/>
  <c r="O32" i="5"/>
  <c r="N32" i="5"/>
  <c r="M32" i="5"/>
  <c r="K32" i="5"/>
  <c r="J32" i="5"/>
  <c r="L32" i="5" s="1"/>
  <c r="AO25" i="9"/>
  <c r="K23" i="5"/>
  <c r="M23" i="5"/>
  <c r="P23" i="5" s="1"/>
  <c r="Q23" i="5" s="1"/>
  <c r="J23" i="5"/>
  <c r="L23" i="5" s="1"/>
  <c r="AO5" i="9"/>
  <c r="AO6" i="9"/>
  <c r="AO7" i="9"/>
  <c r="AO8" i="9"/>
  <c r="AO9" i="9"/>
  <c r="AO11" i="9"/>
  <c r="AO12" i="9"/>
  <c r="AO14" i="9"/>
  <c r="AO15" i="9"/>
  <c r="AO16" i="9"/>
  <c r="AO17" i="9"/>
  <c r="AO18" i="9"/>
  <c r="AO19" i="9"/>
  <c r="AO20" i="9"/>
  <c r="AO21" i="9"/>
  <c r="AO22" i="9"/>
  <c r="AO23" i="9"/>
  <c r="AO24" i="9"/>
  <c r="AO26" i="9"/>
  <c r="AO27" i="9"/>
  <c r="AO28" i="9"/>
  <c r="AO29" i="9"/>
  <c r="AO30" i="9"/>
  <c r="AO31" i="9"/>
  <c r="AO32" i="9"/>
  <c r="AO33" i="9"/>
  <c r="N23" i="5" l="1"/>
  <c r="O23" i="5"/>
  <c r="U139" i="6"/>
  <c r="V138" i="6"/>
  <c r="R138" i="6"/>
  <c r="V137" i="6"/>
  <c r="R137" i="6"/>
  <c r="V136" i="6"/>
  <c r="R136" i="6"/>
  <c r="V135" i="6"/>
  <c r="R135" i="6"/>
  <c r="V134" i="6"/>
  <c r="R134" i="6"/>
  <c r="V133" i="6"/>
  <c r="R133" i="6"/>
  <c r="V132" i="6"/>
  <c r="R132" i="6"/>
  <c r="V131" i="6"/>
  <c r="R131" i="6"/>
  <c r="V130" i="6"/>
  <c r="R130" i="6"/>
  <c r="R128" i="6"/>
  <c r="V127" i="6"/>
  <c r="R127" i="6"/>
  <c r="V126" i="6"/>
  <c r="R126" i="6"/>
  <c r="V125" i="6"/>
  <c r="R125" i="6"/>
  <c r="V124" i="6"/>
  <c r="R124" i="6"/>
  <c r="V123" i="6"/>
  <c r="R123" i="6"/>
  <c r="V122" i="6"/>
  <c r="R122" i="6"/>
  <c r="V121" i="6"/>
  <c r="R121" i="6"/>
  <c r="V120" i="6"/>
  <c r="R120" i="6"/>
  <c r="V119" i="6"/>
  <c r="R119" i="6"/>
  <c r="V118" i="6"/>
  <c r="R118" i="6"/>
  <c r="V117" i="6"/>
  <c r="R117" i="6"/>
  <c r="V116" i="6"/>
  <c r="R116" i="6"/>
  <c r="V115" i="6"/>
  <c r="R115" i="6"/>
  <c r="V114" i="6"/>
  <c r="R114" i="6"/>
  <c r="V113" i="6"/>
  <c r="R113" i="6"/>
  <c r="V112" i="6"/>
  <c r="R112" i="6"/>
  <c r="V111" i="6"/>
  <c r="R111" i="6"/>
  <c r="V110" i="6"/>
  <c r="R110" i="6"/>
  <c r="V109" i="6"/>
  <c r="R109" i="6"/>
  <c r="V108" i="6"/>
  <c r="R108" i="6"/>
  <c r="V107" i="6"/>
  <c r="R107" i="6"/>
  <c r="V106" i="6"/>
  <c r="R106" i="6"/>
  <c r="V105" i="6"/>
  <c r="R105" i="6"/>
  <c r="V104" i="6"/>
  <c r="R104" i="6"/>
  <c r="V103" i="6"/>
  <c r="R103" i="6"/>
  <c r="V102" i="6"/>
  <c r="R102" i="6"/>
  <c r="V101" i="6"/>
  <c r="R101" i="6"/>
  <c r="V100" i="6"/>
  <c r="R100" i="6"/>
  <c r="V99" i="6"/>
  <c r="R99" i="6"/>
  <c r="V98" i="6"/>
  <c r="R98" i="6"/>
  <c r="V97" i="6"/>
  <c r="R97" i="6"/>
  <c r="V96" i="6"/>
  <c r="R96" i="6"/>
  <c r="V95" i="6"/>
  <c r="R95" i="6"/>
  <c r="V94" i="6"/>
  <c r="R94" i="6"/>
  <c r="V93" i="6"/>
  <c r="R93" i="6"/>
  <c r="V92" i="6"/>
  <c r="R92" i="6"/>
  <c r="V91" i="6"/>
  <c r="R91" i="6"/>
  <c r="V90" i="6"/>
  <c r="R90" i="6"/>
  <c r="V89" i="6"/>
  <c r="R89" i="6"/>
  <c r="V88" i="6"/>
  <c r="R88" i="6"/>
  <c r="V87" i="6"/>
  <c r="R87" i="6"/>
  <c r="V86" i="6"/>
  <c r="R86" i="6"/>
  <c r="V85" i="6"/>
  <c r="R85" i="6"/>
  <c r="V84" i="6"/>
  <c r="R84" i="6"/>
  <c r="V83" i="6"/>
  <c r="R83" i="6"/>
  <c r="V82" i="6"/>
  <c r="R82" i="6"/>
  <c r="V81" i="6"/>
  <c r="R81" i="6"/>
  <c r="V80" i="6"/>
  <c r="R80" i="6"/>
  <c r="V79" i="6"/>
  <c r="R79" i="6"/>
  <c r="V78" i="6"/>
  <c r="R78" i="6"/>
  <c r="V77" i="6"/>
  <c r="R77" i="6"/>
  <c r="V76" i="6"/>
  <c r="R76" i="6"/>
  <c r="V75" i="6"/>
  <c r="R75" i="6"/>
  <c r="V74" i="6"/>
  <c r="R74" i="6"/>
  <c r="V73" i="6"/>
  <c r="R73" i="6"/>
  <c r="V72" i="6"/>
  <c r="R72" i="6"/>
  <c r="V71" i="6"/>
  <c r="R71" i="6"/>
  <c r="V70" i="6"/>
  <c r="R70" i="6"/>
  <c r="V69" i="6"/>
  <c r="R69" i="6"/>
  <c r="V68" i="6"/>
  <c r="R68" i="6"/>
  <c r="V67" i="6"/>
  <c r="R67" i="6"/>
  <c r="V66" i="6"/>
  <c r="R66" i="6"/>
  <c r="V65" i="6"/>
  <c r="R65" i="6"/>
  <c r="V64" i="6"/>
  <c r="R64" i="6"/>
  <c r="V63" i="6"/>
  <c r="R63" i="6"/>
  <c r="V62" i="6"/>
  <c r="R62" i="6"/>
  <c r="V61" i="6"/>
  <c r="R61" i="6"/>
  <c r="V60" i="6"/>
  <c r="R60" i="6"/>
  <c r="V59" i="6"/>
  <c r="R59" i="6"/>
  <c r="V58" i="6"/>
  <c r="R58" i="6"/>
  <c r="V57" i="6"/>
  <c r="R57" i="6"/>
  <c r="V56" i="6"/>
  <c r="R56" i="6"/>
  <c r="V55" i="6"/>
  <c r="R55" i="6"/>
  <c r="V54" i="6"/>
  <c r="R54" i="6"/>
  <c r="V53" i="6"/>
  <c r="R53" i="6"/>
  <c r="V52" i="6"/>
  <c r="R52" i="6"/>
  <c r="V51" i="6"/>
  <c r="R51" i="6"/>
  <c r="V50" i="6"/>
  <c r="R50" i="6"/>
  <c r="V49" i="6"/>
  <c r="R49" i="6"/>
  <c r="V48" i="6"/>
  <c r="R48" i="6"/>
  <c r="V47" i="6"/>
  <c r="R47" i="6"/>
  <c r="V46" i="6"/>
  <c r="R46" i="6"/>
  <c r="V45" i="6"/>
  <c r="R45" i="6"/>
  <c r="V44" i="6"/>
  <c r="R44" i="6"/>
  <c r="V43" i="6"/>
  <c r="R43" i="6"/>
  <c r="V42" i="6"/>
  <c r="R42" i="6"/>
  <c r="V41" i="6"/>
  <c r="R41" i="6"/>
  <c r="V40" i="6"/>
  <c r="R40" i="6"/>
  <c r="V39" i="6"/>
  <c r="R39" i="6"/>
  <c r="V38" i="6"/>
  <c r="R38" i="6"/>
  <c r="V37" i="6"/>
  <c r="R37" i="6"/>
  <c r="V36" i="6"/>
  <c r="R36" i="6"/>
  <c r="V35" i="6"/>
  <c r="R35" i="6"/>
  <c r="AF34" i="6"/>
  <c r="AF139" i="6" s="1"/>
  <c r="V34" i="6"/>
  <c r="R34" i="6"/>
  <c r="V33" i="6"/>
  <c r="R33" i="6"/>
  <c r="V32" i="6"/>
  <c r="R32" i="6"/>
  <c r="V31" i="6"/>
  <c r="R31" i="6"/>
  <c r="V30" i="6"/>
  <c r="R30" i="6"/>
  <c r="V29" i="6"/>
  <c r="R29" i="6"/>
  <c r="V28" i="6"/>
  <c r="R28" i="6"/>
  <c r="V27" i="6"/>
  <c r="R27" i="6"/>
  <c r="V26" i="6"/>
  <c r="R26" i="6"/>
  <c r="V25" i="6"/>
  <c r="R25" i="6"/>
  <c r="V24" i="6"/>
  <c r="R24" i="6"/>
  <c r="V23" i="6"/>
  <c r="R23" i="6"/>
  <c r="V22" i="6"/>
  <c r="R22" i="6"/>
  <c r="V21" i="6"/>
  <c r="R21" i="6"/>
  <c r="V20" i="6"/>
  <c r="R20" i="6"/>
  <c r="V19" i="6"/>
  <c r="R19" i="6"/>
  <c r="V18" i="6"/>
  <c r="R18" i="6"/>
  <c r="V17" i="6"/>
  <c r="R17" i="6"/>
  <c r="V16" i="6"/>
  <c r="R16" i="6"/>
  <c r="V15" i="6"/>
  <c r="R15" i="6"/>
  <c r="V14" i="6"/>
  <c r="R14" i="6"/>
  <c r="V13" i="6"/>
  <c r="R13" i="6"/>
  <c r="V12" i="6"/>
  <c r="R12" i="6"/>
  <c r="V11" i="6"/>
  <c r="R11" i="6"/>
  <c r="V10" i="6"/>
  <c r="R10" i="6"/>
  <c r="V9" i="6"/>
  <c r="R9" i="6"/>
  <c r="V8" i="6"/>
  <c r="R8" i="6"/>
  <c r="V7" i="6"/>
  <c r="R7" i="6"/>
  <c r="V6" i="6"/>
  <c r="R6" i="6"/>
  <c r="V5" i="6"/>
  <c r="R5" i="6"/>
  <c r="K35" i="5"/>
  <c r="G35" i="5"/>
  <c r="J35" i="5" s="1"/>
  <c r="L35" i="5" s="1"/>
  <c r="K31" i="5"/>
  <c r="J31" i="5"/>
  <c r="K30" i="5"/>
  <c r="J30" i="5"/>
  <c r="L30" i="5" s="1"/>
  <c r="K29" i="5"/>
  <c r="J29" i="5"/>
  <c r="K28" i="5"/>
  <c r="J28" i="5"/>
  <c r="L28" i="5" s="1"/>
  <c r="K27" i="5"/>
  <c r="J27" i="5"/>
  <c r="K26" i="5"/>
  <c r="J26" i="5"/>
  <c r="L26" i="5" s="1"/>
  <c r="K25" i="5"/>
  <c r="J25" i="5"/>
  <c r="K24" i="5"/>
  <c r="J24" i="5"/>
  <c r="L24" i="5" s="1"/>
  <c r="K22" i="5"/>
  <c r="J22" i="5"/>
  <c r="K21" i="5"/>
  <c r="J21" i="5"/>
  <c r="K20" i="5"/>
  <c r="J20" i="5"/>
  <c r="K19" i="5"/>
  <c r="J19" i="5"/>
  <c r="L19" i="5" s="1"/>
  <c r="K18" i="5"/>
  <c r="J18" i="5"/>
  <c r="K17" i="5"/>
  <c r="J17" i="5"/>
  <c r="K16" i="5"/>
  <c r="J16" i="5"/>
  <c r="K15" i="5"/>
  <c r="J15" i="5"/>
  <c r="L15" i="5" s="1"/>
  <c r="K14" i="5"/>
  <c r="J14" i="5"/>
  <c r="K13" i="5"/>
  <c r="J13" i="5"/>
  <c r="K12" i="5"/>
  <c r="J12" i="5"/>
  <c r="K11" i="5"/>
  <c r="J11" i="5"/>
  <c r="L11" i="5" s="1"/>
  <c r="K10" i="5"/>
  <c r="J10" i="5"/>
  <c r="K9" i="5"/>
  <c r="J9" i="5"/>
  <c r="L9" i="5" s="1"/>
  <c r="K8" i="5"/>
  <c r="J8" i="5"/>
  <c r="K7" i="5"/>
  <c r="J7" i="5"/>
  <c r="L7" i="5" s="1"/>
  <c r="K6" i="5"/>
  <c r="J6" i="5"/>
  <c r="K5" i="5"/>
  <c r="J5" i="5"/>
  <c r="L5" i="5" s="1"/>
  <c r="K4" i="5"/>
  <c r="J4" i="5"/>
  <c r="K3" i="5"/>
  <c r="J3" i="5"/>
  <c r="I16" i="3"/>
  <c r="G16" i="3"/>
  <c r="E16" i="3"/>
  <c r="D16" i="3"/>
  <c r="J15" i="3"/>
  <c r="F15" i="3"/>
  <c r="H15" i="3" s="1"/>
  <c r="F14" i="3"/>
  <c r="J14" i="3" s="1"/>
  <c r="F13" i="3"/>
  <c r="J13" i="3" s="1"/>
  <c r="H12" i="3"/>
  <c r="F12" i="3"/>
  <c r="J12" i="3" s="1"/>
  <c r="F11" i="3"/>
  <c r="J11" i="3" s="1"/>
  <c r="J10" i="3"/>
  <c r="H10" i="3"/>
  <c r="F10" i="3"/>
  <c r="J9" i="3"/>
  <c r="H9" i="3"/>
  <c r="F9" i="3"/>
  <c r="F8" i="3"/>
  <c r="H8" i="3" s="1"/>
  <c r="J7" i="3"/>
  <c r="F7" i="3"/>
  <c r="H7" i="3" s="1"/>
  <c r="F6" i="3"/>
  <c r="J6" i="3" s="1"/>
  <c r="H5" i="3"/>
  <c r="F5" i="3"/>
  <c r="J5" i="3" s="1"/>
  <c r="H4" i="3"/>
  <c r="F4" i="3"/>
  <c r="J4" i="3" s="1"/>
  <c r="L6" i="5" l="1"/>
  <c r="L10" i="5"/>
  <c r="L14" i="5"/>
  <c r="L18" i="5"/>
  <c r="L22" i="5"/>
  <c r="L27" i="5"/>
  <c r="L31" i="5"/>
  <c r="L3" i="5"/>
  <c r="L4" i="5"/>
  <c r="L8" i="5"/>
  <c r="L12" i="5"/>
  <c r="L16" i="5"/>
  <c r="L20" i="5"/>
  <c r="L25" i="5"/>
  <c r="L29" i="5"/>
  <c r="K34" i="5"/>
  <c r="I34" i="5" s="1"/>
  <c r="L13" i="5"/>
  <c r="L17" i="5"/>
  <c r="L21" i="5"/>
  <c r="I33" i="5"/>
  <c r="H16" i="3"/>
  <c r="R129" i="6"/>
  <c r="R139" i="6" s="1"/>
  <c r="V129" i="6"/>
  <c r="V139" i="6" s="1"/>
  <c r="H13" i="3"/>
  <c r="J8" i="3"/>
  <c r="J16" i="3" s="1"/>
  <c r="H11" i="3"/>
  <c r="F16" i="3"/>
  <c r="H6" i="3"/>
  <c r="H14" i="3"/>
  <c r="L34" i="5" l="1"/>
  <c r="K36" i="5"/>
  <c r="J36" i="5"/>
  <c r="L33" i="5"/>
  <c r="M15" i="5"/>
  <c r="O15" i="5" s="1"/>
  <c r="M17" i="5"/>
  <c r="N17" i="5" s="1"/>
  <c r="M12" i="5"/>
  <c r="N12" i="5" s="1"/>
  <c r="M31" i="5"/>
  <c r="P31" i="5" s="1"/>
  <c r="Q31" i="5" s="1"/>
  <c r="M33" i="5"/>
  <c r="N33" i="5" s="1"/>
  <c r="M19" i="5"/>
  <c r="O19" i="5" s="1"/>
  <c r="M9" i="5"/>
  <c r="O9" i="5" s="1"/>
  <c r="M16" i="5"/>
  <c r="P16" i="5" s="1"/>
  <c r="Q16" i="5" s="1"/>
  <c r="M27" i="5"/>
  <c r="O27" i="5" s="1"/>
  <c r="M35" i="5"/>
  <c r="O35" i="5" s="1"/>
  <c r="M24" i="5"/>
  <c r="P24" i="5" s="1"/>
  <c r="Q24" i="5" s="1"/>
  <c r="M34" i="5"/>
  <c r="P34" i="5" s="1"/>
  <c r="Q34" i="5" s="1"/>
  <c r="M21" i="5"/>
  <c r="N21" i="5" s="1"/>
  <c r="M28" i="5"/>
  <c r="N28" i="5" s="1"/>
  <c r="M26" i="5"/>
  <c r="O26" i="5" s="1"/>
  <c r="M29" i="5"/>
  <c r="O29" i="5" s="1"/>
  <c r="M6" i="5"/>
  <c r="O6" i="5" s="1"/>
  <c r="M14" i="5"/>
  <c r="N14" i="5" s="1"/>
  <c r="O14" i="5"/>
  <c r="M5" i="5"/>
  <c r="O5" i="5" s="1"/>
  <c r="M30" i="5"/>
  <c r="N30" i="5" s="1"/>
  <c r="M18" i="5"/>
  <c r="N18" i="5" s="1"/>
  <c r="M7" i="5"/>
  <c r="O7" i="5" s="1"/>
  <c r="M22" i="5"/>
  <c r="N22" i="5" s="1"/>
  <c r="M20" i="5"/>
  <c r="P20" i="5" s="1"/>
  <c r="Q20" i="5" s="1"/>
  <c r="M8" i="5"/>
  <c r="P8" i="5" s="1"/>
  <c r="Q8" i="5" s="1"/>
  <c r="M4" i="5"/>
  <c r="P4" i="5" s="1"/>
  <c r="Q4" i="5" s="1"/>
  <c r="M11" i="5"/>
  <c r="O11" i="5" s="1"/>
  <c r="M25" i="5"/>
  <c r="N25" i="5" s="1"/>
  <c r="M10" i="5"/>
  <c r="N10" i="5" s="1"/>
  <c r="M3" i="5"/>
  <c r="N3" i="5" s="1"/>
  <c r="O3" i="5"/>
  <c r="M13" i="5"/>
  <c r="O13" i="5" s="1"/>
  <c r="L36" i="5" l="1"/>
  <c r="P12" i="5"/>
  <c r="Q12" i="5" s="1"/>
  <c r="N7" i="5"/>
  <c r="P11" i="5"/>
  <c r="Q11" i="5" s="1"/>
  <c r="O28" i="5"/>
  <c r="O33" i="5"/>
  <c r="N35" i="5"/>
  <c r="P15" i="5"/>
  <c r="Q15" i="5" s="1"/>
  <c r="N15" i="5"/>
  <c r="P6" i="5"/>
  <c r="Q6" i="5" s="1"/>
  <c r="P7" i="5"/>
  <c r="Q7" i="5" s="1"/>
  <c r="N34" i="5"/>
  <c r="P25" i="5"/>
  <c r="Q25" i="5" s="1"/>
  <c r="N6" i="5"/>
  <c r="N19" i="5"/>
  <c r="O17" i="5"/>
  <c r="O20" i="5"/>
  <c r="N24" i="5"/>
  <c r="P26" i="5"/>
  <c r="Q26" i="5" s="1"/>
  <c r="P30" i="5"/>
  <c r="Q30" i="5" s="1"/>
  <c r="P29" i="5"/>
  <c r="Q29" i="5" s="1"/>
  <c r="P14" i="5"/>
  <c r="Q14" i="5" s="1"/>
  <c r="O16" i="5"/>
  <c r="N4" i="5"/>
  <c r="N8" i="5"/>
  <c r="O30" i="5"/>
  <c r="N29" i="5"/>
  <c r="O24" i="5"/>
  <c r="N9" i="5"/>
  <c r="P19" i="5"/>
  <c r="Q19" i="5" s="1"/>
  <c r="O18" i="5"/>
  <c r="O21" i="5"/>
  <c r="P28" i="5"/>
  <c r="Q28" i="5" s="1"/>
  <c r="P33" i="5"/>
  <c r="Q33" i="5" s="1"/>
  <c r="O8" i="5"/>
  <c r="P3" i="5"/>
  <c r="N26" i="5"/>
  <c r="O25" i="5"/>
  <c r="N27" i="5"/>
  <c r="O12" i="5"/>
  <c r="N5" i="5"/>
  <c r="O34" i="5"/>
  <c r="O31" i="5"/>
  <c r="P21" i="5"/>
  <c r="Q21" i="5" s="1"/>
  <c r="P22" i="5"/>
  <c r="Q22" i="5" s="1"/>
  <c r="P9" i="5"/>
  <c r="Q9" i="5" s="1"/>
  <c r="P27" i="5"/>
  <c r="Q27" i="5" s="1"/>
  <c r="P18" i="5"/>
  <c r="Q18" i="5" s="1"/>
  <c r="O10" i="5"/>
  <c r="N11" i="5"/>
  <c r="P17" i="5"/>
  <c r="Q17" i="5" s="1"/>
  <c r="P10" i="5"/>
  <c r="Q10" i="5" s="1"/>
  <c r="O4" i="5"/>
  <c r="N20" i="5"/>
  <c r="N13" i="5"/>
  <c r="N16" i="5"/>
  <c r="N31" i="5"/>
  <c r="P5" i="5"/>
  <c r="Q5" i="5" s="1"/>
  <c r="O22" i="5"/>
  <c r="P35" i="5"/>
  <c r="Q35" i="5" s="1"/>
  <c r="P13" i="5"/>
  <c r="Q13" i="5" s="1"/>
  <c r="O36" i="5" l="1"/>
  <c r="N36" i="5"/>
  <c r="P36" i="5"/>
  <c r="Q3" i="5"/>
  <c r="Q36" i="5" s="1"/>
  <c r="R36"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Campagnoli Ivan Luca</author>
  </authors>
  <commentList>
    <comment ref="I5" authorId="0" shapeId="0" xr:uid="{0231C431-1BC1-4D25-AD7A-87D8919B4257}">
      <text>
        <r>
          <rPr>
            <b/>
            <sz val="9"/>
            <color indexed="81"/>
            <rFont val="Tahoma"/>
            <family val="2"/>
          </rPr>
          <t>Campagnoli Ivan Luca:</t>
        </r>
        <r>
          <rPr>
            <sz val="9"/>
            <color indexed="81"/>
            <rFont val="Tahoma"/>
            <family val="2"/>
          </rPr>
          <t xml:space="preserve">
dopo sopralluogo = 4</t>
        </r>
      </text>
    </comment>
    <comment ref="J5" authorId="0" shapeId="0" xr:uid="{F3029AC2-9A7C-4AEC-A733-ACA657BA9E0F}">
      <text>
        <r>
          <rPr>
            <b/>
            <sz val="9"/>
            <color indexed="81"/>
            <rFont val="Tahoma"/>
            <family val="2"/>
          </rPr>
          <t>Campagnoli Ivan Luca:</t>
        </r>
        <r>
          <rPr>
            <sz val="9"/>
            <color indexed="81"/>
            <rFont val="Tahoma"/>
            <family val="2"/>
          </rPr>
          <t xml:space="preserve">
dopo sopralluogo = 0</t>
        </r>
      </text>
    </comment>
    <comment ref="K5" authorId="0" shapeId="0" xr:uid="{046430F1-0395-4E70-BA43-DFC08FE7DF6A}">
      <text>
        <r>
          <rPr>
            <b/>
            <sz val="9"/>
            <color indexed="81"/>
            <rFont val="Tahoma"/>
            <family val="2"/>
          </rPr>
          <t>Campagnoli Ivan Luca:</t>
        </r>
        <r>
          <rPr>
            <sz val="9"/>
            <color indexed="81"/>
            <rFont val="Tahoma"/>
            <family val="2"/>
          </rPr>
          <t xml:space="preserve">
dopo sopralluogo = 4</t>
        </r>
      </text>
    </comment>
    <comment ref="N5" authorId="0" shapeId="0" xr:uid="{6BC58355-5032-47DD-A4BE-4C34A1B38B7D}">
      <text>
        <r>
          <rPr>
            <b/>
            <sz val="9"/>
            <color indexed="81"/>
            <rFont val="Tahoma"/>
            <family val="2"/>
          </rPr>
          <t>Campagnoli Ivan Luca:</t>
        </r>
        <r>
          <rPr>
            <sz val="9"/>
            <color indexed="81"/>
            <rFont val="Tahoma"/>
            <family val="2"/>
          </rPr>
          <t xml:space="preserve">
dopo sopralluoigo = 1</t>
        </r>
      </text>
    </comment>
    <comment ref="O5" authorId="0" shapeId="0" xr:uid="{85885038-98BB-46D6-868C-4A2389282DBF}">
      <text>
        <r>
          <rPr>
            <b/>
            <sz val="9"/>
            <color indexed="81"/>
            <rFont val="Tahoma"/>
            <family val="2"/>
          </rPr>
          <t>Campagnoli Ivan Luca:</t>
        </r>
        <r>
          <rPr>
            <sz val="9"/>
            <color indexed="81"/>
            <rFont val="Tahoma"/>
            <family val="2"/>
          </rPr>
          <t xml:space="preserve">
dopo sopralluogo = 3</t>
        </r>
      </text>
    </comment>
    <comment ref="Y5" authorId="0" shapeId="0" xr:uid="{AD1D6425-886B-4B38-9DC6-153A3EA3086B}">
      <text>
        <r>
          <rPr>
            <b/>
            <sz val="9"/>
            <color indexed="81"/>
            <rFont val="Tahoma"/>
            <charset val="1"/>
          </rPr>
          <t>Campagnoli Ivan Luca:</t>
        </r>
        <r>
          <rPr>
            <sz val="9"/>
            <color indexed="81"/>
            <rFont val="Tahoma"/>
            <charset val="1"/>
          </rPr>
          <t xml:space="preserve">
non trovata durante sopralluogo = 0</t>
        </r>
      </text>
    </comment>
    <comment ref="AO5" authorId="0" shapeId="0" xr:uid="{CD9AAF0E-4B93-4DF0-B00F-16AEDC557B61}">
      <text>
        <r>
          <rPr>
            <b/>
            <sz val="9"/>
            <color indexed="81"/>
            <rFont val="Tahoma"/>
            <charset val="1"/>
          </rPr>
          <t>Campagnoli Ivan Luca:</t>
        </r>
        <r>
          <rPr>
            <sz val="9"/>
            <color indexed="81"/>
            <rFont val="Tahoma"/>
            <charset val="1"/>
          </rPr>
          <t xml:space="preserve">
dopo sopralluogo risultano 16 se contiamo anche Doria senza sopralluogo</t>
        </r>
      </text>
    </comment>
    <comment ref="I6" authorId="0" shapeId="0" xr:uid="{9794D5ED-D696-468A-9526-5282E9A5E5C8}">
      <text>
        <r>
          <rPr>
            <b/>
            <sz val="9"/>
            <color indexed="81"/>
            <rFont val="Tahoma"/>
            <family val="2"/>
          </rPr>
          <t>Campagnoli Ivan Luca:</t>
        </r>
        <r>
          <rPr>
            <sz val="9"/>
            <color indexed="81"/>
            <rFont val="Tahoma"/>
            <family val="2"/>
          </rPr>
          <t xml:space="preserve">
dopo sopralluogo = 0</t>
        </r>
      </text>
    </comment>
    <comment ref="K6" authorId="0" shapeId="0" xr:uid="{F4D26D84-6026-486C-A3A0-A60BDDFE7CD3}">
      <text>
        <r>
          <rPr>
            <b/>
            <sz val="9"/>
            <color indexed="81"/>
            <rFont val="Tahoma"/>
            <family val="2"/>
          </rPr>
          <t>Campagnoli Ivan Luca:</t>
        </r>
        <r>
          <rPr>
            <sz val="9"/>
            <color indexed="81"/>
            <rFont val="Tahoma"/>
            <family val="2"/>
          </rPr>
          <t xml:space="preserve">
 dopo sopralluogo = 0</t>
        </r>
      </text>
    </comment>
    <comment ref="AO6" authorId="0" shapeId="0" xr:uid="{73D82836-A79D-407C-8471-E8BCE51275F1}">
      <text>
        <r>
          <rPr>
            <b/>
            <sz val="9"/>
            <color indexed="81"/>
            <rFont val="Tahoma"/>
            <charset val="1"/>
          </rPr>
          <t>Campagnoli Ivan Luca:</t>
        </r>
        <r>
          <rPr>
            <sz val="9"/>
            <color indexed="81"/>
            <rFont val="Tahoma"/>
            <charset val="1"/>
          </rPr>
          <t xml:space="preserve">
dopo sopralluogo risultato 2</t>
        </r>
      </text>
    </comment>
    <comment ref="W7" authorId="0" shapeId="0" xr:uid="{285897CB-F50C-4B5C-BD8E-A81169D60252}">
      <text>
        <r>
          <rPr>
            <b/>
            <sz val="9"/>
            <color indexed="81"/>
            <rFont val="Tahoma"/>
            <charset val="1"/>
          </rPr>
          <t>Campagnoli Ivan Luca:</t>
        </r>
        <r>
          <rPr>
            <sz val="9"/>
            <color indexed="81"/>
            <rFont val="Tahoma"/>
            <charset val="1"/>
          </rPr>
          <t xml:space="preserve">
non trovato durante sopralluogo = 0</t>
        </r>
      </text>
    </comment>
    <comment ref="AO7" authorId="0" shapeId="0" xr:uid="{515A8387-E618-4F37-BC1D-F2289C40DB25}">
      <text>
        <r>
          <rPr>
            <b/>
            <sz val="9"/>
            <color indexed="81"/>
            <rFont val="Tahoma"/>
            <charset val="1"/>
          </rPr>
          <t>Campagnoli Ivan Luca:</t>
        </r>
        <r>
          <rPr>
            <sz val="9"/>
            <color indexed="81"/>
            <rFont val="Tahoma"/>
            <charset val="1"/>
          </rPr>
          <t xml:space="preserve">
dopo sopralluogo = 10 se contiamo Doria senza sopralluogo</t>
        </r>
      </text>
    </comment>
    <comment ref="O10" authorId="0" shapeId="0" xr:uid="{2D98B03C-EE8D-45A7-84CE-09E4909A2FCE}">
      <text>
        <r>
          <rPr>
            <b/>
            <sz val="9"/>
            <color indexed="81"/>
            <rFont val="Tahoma"/>
            <family val="2"/>
          </rPr>
          <t>Campagnoli Ivan Luca:</t>
        </r>
        <r>
          <rPr>
            <sz val="9"/>
            <color indexed="81"/>
            <rFont val="Tahoma"/>
            <family val="2"/>
          </rPr>
          <t xml:space="preserve">
dopo sopralluogo = 1</t>
        </r>
      </text>
    </comment>
    <comment ref="I18" authorId="0" shapeId="0" xr:uid="{B905EA92-83FD-4815-BEEF-D5CD296F24F6}">
      <text>
        <r>
          <rPr>
            <b/>
            <sz val="9"/>
            <color indexed="81"/>
            <rFont val="Tahoma"/>
            <family val="2"/>
          </rPr>
          <t>Campagnoli Ivan Luca:</t>
        </r>
        <r>
          <rPr>
            <sz val="9"/>
            <color indexed="81"/>
            <rFont val="Tahoma"/>
            <family val="2"/>
          </rPr>
          <t xml:space="preserve">
dopo soppraluogo = 1</t>
        </r>
      </text>
    </comment>
    <comment ref="J18" authorId="0" shapeId="0" xr:uid="{0F183F2F-016C-4ECC-AE85-968578C56E77}">
      <text>
        <r>
          <rPr>
            <b/>
            <sz val="9"/>
            <color indexed="81"/>
            <rFont val="Tahoma"/>
            <family val="2"/>
          </rPr>
          <t>Campagnoli Ivan Luca:</t>
        </r>
        <r>
          <rPr>
            <sz val="9"/>
            <color indexed="81"/>
            <rFont val="Tahoma"/>
            <family val="2"/>
          </rPr>
          <t xml:space="preserve">
dopo sopralluogo = 1</t>
        </r>
      </text>
    </comment>
    <comment ref="K18" authorId="0" shapeId="0" xr:uid="{E92132A9-7323-48DE-A19E-86957029BB93}">
      <text>
        <r>
          <rPr>
            <b/>
            <sz val="9"/>
            <color indexed="81"/>
            <rFont val="Tahoma"/>
            <family val="2"/>
          </rPr>
          <t>Campagnoli Ivan Luca:</t>
        </r>
        <r>
          <rPr>
            <sz val="9"/>
            <color indexed="81"/>
            <rFont val="Tahoma"/>
            <family val="2"/>
          </rPr>
          <t xml:space="preserve">
dopo sopralluogo = 2</t>
        </r>
      </text>
    </comment>
    <comment ref="N18" authorId="0" shapeId="0" xr:uid="{958B9882-5F87-4C8B-8FD9-8D376106516B}">
      <text>
        <r>
          <rPr>
            <b/>
            <sz val="9"/>
            <color indexed="81"/>
            <rFont val="Tahoma"/>
            <family val="2"/>
          </rPr>
          <t>Campagnoli Ivan Luca:</t>
        </r>
        <r>
          <rPr>
            <sz val="9"/>
            <color indexed="81"/>
            <rFont val="Tahoma"/>
            <family val="2"/>
          </rPr>
          <t xml:space="preserve">
dopo sopralluogo = 1</t>
        </r>
      </text>
    </comment>
    <comment ref="AO18" authorId="0" shapeId="0" xr:uid="{8E541345-B68A-4273-BFDD-80A20B5F1C05}">
      <text>
        <r>
          <rPr>
            <b/>
            <sz val="9"/>
            <color indexed="81"/>
            <rFont val="Tahoma"/>
            <charset val="1"/>
          </rPr>
          <t>Campagnoli Ivan Luca:</t>
        </r>
        <r>
          <rPr>
            <sz val="9"/>
            <color indexed="81"/>
            <rFont val="Tahoma"/>
            <charset val="1"/>
          </rPr>
          <t xml:space="preserve">
dopo sopralluogo sono 6 se contiamo Doria senza sopralluogo</t>
        </r>
      </text>
    </comment>
    <comment ref="L20" authorId="0" shapeId="0" xr:uid="{D7463364-1000-486D-AF76-04486DB3C4FE}">
      <text>
        <r>
          <rPr>
            <b/>
            <sz val="9"/>
            <color indexed="81"/>
            <rFont val="Tahoma"/>
            <family val="2"/>
          </rPr>
          <t>Campagnoli Ivan Luca:</t>
        </r>
        <r>
          <rPr>
            <sz val="9"/>
            <color indexed="81"/>
            <rFont val="Tahoma"/>
            <family val="2"/>
          </rPr>
          <t xml:space="preserve">
dopo sopralluogo = 1</t>
        </r>
      </text>
    </comment>
    <comment ref="AO20" authorId="0" shapeId="0" xr:uid="{B164FF2C-964B-40CC-A1FF-F0E761621559}">
      <text>
        <r>
          <rPr>
            <b/>
            <sz val="9"/>
            <color indexed="81"/>
            <rFont val="Tahoma"/>
            <charset val="1"/>
          </rPr>
          <t>Campagnoli Ivan Luca:</t>
        </r>
        <r>
          <rPr>
            <sz val="9"/>
            <color indexed="81"/>
            <rFont val="Tahoma"/>
            <charset val="1"/>
          </rPr>
          <t xml:space="preserve">
dopo sopralluogo 5 se contiamo Doria senza sopralluogo</t>
        </r>
      </text>
    </comment>
    <comment ref="L32" authorId="0" shapeId="0" xr:uid="{10992885-B88A-4144-96E3-8653759F46BA}">
      <text>
        <r>
          <rPr>
            <b/>
            <sz val="9"/>
            <color indexed="81"/>
            <rFont val="Tahoma"/>
            <charset val="1"/>
          </rPr>
          <t>Campagnoli Ivan Luca:</t>
        </r>
        <r>
          <rPr>
            <sz val="9"/>
            <color indexed="81"/>
            <rFont val="Tahoma"/>
            <charset val="1"/>
          </rPr>
          <t xml:space="preserve">
dopo sopralluogo =1</t>
        </r>
      </text>
    </comment>
    <comment ref="AO32" authorId="0" shapeId="0" xr:uid="{81A55FA3-C689-49BD-BB74-C6EDB4B5EADF}">
      <text>
        <r>
          <rPr>
            <b/>
            <sz val="9"/>
            <color indexed="81"/>
            <rFont val="Tahoma"/>
            <charset val="1"/>
          </rPr>
          <t>Campagnoli Ivan Luca:</t>
        </r>
        <r>
          <rPr>
            <sz val="9"/>
            <color indexed="81"/>
            <rFont val="Tahoma"/>
            <charset val="1"/>
          </rPr>
          <t xml:space="preserve">
dopo sopralluogo 12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H2" authorId="0" shapeId="0" xr:uid="{00000000-0006-0000-0400-000001000000}">
      <text>
        <r>
          <rPr>
            <b/>
            <sz val="9"/>
            <color rgb="FF000000"/>
            <rFont val="Tahoma"/>
            <charset val="1"/>
          </rPr>
          <t xml:space="preserve">Autore:
</t>
        </r>
        <r>
          <rPr>
            <sz val="9"/>
            <color rgb="FF000000"/>
            <rFont val="Tahoma"/>
            <charset val="1"/>
          </rPr>
          <t>Struttura vuota 
dati basati sullo stato di progetto dei piani destinati a ODC - previsione fine lavori 06/2026</t>
        </r>
      </text>
    </comment>
  </commentList>
</comments>
</file>

<file path=xl/sharedStrings.xml><?xml version="1.0" encoding="utf-8"?>
<sst xmlns="http://schemas.openxmlformats.org/spreadsheetml/2006/main" count="19966" uniqueCount="763">
  <si>
    <t>Ente</t>
  </si>
  <si>
    <t>Primo Riscontro</t>
  </si>
  <si>
    <t>Secondo riscontro</t>
  </si>
  <si>
    <t>Esito Secondo riscontro</t>
  </si>
  <si>
    <t>Integrazioni inviate</t>
  </si>
  <si>
    <r>
      <rPr>
        <b/>
        <i/>
        <sz val="9"/>
        <color rgb="FF000000"/>
        <rFont val="Calibri"/>
        <family val="2"/>
        <charset val="1"/>
      </rPr>
      <t>Prezzo pagato per verifiche ordinarie periodiche biennali di sicurezza di impianti ascensori (</t>
    </r>
    <r>
      <rPr>
        <b/>
        <sz val="9"/>
        <color rgb="FF000000"/>
        <rFont val="Calibri"/>
        <family val="2"/>
        <charset val="1"/>
      </rPr>
      <t>€/cad)</t>
    </r>
  </si>
  <si>
    <t>Prezzo pagato per verifiche straordinarie periodiche biennali di sicurezza di impianti ascensori (€/cad)</t>
  </si>
  <si>
    <t>ASST del Garda</t>
  </si>
  <si>
    <t>SI</t>
  </si>
  <si>
    <t>Tutte le info inviate, DUVRI compreso</t>
  </si>
  <si>
    <t>Ha inviato file periodicità e file dati quantitativi aggiornato</t>
  </si>
  <si>
    <t>ASST di Bergamo Est</t>
  </si>
  <si>
    <t>Ha inviato file dati quantitativi aggiornato, ha confermato modifiche effettuate su file periodicità ed ha inviato DUVRI</t>
  </si>
  <si>
    <r>
      <rPr>
        <sz val="9"/>
        <color rgb="FF000000"/>
        <rFont val="Calibri"/>
        <family val="2"/>
        <charset val="1"/>
      </rPr>
      <t xml:space="preserve">71. Verifica periodica e straordinaria di ascensori/montacarichi/piattaforme elevatrici per disabili fino a 5 fermate </t>
    </r>
    <r>
      <rPr>
        <b/>
        <sz val="9"/>
        <color rgb="FF000000"/>
        <rFont val="Calibri"/>
        <family val="2"/>
        <charset val="1"/>
      </rPr>
      <t>€ 117,33</t>
    </r>
    <r>
      <rPr>
        <sz val="9"/>
        <color rgb="FF000000"/>
        <rFont val="Calibri"/>
        <family val="2"/>
        <charset val="1"/>
      </rPr>
      <t xml:space="preserve">                                                                                                             
72. Verifica periodica e straordinaria di ascensori/montacarichi/piattaforme elevatrici per disabili per ogni fermata in più oltre la 5a </t>
    </r>
    <r>
      <rPr>
        <b/>
        <sz val="9"/>
        <color rgb="FF000000"/>
        <rFont val="Calibri"/>
        <family val="2"/>
        <charset val="1"/>
      </rPr>
      <t>€ 12,35</t>
    </r>
  </si>
  <si>
    <t>ASST di Lecco</t>
  </si>
  <si>
    <t>Ha inviato file periodicità e file dati quantitativi aggiornato + DUVRI. Ha comunicato inoltre che ha intenzione di effettuare una gara di Partenariato Pubblico Privato relativamente agli ambiti B) e D) esclusivamente per le seguenti strutture:
- Presidio Ospedaliero “San Leopoldo Mandic
- CPS-NPI di via Parini
- CRA di Cernusco Lombardone  
 Si riserva di NON aderire alla futura gara ARIA di Facility Management esclusivamente per tali Strutture e per tali ambiti ove il PPP fosse attivato</t>
  </si>
  <si>
    <t>ASST Ovest Milanese</t>
  </si>
  <si>
    <t>Tutte le info inviate, DUVRI compreso (non ha inviato info relative a dati sul personale perché ha comunicato che non è previsto l'impiego di personale dell'ASST)</t>
  </si>
  <si>
    <t>Ha inviato DUVRI ed ha comunicato che per quanto riguarda il servizio in questione non è previsto l'impiego di personale dell'ASST Ovest Milanese (in analogia al contratto tuttora in essere)</t>
  </si>
  <si>
    <t>ATS dell'Insubria</t>
  </si>
  <si>
    <t>Ha inviato file periodicità e file dati quantitativi aggiornato, in attesa di invio DUVRI</t>
  </si>
  <si>
    <t>-</t>
  </si>
  <si>
    <t>ATS della Val Padana</t>
  </si>
  <si>
    <t>Ente comunica che possono stimare il numero di persone impegnate nelle proprie sedi, ma non hanno contezza dei contratti, che dovrebbe però essere gli stessi delle altre ATS/ASST che hanno aderito alle stesse convenzioni ARIA ( Edile, Clima, Idrico, Antincendio, Elettrico).</t>
  </si>
  <si>
    <t>ATS di Bergamo</t>
  </si>
  <si>
    <t>Ha inviato DUVRI</t>
  </si>
  <si>
    <t>ATS della Brianza</t>
  </si>
  <si>
    <t>Ha inviato il file dati quantitativi, il file delle periodicità non è stato inviato poiché non ha osservazioni da riportare in merito</t>
  </si>
  <si>
    <t>ATS di Brescia</t>
  </si>
  <si>
    <t>La verifica attualmente è effettuata da tecnici interni al servizio impiantistica della ATS. Pertanto, non è possibile indicare un prezzo per tale verifica</t>
  </si>
  <si>
    <t>ASST della Valtellina e dell'Alto Lario</t>
  </si>
  <si>
    <t>NO</t>
  </si>
  <si>
    <t>In attesa riscontro + DUVRI</t>
  </si>
  <si>
    <t>ASST di Mantova</t>
  </si>
  <si>
    <t>ASST Valcamonica</t>
  </si>
  <si>
    <t>Ente non interessato ad aderire alla gara</t>
  </si>
  <si>
    <t>Totale Risultato</t>
  </si>
  <si>
    <t>Riepilogo spesa per lotto e per Ente</t>
  </si>
  <si>
    <t>Lotto</t>
  </si>
  <si>
    <t>Ente sanitario</t>
  </si>
  <si>
    <t>Spesa annua servizi ordinari</t>
  </si>
  <si>
    <t>Spesa annua servizi extracanone</t>
  </si>
  <si>
    <t>Valore complessivo annuo a base d'asta</t>
  </si>
  <si>
    <t>Costo annuo manodopera</t>
  </si>
  <si>
    <t>Incidenza % costo manodopera</t>
  </si>
  <si>
    <t>Spesa annua oneri sicurezza</t>
  </si>
  <si>
    <t>Valore complessivo annuo appalto</t>
  </si>
  <si>
    <t xml:space="preserve">Lotto 1 </t>
  </si>
  <si>
    <t>Lotto 2</t>
  </si>
  <si>
    <t>ASST della Franciacorta</t>
  </si>
  <si>
    <t>Lotto 3</t>
  </si>
  <si>
    <t>Lotto 4</t>
  </si>
  <si>
    <t>ASST FBF Sacco</t>
  </si>
  <si>
    <t>Lotto 5</t>
  </si>
  <si>
    <t>Lotto 6</t>
  </si>
  <si>
    <t xml:space="preserve">Lotto 7 </t>
  </si>
  <si>
    <t>Lotto 8</t>
  </si>
  <si>
    <t>Fondazione I.R.C.C.S. Istituto Nazionale Tumori di Milano</t>
  </si>
  <si>
    <t>Lotto 9</t>
  </si>
  <si>
    <t>Fondazione I.R.C.C.S. Istituto Neurologico Carlo Besta di Milano</t>
  </si>
  <si>
    <t>Lotto 10</t>
  </si>
  <si>
    <t>Lotto 11</t>
  </si>
  <si>
    <t>Lotto 12</t>
  </si>
  <si>
    <t>TOTALE</t>
  </si>
  <si>
    <t>Consistenze</t>
  </si>
  <si>
    <t>Via A. Doria 52</t>
  </si>
  <si>
    <t>Via Don Orione 2</t>
  </si>
  <si>
    <t>Via Farini 9</t>
  </si>
  <si>
    <t>Via Rugabella 4/6</t>
  </si>
  <si>
    <t>Via A. Sassi 4</t>
  </si>
  <si>
    <t>Via Sassi 4 P.ssa Jolanda</t>
  </si>
  <si>
    <t>V.le Jenner 44</t>
  </si>
  <si>
    <t>Via Livigno 3</t>
  </si>
  <si>
    <t>Via Calvairate 1</t>
  </si>
  <si>
    <t>Via Polesine 6</t>
  </si>
  <si>
    <t>Via Adriano 99 e  7</t>
  </si>
  <si>
    <t>POT Bollate</t>
  </si>
  <si>
    <t>Legnano</t>
  </si>
  <si>
    <t>viale Piceno 60</t>
  </si>
  <si>
    <t>via Clericetti 22</t>
  </si>
  <si>
    <t>via Don Bosco 14</t>
  </si>
  <si>
    <t>via Fantoli 7 
Poliamb.</t>
  </si>
  <si>
    <t>via Monte Palombino 4</t>
  </si>
  <si>
    <t>via Quarenghi 21</t>
  </si>
  <si>
    <t>via Aldini 72</t>
  </si>
  <si>
    <t>via Perini 22</t>
  </si>
  <si>
    <t>via Cilea 146A</t>
  </si>
  <si>
    <t>via R. Sanzio 9</t>
  </si>
  <si>
    <t>via Statuto 5</t>
  </si>
  <si>
    <t>via S. Erlemblado 4d</t>
  </si>
  <si>
    <t>via Padova 118</t>
  </si>
  <si>
    <t>L.go Volontari del Sangue 1</t>
  </si>
  <si>
    <t>C.so Plebisciti 4</t>
  </si>
  <si>
    <t>via Serlio 8</t>
  </si>
  <si>
    <t>via Fantoli 7
Consultorio</t>
  </si>
  <si>
    <t>viale Puglie 33</t>
  </si>
  <si>
    <t>via Natta 19</t>
  </si>
  <si>
    <t>via Oglio 18</t>
  </si>
  <si>
    <t>ID Servizio</t>
  </si>
  <si>
    <t>Codice</t>
  </si>
  <si>
    <t>Tipologia Servizio</t>
  </si>
  <si>
    <t>Servizio</t>
  </si>
  <si>
    <t>Unità di misura</t>
  </si>
  <si>
    <t>ID presidio 1</t>
  </si>
  <si>
    <t>ID presidio 2</t>
  </si>
  <si>
    <t>ID presidio 3</t>
  </si>
  <si>
    <t>ID presidio 4</t>
  </si>
  <si>
    <t>ID presidio 5</t>
  </si>
  <si>
    <t>ID presidio 6</t>
  </si>
  <si>
    <t>ID presidio 7</t>
  </si>
  <si>
    <t>ID presidio 8</t>
  </si>
  <si>
    <t>ID presidio 9</t>
  </si>
  <si>
    <t xml:space="preserve">ID presidio  </t>
  </si>
  <si>
    <t>ID presidio 11</t>
  </si>
  <si>
    <t>ID presidio 12</t>
  </si>
  <si>
    <t>ID presidio 14</t>
  </si>
  <si>
    <t>ID presidio 15</t>
  </si>
  <si>
    <t>ID presidio 16</t>
  </si>
  <si>
    <t>ID presidio 17</t>
  </si>
  <si>
    <t>ID presidio 18</t>
  </si>
  <si>
    <t>ID presidio 19</t>
  </si>
  <si>
    <t>ID presidio 20</t>
  </si>
  <si>
    <t>ID presidio 21</t>
  </si>
  <si>
    <t>ID presidio 22</t>
  </si>
  <si>
    <t>ID presidio 23</t>
  </si>
  <si>
    <t>ID presidio 24</t>
  </si>
  <si>
    <t>ID presidio 25</t>
  </si>
  <si>
    <t>ID presidio 26</t>
  </si>
  <si>
    <t>ID presidio 27</t>
  </si>
  <si>
    <t>ID presidio 28</t>
  </si>
  <si>
    <t>ID presidio 29</t>
  </si>
  <si>
    <t>ID presidio 30</t>
  </si>
  <si>
    <t>ID presidio 31</t>
  </si>
  <si>
    <t>ID presidio 32</t>
  </si>
  <si>
    <t>ID presidio 33</t>
  </si>
  <si>
    <t>Consistenze totali</t>
  </si>
  <si>
    <t>1.2</t>
  </si>
  <si>
    <t>B.01 - B.02 - B.12</t>
  </si>
  <si>
    <t>Servizio energia - Manutenzione impianti di climatizzazione (B2)</t>
  </si>
  <si>
    <t>Caldaie da 36kW a 350 kW</t>
  </si>
  <si>
    <t>n.ro caldaie</t>
  </si>
  <si>
    <t>ND</t>
  </si>
  <si>
    <t>conduzione teleriscaldamento</t>
  </si>
  <si>
    <t>1.1</t>
  </si>
  <si>
    <t>Caldaie da 350 kW a  00kW</t>
  </si>
  <si>
    <t xml:space="preserve"> .3</t>
  </si>
  <si>
    <t>B.04</t>
  </si>
  <si>
    <t>Gruppi frigoriferi a vite/centrifughi fino a  0 kW</t>
  </si>
  <si>
    <t>n.ro gruppo frigorifero</t>
  </si>
  <si>
    <t>3.1</t>
  </si>
  <si>
    <t>B.01 -B.05 -B.06 -B.07 - B.09 - B.  - B.11</t>
  </si>
  <si>
    <t>Distribuzione impianti idronici e sottocentrali</t>
  </si>
  <si>
    <t>m2 superficie lorda</t>
  </si>
  <si>
    <t>15.1</t>
  </si>
  <si>
    <t>B.07.05</t>
  </si>
  <si>
    <t>Ventilconvettori</t>
  </si>
  <si>
    <t>n.ro ventilconvettori</t>
  </si>
  <si>
    <t xml:space="preserve"> </t>
  </si>
  <si>
    <t>17.1</t>
  </si>
  <si>
    <t>B.07.07/09</t>
  </si>
  <si>
    <t>Condizionatori tipo split/VRV /carrellabili</t>
  </si>
  <si>
    <t>n.ro unità interna</t>
  </si>
  <si>
    <t>20.1</t>
  </si>
  <si>
    <t>B.08 - B.  - B.15</t>
  </si>
  <si>
    <t>Unità di Trattamento Aria con filtro assoluto</t>
  </si>
  <si>
    <t>n.ro U.T.A.</t>
  </si>
  <si>
    <t>2.1</t>
  </si>
  <si>
    <t>B.01 - B.08.04/ 05/06 - B.09 - B.  - B.11</t>
  </si>
  <si>
    <t>Canali di distribuzione, ripresa, serrande e bocchette e relativi locali tecnici</t>
  </si>
  <si>
    <t>m2 superficie lorda climatizzata (presenti ricambi d'aria)</t>
  </si>
  <si>
    <t>30.1</t>
  </si>
  <si>
    <t>C2 - C6</t>
  </si>
  <si>
    <t>Manutenzione Impianti elettrici (C)</t>
  </si>
  <si>
    <t>Distribuzione elettrica, quadri, ecc.</t>
  </si>
  <si>
    <t>40.1</t>
  </si>
  <si>
    <t>C4.02</t>
  </si>
  <si>
    <t>Rifasatori</t>
  </si>
  <si>
    <t>n.ro rifasatori</t>
  </si>
  <si>
    <t>45.2</t>
  </si>
  <si>
    <t>C5</t>
  </si>
  <si>
    <t>Verifiche locali uso medico</t>
  </si>
  <si>
    <t>n.ro locali gruppo 1 e 2</t>
  </si>
  <si>
    <t>45.1</t>
  </si>
  <si>
    <t>Verifiche impianti di terra e protezione scariche atmosferiche</t>
  </si>
  <si>
    <t>49.1</t>
  </si>
  <si>
    <t>D2.01- D2.02</t>
  </si>
  <si>
    <t>Manutenzione impianti idrici (D)</t>
  </si>
  <si>
    <t>Centrali idriche</t>
  </si>
  <si>
    <t>n.ro vasche</t>
  </si>
  <si>
    <t>50.1</t>
  </si>
  <si>
    <t>D2.02</t>
  </si>
  <si>
    <t>Impianti addolcimento</t>
  </si>
  <si>
    <t>n.ro addolcitori</t>
  </si>
  <si>
    <t>51.1</t>
  </si>
  <si>
    <t>D2.03 - D2.04</t>
  </si>
  <si>
    <t>Distribuzione idrico sanitaria</t>
  </si>
  <si>
    <t>41 9</t>
  </si>
  <si>
    <t>52.1</t>
  </si>
  <si>
    <t>D3.01</t>
  </si>
  <si>
    <t>Apparecchiature controllo legionellosi</t>
  </si>
  <si>
    <t>n.ro impianti produttori biossido di cloro</t>
  </si>
  <si>
    <t>53.1</t>
  </si>
  <si>
    <t>D3.01.06/07</t>
  </si>
  <si>
    <t>Prove della legionella della rete idrico-sanitaria</t>
  </si>
  <si>
    <t>n.ro analisi effettuate annue</t>
  </si>
  <si>
    <t>61.1</t>
  </si>
  <si>
    <t>E1.03 - E1.06 - E3.04</t>
  </si>
  <si>
    <t>Manutenzione impianti e apparecchiature antincendio (E)</t>
  </si>
  <si>
    <t>compartimentazioni, serrande tagliafuoco</t>
  </si>
  <si>
    <t>m2 superficie lorda servita</t>
  </si>
  <si>
    <t>64.1</t>
  </si>
  <si>
    <t>E2.01 - E2.04 - E2.05</t>
  </si>
  <si>
    <t>impianti rivelazione e segnalazione incendi</t>
  </si>
  <si>
    <t>62.1</t>
  </si>
  <si>
    <t>E1.04 - E1.05 - E2.02</t>
  </si>
  <si>
    <t>illuminazione di emergenza, segnaletica antincendio e vie di esodo</t>
  </si>
  <si>
    <t>1 3</t>
  </si>
  <si>
    <t>60.1</t>
  </si>
  <si>
    <t>E1.02</t>
  </si>
  <si>
    <t>Estintori</t>
  </si>
  <si>
    <t>n.ro estintori</t>
  </si>
  <si>
    <t>66.1</t>
  </si>
  <si>
    <t>E3.01 - E3.08</t>
  </si>
  <si>
    <t>Centrale di pressurizzazione</t>
  </si>
  <si>
    <t>n.ro centrali</t>
  </si>
  <si>
    <t>67.1</t>
  </si>
  <si>
    <t>E3.02 - E3.08</t>
  </si>
  <si>
    <t>Rete idrica e terminali</t>
  </si>
  <si>
    <t>n.ro idranti o naspi</t>
  </si>
  <si>
    <t>72.1</t>
  </si>
  <si>
    <t>F1.01</t>
  </si>
  <si>
    <t>Manutenzione impianti elevatori (F)</t>
  </si>
  <si>
    <t>Elevatori 1-5 piani (fino a 6 fermate)</t>
  </si>
  <si>
    <t>n.ro elevatori</t>
  </si>
  <si>
    <t>72.2</t>
  </si>
  <si>
    <t>Elevatori 6-  piani (fino a 11 fermate)</t>
  </si>
  <si>
    <t>73.1</t>
  </si>
  <si>
    <t>F1.02</t>
  </si>
  <si>
    <t>Servoscala</t>
  </si>
  <si>
    <t>n.ro servoscala</t>
  </si>
  <si>
    <t>76.1</t>
  </si>
  <si>
    <t>G1</t>
  </si>
  <si>
    <t>Manutenzione edile (G)</t>
  </si>
  <si>
    <t>Pompe di sollevamento acque nere e chiare</t>
  </si>
  <si>
    <t>n.ro impianti sollevamento acque chiare e nere</t>
  </si>
  <si>
    <t>80.1</t>
  </si>
  <si>
    <t>G2.01.01</t>
  </si>
  <si>
    <t>Cancelli e sbarre motorizzati</t>
  </si>
  <si>
    <t>n.ro cancelli e sbarre motorizzate</t>
  </si>
  <si>
    <t>Struttura vuota 
dati basati sullo stato di progetto dei piani destinati a ODC - previsione fine lavori 06/2026</t>
  </si>
  <si>
    <t>assistenza per sostituzione lampade al neon o led</t>
  </si>
  <si>
    <t>Contratto Comodato d’uso scad.31/ /26 o Fino a fine lavori PNRR</t>
  </si>
  <si>
    <t>In fase di ristrutturazione per creazione Casa di Comunità</t>
  </si>
  <si>
    <t>Assistenza per conduzione teleriscaldamento, regolazione, ecc.</t>
  </si>
  <si>
    <t>Assistenza su terminali impianto riscaldamento (sfiato caloriferi, manutenzione valvole; conduzione teleriscaldamento)</t>
  </si>
  <si>
    <t>59.1</t>
  </si>
  <si>
    <t>E1.01</t>
  </si>
  <si>
    <t>Porte tagliafuoco</t>
  </si>
  <si>
    <t>n.ro porte tagliafuoco</t>
  </si>
  <si>
    <t>81.1</t>
  </si>
  <si>
    <t>G2.01.02</t>
  </si>
  <si>
    <t>Porte automatiche e portoni sezionali</t>
  </si>
  <si>
    <t>n.ro porte automatiche</t>
  </si>
  <si>
    <t xml:space="preserve">da richiedere se va fatta manutenzione anche a manichette </t>
  </si>
  <si>
    <t xml:space="preserve">Dettaglio prezzi offerti </t>
  </si>
  <si>
    <t xml:space="preserve">Consistenze totali (al netto di presidio ID6) </t>
  </si>
  <si>
    <t xml:space="preserve">Consistenze Presidio ID6 </t>
  </si>
  <si>
    <t>Prezzo a base d’asta troncata a 5 cifre
€ Iva esclusa</t>
  </si>
  <si>
    <t xml:space="preserve">Spesa a BA annuale 
(al netto Presidio ID6) </t>
  </si>
  <si>
    <t>Spesa a BA annuale 
Presidio ID6</t>
  </si>
  <si>
    <t>Spesa a BA Spesa a BA totale 
(3 anni al netto di ID6 + 22 mesi ID6)</t>
  </si>
  <si>
    <r>
      <rPr>
        <b/>
        <sz val="9"/>
        <rFont val="Calibri"/>
        <family val="2"/>
        <charset val="1"/>
      </rPr>
      <t xml:space="preserve">Prezzo unitario offerto (indicare il prezzo offerto, che dovrà essere pari o inf. al prezzo a base d'asta </t>
    </r>
    <r>
      <rPr>
        <b/>
        <sz val="9"/>
        <color rgb="FFFF0000"/>
        <rFont val="Calibri"/>
        <family val="2"/>
        <charset val="1"/>
      </rPr>
      <t>di cui alla COLONNA I</t>
    </r>
    <r>
      <rPr>
        <b/>
        <sz val="9"/>
        <rFont val="Calibri"/>
        <family val="2"/>
        <charset val="1"/>
      </rPr>
      <t>)</t>
    </r>
  </si>
  <si>
    <t>Spesa annuale 
(al netto del presidio ID6)</t>
  </si>
  <si>
    <t>Spesa triennale 
(al netto del presidio ID6)</t>
  </si>
  <si>
    <t>Spesa annuale 
Presidio ID6</t>
  </si>
  <si>
    <t>Spesa 22 mesi 
Presidio ID6</t>
  </si>
  <si>
    <t xml:space="preserve"> Manutenzione impianti di climatizzazione (B2)</t>
  </si>
  <si>
    <t>Caldaie da 350 kW a 1000kW</t>
  </si>
  <si>
    <t>13.3</t>
  </si>
  <si>
    <t>Gruppi frigoriferi a vite/centrifughi fino a 100 kW</t>
  </si>
  <si>
    <t>B.01 -B.05 -B.06 -B.07 - B.09 - B.10 - B.11</t>
  </si>
  <si>
    <t>B.08 - B.13 - B.15</t>
  </si>
  <si>
    <t>B.01 - B.08.04/ 05/06 - B.09 - B.10 - B.11</t>
  </si>
  <si>
    <t>Canali di distribuzione, ripresa, serrande e bocchette e  locali tecnici</t>
  </si>
  <si>
    <t>n.ro Rifasatori</t>
  </si>
  <si>
    <t>Elevatori 6-10 piani (fino a 11 fermate)</t>
  </si>
  <si>
    <t>96.2</t>
  </si>
  <si>
    <t>N.A.</t>
  </si>
  <si>
    <t>Canone per la gestione (A)</t>
  </si>
  <si>
    <t>Governo della commessa (call center, reperibilità, supporto gestionale)</t>
  </si>
  <si>
    <t>somma pari al 5% del valore totale servizi manutentivi attivati  (B-C-D-E-F-G-H)</t>
  </si>
  <si>
    <t>96.4</t>
  </si>
  <si>
    <t>Rilievi architettonici</t>
  </si>
  <si>
    <t>mq</t>
  </si>
  <si>
    <t xml:space="preserve">TOTALI </t>
  </si>
  <si>
    <t>Ribasso totale offerto</t>
  </si>
  <si>
    <t>Lotto 1</t>
  </si>
  <si>
    <t> Servizio</t>
  </si>
  <si>
    <t>Prezzo a base d’asta
€ Iva esclusa</t>
  </si>
  <si>
    <t>ASST Centro Specialistico Ortopedico Traumatologico Gaetano PINI/CTO</t>
  </si>
  <si>
    <t>Valore ANNUALE ASST Pini a BA</t>
  </si>
  <si>
    <t>Fondazione I.R.C.C.S. Ca' Granda Ospedale Maggiore Policlinico</t>
  </si>
  <si>
    <t>Valore ANNUALE Ca' Granda a BA</t>
  </si>
  <si>
    <t>Valore ANNUALE Istituto Nazionale Tumori a BA</t>
  </si>
  <si>
    <t>Valore ANNUALE Istituto Carlo Besta a BA</t>
  </si>
  <si>
    <t>Valore ANNUALE ASST FBF Sacco a BA</t>
  </si>
  <si>
    <t>ASST Melegnano e della Martesana</t>
  </si>
  <si>
    <t>Valore ANNUALE ASST Melegnano a BA</t>
  </si>
  <si>
    <t>ASST Nord Milano</t>
  </si>
  <si>
    <t>Valore ANNUALE ASST Nord Milano a BA</t>
  </si>
  <si>
    <t>Valore ANNUALE ASST Ovest Milanese a BA</t>
  </si>
  <si>
    <t>Valore ANNUALE ATS Brianza a BA</t>
  </si>
  <si>
    <t>Valore ANNUALE ASST Valtellina a BA</t>
  </si>
  <si>
    <t>Valore ANNUALE ASST Lecco a BA</t>
  </si>
  <si>
    <t>Valore ANNUALE ATS Insubria a BA</t>
  </si>
  <si>
    <t>Valore ANNUALE ASST Garda a BA</t>
  </si>
  <si>
    <t>Valore ANNUALE ASST Franciacorta a BA</t>
  </si>
  <si>
    <t>Valore ANNUALE ASST Bergamo est a BA</t>
  </si>
  <si>
    <t>Valore ANNUALE ATS Bergamo a BA</t>
  </si>
  <si>
    <t>Valore ANNUALE ATS Brescia a BA</t>
  </si>
  <si>
    <t>ASST di Crema</t>
  </si>
  <si>
    <t>Valore ANNUALE ASST Crema a BA</t>
  </si>
  <si>
    <t>Valore ANNUALE ASST Mantova a BA</t>
  </si>
  <si>
    <t>Servizio energia  - fornitura del combustibile o energia primaria (B1)</t>
  </si>
  <si>
    <t>B1.1</t>
  </si>
  <si>
    <t>gas metano</t>
  </si>
  <si>
    <t>mc</t>
  </si>
  <si>
    <t>B1.2</t>
  </si>
  <si>
    <t>gasolio</t>
  </si>
  <si>
    <t>kWh</t>
  </si>
  <si>
    <t>B1.3</t>
  </si>
  <si>
    <t>BTZ</t>
  </si>
  <si>
    <t>B1.4</t>
  </si>
  <si>
    <t>Teleriscaldamento</t>
  </si>
  <si>
    <t>B1.5</t>
  </si>
  <si>
    <t>Olio Vegetale</t>
  </si>
  <si>
    <t>Servizio energia - Manutenzione impianti di climatizzazione(B2)</t>
  </si>
  <si>
    <t>Caldaie fino a 35kW</t>
  </si>
  <si>
    <t>Caldaie superiore a 1000 kW</t>
  </si>
  <si>
    <t>B.02.02</t>
  </si>
  <si>
    <t>Serbatoi di combustibile liquido</t>
  </si>
  <si>
    <t>n.ro serbatoi</t>
  </si>
  <si>
    <t>B.02.03</t>
  </si>
  <si>
    <t>Produttore di vapore ad olio diatermico con evaporatore</t>
  </si>
  <si>
    <t>B.02.11</t>
  </si>
  <si>
    <t>Solare termico</t>
  </si>
  <si>
    <t>kW</t>
  </si>
  <si>
    <t>B.02.13</t>
  </si>
  <si>
    <t>Scambiatori di calore (piastre e fascio tubiero) da 201kW a 1000 kW</t>
  </si>
  <si>
    <t>n.ro scambiatori</t>
  </si>
  <si>
    <t>Scambiatori di calore (piastre e fascio tubiero) fino a 200 kW</t>
  </si>
  <si>
    <t>Scambiatori di calore (piastre e fascio tubiero) superiore a 1000kW</t>
  </si>
  <si>
    <t>B.02.14 / 15 - B.12</t>
  </si>
  <si>
    <t>Generatori indiretti di vapore e accessori</t>
  </si>
  <si>
    <t>n.ro generatori indiretti di vapore</t>
  </si>
  <si>
    <t>B.02.16 / 15 - B.12</t>
  </si>
  <si>
    <t>Generatori di vapore elettrici e accessori</t>
  </si>
  <si>
    <t>n.ro generatori di vapore elettrici</t>
  </si>
  <si>
    <t>B.02.20</t>
  </si>
  <si>
    <t>Generatori aria Calda a Gas/GPL (Tipo Monoblocco)</t>
  </si>
  <si>
    <t>n.ro generatori</t>
  </si>
  <si>
    <t>B.03.01</t>
  </si>
  <si>
    <t>Conduzione cogeneratore</t>
  </si>
  <si>
    <t>ore</t>
  </si>
  <si>
    <t>B.03.02/03/04/05/06/07</t>
  </si>
  <si>
    <t>Manutenzione cogeneratore di potenza compresa fra 100 e 350 kW termici</t>
  </si>
  <si>
    <t>Manutenzione cogeneratore di potenza inferiore a 100 kW termici</t>
  </si>
  <si>
    <t>Manutenzione cogeneratore di potenza superiore 350 kW termici</t>
  </si>
  <si>
    <t>Gruppi frigoriferi a vite/centrifughi da 101 kW a 350 kW</t>
  </si>
  <si>
    <t>Gruppi frigoriferi a vite/centrifughi da 351 kW a 1000 kW</t>
  </si>
  <si>
    <t>Gruppi frigoriferi a vite/centrifughi oltre 1000 kW</t>
  </si>
  <si>
    <t>B.04 - B.15</t>
  </si>
  <si>
    <t>Torri evaporative</t>
  </si>
  <si>
    <t>n.ro torri evaporative</t>
  </si>
  <si>
    <t>n.ro ventilcovettori</t>
  </si>
  <si>
    <t>B.07.06</t>
  </si>
  <si>
    <t>Aerotermi - lame d'aria</t>
  </si>
  <si>
    <t>n.ro aerotermi - lame d'aria</t>
  </si>
  <si>
    <t>B.07.10</t>
  </si>
  <si>
    <t>Armadi refrigerati</t>
  </si>
  <si>
    <t>n.ro armadi</t>
  </si>
  <si>
    <t>B.08</t>
  </si>
  <si>
    <t>Filtri a carbone</t>
  </si>
  <si>
    <t>n.ro cartucce</t>
  </si>
  <si>
    <t>Unità di Trattamento Aria senza filtro assoluto</t>
  </si>
  <si>
    <t>B.09.05</t>
  </si>
  <si>
    <t>Sistema di supervisione e software</t>
  </si>
  <si>
    <t>numero sistemi</t>
  </si>
  <si>
    <t>Sistema di supervisione e software, punti di supervisione (sono inclusi punti di supervisione anche di altri impianti che afferiscono al medesimo sistema)</t>
  </si>
  <si>
    <t>n. punti supervisionati</t>
  </si>
  <si>
    <t>B.09.07</t>
  </si>
  <si>
    <t>Sistema di controllo ambientale al servizio delle SO (tipo ETRA)</t>
  </si>
  <si>
    <t>n. impianto</t>
  </si>
  <si>
    <t>B.14</t>
  </si>
  <si>
    <t>Determinazione della carica microbiologica ambientale "at rest" e "in operational"  (nota: n.6 analisi semestrali per locale)</t>
  </si>
  <si>
    <t>n. analisi</t>
  </si>
  <si>
    <t>Verifiche per attestazione classe di contaminazione particellare - ISO 5 (nota: analisi semestrali per locale - n. analisi per locale=radice quadrata della superficie del locale)</t>
  </si>
  <si>
    <t>Verifiche per attestazione classe di contaminazione particellare - ISO 7/ ISO 8 (nota: analisi annuale per locale - n. analisi per locale=radice quadrata della superficie del locale)</t>
  </si>
  <si>
    <t>B.16</t>
  </si>
  <si>
    <t>Impianto di refrigerazione cella frigo (deposito farmaci)</t>
  </si>
  <si>
    <t>n. celle frigo</t>
  </si>
  <si>
    <t>(blank)</t>
  </si>
  <si>
    <t>Presidio fisso per conduzione centrali termiche con produzione di vapore (1 persona h24/365)</t>
  </si>
  <si>
    <t>n. presidi (h24/365)</t>
  </si>
  <si>
    <t>Manutenzione Impianti elettrici ( C)</t>
  </si>
  <si>
    <t>C2.09</t>
  </si>
  <si>
    <t>Corpi illuminanti esterni</t>
  </si>
  <si>
    <t>n.ro corpi illuminanti esterni</t>
  </si>
  <si>
    <t>C3.01</t>
  </si>
  <si>
    <t>Sistema di controllo e supervisione impianti elettrici e speciali</t>
  </si>
  <si>
    <t>n.ro punti di supervisione</t>
  </si>
  <si>
    <t>C3.02</t>
  </si>
  <si>
    <t>Impianti comunicazione paziente personale</t>
  </si>
  <si>
    <t>n.ro posti letto</t>
  </si>
  <si>
    <t>C3.03</t>
  </si>
  <si>
    <t>Impianti interfonici</t>
  </si>
  <si>
    <t>C3.04</t>
  </si>
  <si>
    <t>Impianti antintrusione</t>
  </si>
  <si>
    <t>m2 lordi superficie servita</t>
  </si>
  <si>
    <t>C3.05</t>
  </si>
  <si>
    <t>Impianti allarmi tecnologici - gas – allagamento</t>
  </si>
  <si>
    <t>n.ro impianti</t>
  </si>
  <si>
    <t>C3.06</t>
  </si>
  <si>
    <t>Impianti SOV</t>
  </si>
  <si>
    <t>C3.07</t>
  </si>
  <si>
    <t>Controllo Accessi</t>
  </si>
  <si>
    <t>n. varchi</t>
  </si>
  <si>
    <t>C4.01</t>
  </si>
  <si>
    <t>Trasformatori</t>
  </si>
  <si>
    <t>n.ro trasformatori</t>
  </si>
  <si>
    <t>C4.03</t>
  </si>
  <si>
    <t>Gruppo elettrogeno da 501 kVA a 800 kVA</t>
  </si>
  <si>
    <t>n.ro gruppi elettrogeni</t>
  </si>
  <si>
    <t>Gruppo elettrogeno fino a 500 kVA</t>
  </si>
  <si>
    <t>Gruppo elettrogeno oltre 1000 kVA</t>
  </si>
  <si>
    <t>C4.04</t>
  </si>
  <si>
    <t>Gruppi di continuità rotanti da 1000 a 2000 kVA</t>
  </si>
  <si>
    <t>n.ro gruppi di continuità rot</t>
  </si>
  <si>
    <t>Gruppo elettrogeno fino da 801 kVA a 1000 kVA</t>
  </si>
  <si>
    <t>C4.05</t>
  </si>
  <si>
    <t>Gruppo statico di continuità / soccorritore  da 101 kVA a 160 kVA</t>
  </si>
  <si>
    <t>n.ro gruppi statici di continuità</t>
  </si>
  <si>
    <t>Gruppo statico di continuità / soccorritore da 11 kVA a 60 kVA</t>
  </si>
  <si>
    <t>Gruppo statico di continuità / soccorritore da 61 kVA a 100 kVA</t>
  </si>
  <si>
    <t>Gruppo statico di continuità /soccorritore  fino a 10 kVA</t>
  </si>
  <si>
    <t>Gruppo statico di continuità /soccorritore oltre 160 kVA</t>
  </si>
  <si>
    <t>C4.07</t>
  </si>
  <si>
    <t>Impianti fotovoltaici</t>
  </si>
  <si>
    <t>kWp</t>
  </si>
  <si>
    <t>C4.08</t>
  </si>
  <si>
    <t>Cabina smistamento media tensione</t>
  </si>
  <si>
    <t>n.ro cabine</t>
  </si>
  <si>
    <t>Impianto elettrico e illuminazione elisuperficie</t>
  </si>
  <si>
    <t>n. elisuperficie</t>
  </si>
  <si>
    <t>n. unità  per servizio telecontrollo e gestione emergenza (h24/365)</t>
  </si>
  <si>
    <t>n. unità (h24/365)</t>
  </si>
  <si>
    <t>Presidio emergenze</t>
  </si>
  <si>
    <t>Feriali 17.00-8.00, sabato domenica e festivi</t>
  </si>
  <si>
    <t>Impianti di osmosi inversa</t>
  </si>
  <si>
    <t>n.ro apparecchiature di osmosi</t>
  </si>
  <si>
    <t>D3.02</t>
  </si>
  <si>
    <t>Trattamento acqua dialisi – anche MD</t>
  </si>
  <si>
    <t>n.ro impianti trattamento acqua dialisi</t>
  </si>
  <si>
    <t>D3.03</t>
  </si>
  <si>
    <t>Erogatori di acqua potabile microfiltrata</t>
  </si>
  <si>
    <t>n.ro erogatori</t>
  </si>
  <si>
    <t>Ultrafiltri in linea</t>
  </si>
  <si>
    <t>n.ro ultrafiltri in linea</t>
  </si>
  <si>
    <t>D3.04</t>
  </si>
  <si>
    <t>Filtrazione assoluta ai terminali</t>
  </si>
  <si>
    <t>n.ro terminali con filtro</t>
  </si>
  <si>
    <t>D3.05</t>
  </si>
  <si>
    <t>Piscina ad uso riabilitativo</t>
  </si>
  <si>
    <t>n. piscina</t>
  </si>
  <si>
    <t>E1.07</t>
  </si>
  <si>
    <t>Evacuatori di fumo e calore e infissi motorizzati ai fini antincendio</t>
  </si>
  <si>
    <t>n.ro evacuatori di fumo e calore</t>
  </si>
  <si>
    <t>E2.03</t>
  </si>
  <si>
    <t>Sistema di supervisione dell'impianto antincendio</t>
  </si>
  <si>
    <t>Numero di punti di supervisione</t>
  </si>
  <si>
    <t>E3.05 - E3.08</t>
  </si>
  <si>
    <t>Impianti spegnimento automatico a gas inerte</t>
  </si>
  <si>
    <t>n.ro impianti a spegnimento automatico a gas</t>
  </si>
  <si>
    <t>E3.06</t>
  </si>
  <si>
    <t>Impianto spegnimento a schiuma elisuperficie</t>
  </si>
  <si>
    <t>E3.07</t>
  </si>
  <si>
    <t>Estrattori d'aria ai fini antincendio</t>
  </si>
  <si>
    <t>n. estrattori</t>
  </si>
  <si>
    <t>E3-03</t>
  </si>
  <si>
    <t>Impianti di spegnimento a sprinkler</t>
  </si>
  <si>
    <t>m2 di superficie netta dei locali serviti da impianti sprinkler</t>
  </si>
  <si>
    <t>Elevatori oltre i 10 piani (oltre 11 fermate)</t>
  </si>
  <si>
    <t>F1.03</t>
  </si>
  <si>
    <t>Scale mobili</t>
  </si>
  <si>
    <t>n.ro rampe motorizzate+D2</t>
  </si>
  <si>
    <t>F1.04</t>
  </si>
  <si>
    <t>Piattaforma elevatrice</t>
  </si>
  <si>
    <t>n.ro piattaforme elevatrici</t>
  </si>
  <si>
    <t>G1.01 - G1.02 - G1.03 - G1.04 - G1.05 - G1.09 - G1.10 - G1.11</t>
  </si>
  <si>
    <t>Manutenzione edile aree interne</t>
  </si>
  <si>
    <t>m2 di superficie lorda fabbricati</t>
  </si>
  <si>
    <t>G1.06.02 - G2.06 - G2.07</t>
  </si>
  <si>
    <t>Fosse biologiche &gt; 5 mc/vasche di prima pioggia/disoleatori</t>
  </si>
  <si>
    <t>n.ro</t>
  </si>
  <si>
    <t>G1.07 - G1.08 – G3.02 - G1.06</t>
  </si>
  <si>
    <t>Manutenzione edile aree esterne</t>
  </si>
  <si>
    <t>m2 di superficie lorda area grigia</t>
  </si>
  <si>
    <t>G2.01.03</t>
  </si>
  <si>
    <t>Porte automatiche per bunker radioprotetto</t>
  </si>
  <si>
    <t>n.ro porte automatiche per bunker radioprotetto</t>
  </si>
  <si>
    <t>G2.02</t>
  </si>
  <si>
    <t>Linee vita e sistemi di ancoraggio</t>
  </si>
  <si>
    <t>n.ro sistemi di ancoraggio (linee vita)</t>
  </si>
  <si>
    <t>G2.03</t>
  </si>
  <si>
    <t>Sistema anticaduta perimetrale elisuperficie in quota</t>
  </si>
  <si>
    <t>G2.04</t>
  </si>
  <si>
    <t>Impianto smaltimento reflui infetti laboratorio</t>
  </si>
  <si>
    <t>n.ro impianto</t>
  </si>
  <si>
    <t>G2.05</t>
  </si>
  <si>
    <t>Impianti di smaltimento liquidi radioattivi</t>
  </si>
  <si>
    <t>G2.08</t>
  </si>
  <si>
    <t>Impianto smaltimento liquidi autoptici</t>
  </si>
  <si>
    <t>G2.09</t>
  </si>
  <si>
    <t>Impianto declorazione (piazzola rifiuti)</t>
  </si>
  <si>
    <t>G2.12</t>
  </si>
  <si>
    <t>Impianto di abbattimento tensioattivi per reflui</t>
  </si>
  <si>
    <t>G3</t>
  </si>
  <si>
    <t>Manutenzione del verde</t>
  </si>
  <si>
    <t>m2 area verde</t>
  </si>
  <si>
    <t>G3.05</t>
  </si>
  <si>
    <t>Impianti di irrigazione</t>
  </si>
  <si>
    <t>n.ro impianti irrigazione</t>
  </si>
  <si>
    <t>G3.06</t>
  </si>
  <si>
    <t>Stato vegetativo patrimonio arboreo</t>
  </si>
  <si>
    <t>n.ro alberi</t>
  </si>
  <si>
    <t>Numero analisi aria per rilevazione amianto (con metodica SEM)</t>
  </si>
  <si>
    <t>n.ro analisi annue</t>
  </si>
  <si>
    <t>Numero prelievi aria per rilevazione amianto</t>
  </si>
  <si>
    <t>n.ro prelievi annui</t>
  </si>
  <si>
    <t xml:space="preserve">Tinteggiature a smalto per interni e attività propedeutiche e accessorie alla stessa </t>
  </si>
  <si>
    <t>mq a consumo</t>
  </si>
  <si>
    <t xml:space="preserve">Tinteggiature con idropittura per interni e attività propedeutiche e accessorie alla stessa </t>
  </si>
  <si>
    <t>Servizio neve (H)</t>
  </si>
  <si>
    <t>H</t>
  </si>
  <si>
    <t>Servizio di pronta disponibilità mezzi</t>
  </si>
  <si>
    <t>euro/annui</t>
  </si>
  <si>
    <t>Canone per la gestione(A)</t>
  </si>
  <si>
    <t>% del valore totale servizi manutentivi attivati  (B-C-D-E-F-G-H)</t>
  </si>
  <si>
    <t>Costituzione anagrafica tecnica</t>
  </si>
  <si>
    <t>Implementazione sistema informativo</t>
  </si>
  <si>
    <t>Rilievi impiantistici</t>
  </si>
  <si>
    <t>NEW</t>
  </si>
  <si>
    <t>b1 New</t>
  </si>
  <si>
    <t>travi fredde complete di travi motorizzate honeywell</t>
  </si>
  <si>
    <t>b2 New</t>
  </si>
  <si>
    <t>impianto aspirazione cappe cucina</t>
  </si>
  <si>
    <t>c1 New</t>
  </si>
  <si>
    <t>impianto interfonico comunicazione cabina ascensori, locali macchina, sbarchi ai piani ascensori VVF, portineria</t>
  </si>
  <si>
    <t>n. centrali collegate a 17 elevatori</t>
  </si>
  <si>
    <t>c2 New</t>
  </si>
  <si>
    <t>impianti videosorveglianza</t>
  </si>
  <si>
    <t>n. impianti</t>
  </si>
  <si>
    <t>d New</t>
  </si>
  <si>
    <t>pozzi (compreso pompe, n° 3 filtri a carbone da 3000 lt cd, ecc.)</t>
  </si>
  <si>
    <t>Grand Total</t>
  </si>
  <si>
    <t>Completato</t>
  </si>
  <si>
    <t xml:space="preserve">Informazioni Anagrafiche [Nome e Cognome del referente] </t>
  </si>
  <si>
    <t xml:space="preserve">Informazioni Anagrafiche [Ente/Amministrazione di appartenenza] </t>
  </si>
  <si>
    <t xml:space="preserve">Informazioni Anagrafiche [Ufficio/Area competente] </t>
  </si>
  <si>
    <t xml:space="preserve">Informazioni Anagrafiche [Ruolo] </t>
  </si>
  <si>
    <t xml:space="preserve">Informazioni Anagrafiche [E-mail] </t>
  </si>
  <si>
    <t xml:space="preserve">Informazioni Anagrafiche [Telefono] </t>
  </si>
  <si>
    <t xml:space="preserve">Ritenete che la vostra Azienda possa essere interessata nel breve/medio periodo a partecipare ad una iniziativa centralizzata per l'approvvigionamento di Servizi di Facility Management e Manutenzione?? </t>
  </si>
  <si>
    <t>Si prega di indicare il motivo del mancato interesse (ad es. servizio previsto da altri contratti con oggetto più ampio)</t>
  </si>
  <si>
    <t>  Si prega di scaricare il file inerente i dati quantitativi relativi alla fornitura di Servizi di Facility Management e Manutenzione, compilarlo nelle sue parti e riallegarlo.</t>
  </si>
  <si>
    <t>Si prega di scaricare il file inerente le Periodicità relative alla fornitura di Servizi di Facility Management e Manutenzione, compilarlo nelle sue parti e riallegarlo.</t>
  </si>
  <si>
    <t>Eventuali note</t>
  </si>
  <si>
    <t>ATS DELL'INSUBRIA</t>
  </si>
  <si>
    <t>Si</t>
  </si>
  <si>
    <t>MAURO CRIMELLA</t>
  </si>
  <si>
    <t>ATS INSUBRIA</t>
  </si>
  <si>
    <t>UOC PROGR. GEST. APPR. BENI E SERVIZI</t>
  </si>
  <si>
    <t>DIRIGENTE</t>
  </si>
  <si>
    <t>crimellam@ats-insubria.it</t>
  </si>
  <si>
    <t>031/370919</t>
  </si>
  <si>
    <t>ARIAFOLFacilityMgmt20210514.xlsx</t>
  </si>
  <si>
    <t>ARIAFOLFacilityMgmtPeriodicità20210514.xlsx</t>
  </si>
  <si>
    <t>ATS DELLA BRIANZA</t>
  </si>
  <si>
    <t>Leonardo Sferrazza Papa</t>
  </si>
  <si>
    <t>UOC Risorse Strumentali e Logistiche</t>
  </si>
  <si>
    <t>Direttore</t>
  </si>
  <si>
    <t>leonardo.sferrazzapapa@ats-brianza.it</t>
  </si>
  <si>
    <t>039/2384202</t>
  </si>
  <si>
    <t>ATSdellaBrianza286536655ARIAFOLFacilityMgmt20210730.xls</t>
  </si>
  <si>
    <t>ATSdellaBrianza286536656ARIAFOLFacilityMgmtPeriodicità20210730.xls</t>
  </si>
  <si>
    <t>ATS DI BERGAMO</t>
  </si>
  <si>
    <t>Luisella Bettineschi</t>
  </si>
  <si>
    <t>ATS Bergamo</t>
  </si>
  <si>
    <t>AGAT-STP</t>
  </si>
  <si>
    <t>funzionario</t>
  </si>
  <si>
    <t>luisella.bettineschi@ats-bg.it</t>
  </si>
  <si>
    <t>286536655ARIAFOLFacilityMgmt20210730.xls</t>
  </si>
  <si>
    <t>286536656ARIAFOLFacilityMgmtPeriodicità20210730.xls</t>
  </si>
  <si>
    <t>ATS DI BRESCIA</t>
  </si>
  <si>
    <t>Si (fabbisogno mandato offline)</t>
  </si>
  <si>
    <t>ATS Brescia</t>
  </si>
  <si>
    <t>ASST DI BERGAMO EST</t>
  </si>
  <si>
    <t>carlo alberto colombo</t>
  </si>
  <si>
    <t>asst di bergamo est</t>
  </si>
  <si>
    <t>tecnico</t>
  </si>
  <si>
    <t>dirigente</t>
  </si>
  <si>
    <t>carlo.colombo@asst-bergamoest.it</t>
  </si>
  <si>
    <t>035/306.3700</t>
  </si>
  <si>
    <t>il documento periodicità disponibile a portale non ha recepito le osservazioni condivise nelle riunioni tecniche. nel documento allegato relativo alle periodicità abbiamo evidenziato nella colonna "operazione previste" quelle celle oggetto di modifica ed approvate dal gruppo tecnico.</t>
  </si>
  <si>
    <t>ASST DI MANTOVA</t>
  </si>
  <si>
    <t>No</t>
  </si>
  <si>
    <t>Giacomo Giatti</t>
  </si>
  <si>
    <t>Struttura Tecnico Economale e dei Servizi</t>
  </si>
  <si>
    <t>Dirigente Amm.vo</t>
  </si>
  <si>
    <t>giacomo.giatti@asst-mantova.it</t>
  </si>
  <si>
    <t>ASST DELLA VALTELLINA E DELL'ALTO LARIO</t>
  </si>
  <si>
    <t>Cristiano Zanesi</t>
  </si>
  <si>
    <t>Servizio Tecnico Patrimoniale</t>
  </si>
  <si>
    <t>cristiano.zanesi@asst-val.it</t>
  </si>
  <si>
    <t>0342 521359</t>
  </si>
  <si>
    <t>ASST DEL GARDA</t>
  </si>
  <si>
    <t>Viviana Sganga</t>
  </si>
  <si>
    <t>AAST del Garda</t>
  </si>
  <si>
    <t>Servizio Gestione Acquisti</t>
  </si>
  <si>
    <t>Responsabile</t>
  </si>
  <si>
    <t>viviana.sganga@asst-garda.it</t>
  </si>
  <si>
    <t>030-9145857</t>
  </si>
  <si>
    <t>286536655ARIAFOLFacilityMgmt20210730ASSTGarda.xls</t>
  </si>
  <si>
    <t>286536656ARIAFOLFacilityMgmtPeriodicità20210730ASSTGarda.xls</t>
  </si>
  <si>
    <t>ID presidio 10</t>
  </si>
  <si>
    <t>ID presidio 13</t>
  </si>
  <si>
    <t>ID presidio 34</t>
  </si>
  <si>
    <t>ID presidio 35</t>
  </si>
  <si>
    <t>Spesa a BA</t>
  </si>
  <si>
    <t>Note</t>
  </si>
  <si>
    <t>Lotto - Brianza, Lecco</t>
  </si>
  <si>
    <t>26.1</t>
  </si>
  <si>
    <t>27.1</t>
  </si>
  <si>
    <t>28.1</t>
  </si>
  <si>
    <t>29.1</t>
  </si>
  <si>
    <t>ESCLUSO</t>
  </si>
  <si>
    <t>1.3</t>
  </si>
  <si>
    <t>1.4</t>
  </si>
  <si>
    <t>5.1</t>
  </si>
  <si>
    <t>6.1</t>
  </si>
  <si>
    <t>4.1</t>
  </si>
  <si>
    <t>7.2</t>
  </si>
  <si>
    <t>7.1</t>
  </si>
  <si>
    <t>7.3</t>
  </si>
  <si>
    <t>8.1</t>
  </si>
  <si>
    <t>9.1</t>
  </si>
  <si>
    <t>10.1</t>
  </si>
  <si>
    <t>11.1</t>
  </si>
  <si>
    <t>12.2</t>
  </si>
  <si>
    <t>12.1</t>
  </si>
  <si>
    <t>12.3</t>
  </si>
  <si>
    <t>13.1</t>
  </si>
  <si>
    <t>13.2</t>
  </si>
  <si>
    <t>13.4</t>
  </si>
  <si>
    <t>14.1</t>
  </si>
  <si>
    <t>16.1</t>
  </si>
  <si>
    <t>18.1</t>
  </si>
  <si>
    <t>20.2</t>
  </si>
  <si>
    <t>19.1</t>
  </si>
  <si>
    <t>21.1</t>
  </si>
  <si>
    <t>21.2</t>
  </si>
  <si>
    <t>23.1</t>
  </si>
  <si>
    <t>23.2</t>
  </si>
  <si>
    <t>23.3</t>
  </si>
  <si>
    <t>25.1</t>
  </si>
  <si>
    <t>22.1</t>
  </si>
  <si>
    <t>24.1</t>
  </si>
  <si>
    <t>31.1</t>
  </si>
  <si>
    <t>32.1</t>
  </si>
  <si>
    <t>33.1</t>
  </si>
  <si>
    <t>34.1</t>
  </si>
  <si>
    <t>35.1</t>
  </si>
  <si>
    <t>36.1</t>
  </si>
  <si>
    <t>37.1</t>
  </si>
  <si>
    <t>39.1</t>
  </si>
  <si>
    <t>41.2</t>
  </si>
  <si>
    <t>41.1</t>
  </si>
  <si>
    <t>41.3</t>
  </si>
  <si>
    <t>41.4</t>
  </si>
  <si>
    <t>42.4</t>
  </si>
  <si>
    <t>Gruppo statico di continuità / soccorritore  fino a 10 kVA</t>
  </si>
  <si>
    <t>42.2</t>
  </si>
  <si>
    <t>42.3</t>
  </si>
  <si>
    <t>42.1</t>
  </si>
  <si>
    <t>42.5</t>
  </si>
  <si>
    <t>Gruppo statico di continuità / soccorritore oltre 160 kVA</t>
  </si>
  <si>
    <t>43.1</t>
  </si>
  <si>
    <t>44.1</t>
  </si>
  <si>
    <t>38.1</t>
  </si>
  <si>
    <t>46.1</t>
  </si>
  <si>
    <t>47.1</t>
  </si>
  <si>
    <t>48.1</t>
  </si>
  <si>
    <t>50.2</t>
  </si>
  <si>
    <t>54.1</t>
  </si>
  <si>
    <t>56.1</t>
  </si>
  <si>
    <t>55.2</t>
  </si>
  <si>
    <t>55.1</t>
  </si>
  <si>
    <t>57.1</t>
  </si>
  <si>
    <t>63.1</t>
  </si>
  <si>
    <t>65.1</t>
  </si>
  <si>
    <t>68.1</t>
  </si>
  <si>
    <t>71.1</t>
  </si>
  <si>
    <t>69.1</t>
  </si>
  <si>
    <t>70.1</t>
  </si>
  <si>
    <t>72.3</t>
  </si>
  <si>
    <t>74.1</t>
  </si>
  <si>
    <t>75.1</t>
  </si>
  <si>
    <t>77.1</t>
  </si>
  <si>
    <t>79.1</t>
  </si>
  <si>
    <t>78.1</t>
  </si>
  <si>
    <t>86.1</t>
  </si>
  <si>
    <t>87.1</t>
  </si>
  <si>
    <t>82.1</t>
  </si>
  <si>
    <t>83.1</t>
  </si>
  <si>
    <t>90.1</t>
  </si>
  <si>
    <t>91.1</t>
  </si>
  <si>
    <t>92.1</t>
  </si>
  <si>
    <t>93.2</t>
  </si>
  <si>
    <t>93.1</t>
  </si>
  <si>
    <t>88.1</t>
  </si>
  <si>
    <t>85.1</t>
  </si>
  <si>
    <t>89.1</t>
  </si>
  <si>
    <t>84.1</t>
  </si>
  <si>
    <t>94.1</t>
  </si>
  <si>
    <t>94.2</t>
  </si>
  <si>
    <t>95.1</t>
  </si>
  <si>
    <t>96.5</t>
  </si>
  <si>
    <t>96.1</t>
  </si>
  <si>
    <t>96.3</t>
  </si>
  <si>
    <t>Lotto - Milano provincia est, Bergamo</t>
  </si>
  <si>
    <t>Kwh</t>
  </si>
  <si>
    <t>Lotto - Como, Sondrio e Varese</t>
  </si>
  <si>
    <t>BTZ/Olio vegetale</t>
  </si>
  <si>
    <t>Olio vegetale per Cogeneratore Sondalo</t>
  </si>
  <si>
    <t>Lotto - Brescia</t>
  </si>
  <si>
    <t>Btz</t>
  </si>
  <si>
    <t>olio vegetale</t>
  </si>
  <si>
    <t>Gruppi di continuità rotanti da 801 a 1000 kVA</t>
  </si>
  <si>
    <t>Lotto - Cremona, Mantova</t>
  </si>
  <si>
    <t>Scadenza contratto ID Presidio 1 (Lecco, Bellano, Oggiono, Calolziocorte) 31/07/2025                              scadenza contratto ID Presidio 2 (Merate, CPS/NPI via Parini Merate e CRA Cernusco Lombardone) 31/01/2024</t>
  </si>
  <si>
    <t>Per il PRESIDIO 2 PO MERATE contratto con ditta Facchinetti fino al 31/01/2024</t>
  </si>
  <si>
    <t>Per IL PRESIDIO 2 PO MERATE contratto con ditta Technological System fino al 31/01/2024</t>
  </si>
  <si>
    <t>scadenza contratto ID Presidio 2 Merate 31/01/2024</t>
  </si>
  <si>
    <t>Per IL PRESIDIO 2 PO MERATE contratto con ditta EAM fino al 31/08/2023</t>
  </si>
  <si>
    <t>PER IL PRESIDIO 2 PO MERATE convenzione ARIA_2021_042.1 LOTTO 3 CON SIEL SPA FINO AL 7/11/2025</t>
  </si>
  <si>
    <t>scadenza contratto ID Presidio 1: 30/04/2026</t>
  </si>
  <si>
    <t>CONTRATTO CON KONE FINO AL 31/07/2024</t>
  </si>
  <si>
    <t>Per PRESIDIO 2: contratto con IMEA fino al 31/01/2024</t>
  </si>
  <si>
    <t>Lotto - Milano provincia nord-ovest</t>
  </si>
  <si>
    <t>58.1</t>
  </si>
  <si>
    <t>N. pozzi</t>
  </si>
  <si>
    <t>Lotto - Milano ASST</t>
  </si>
  <si>
    <t>Lotto - Milano IRCCS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</si>
</sst>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 #,##0.00_-;\-* #,##0.00_-;_-* \-??_-;_-@_-"/>
    <numFmt numFmtId="165" formatCode="#,##0.00\ ;\-#,##0.00\ ;&quot; -&quot;#\ ;@\ "/>
    <numFmt numFmtId="166" formatCode="_-* #,##0.00&quot; €&quot;_-;\-* #,##0.00&quot; €&quot;_-;_-* \-??&quot; €&quot;_-;_-@_-"/>
    <numFmt numFmtId="167" formatCode="#,##0.00&quot; € &quot;;\-#,##0.00&quot; € &quot;;&quot; -&quot;#&quot; € &quot;;@\ "/>
    <numFmt numFmtId="168" formatCode="[$€-410]\ #,##0.00;[Red]\-[$€-410]\ #,##0.00"/>
    <numFmt numFmtId="169" formatCode="_-&quot;€ &quot;* #,##0.00_-;&quot;-€ &quot;* #,##0.00_-;_-&quot;€ &quot;* \-??_-;_-@_-"/>
    <numFmt numFmtId="170" formatCode="&quot; € &quot;#,##0.00\ ;&quot;-€ &quot;#,##0.00\ ;&quot; € -&quot;#\ ;@\ "/>
    <numFmt numFmtId="171" formatCode="#,##0.00&quot; €&quot;"/>
    <numFmt numFmtId="172" formatCode="&quot;€ &quot;#,##0.00"/>
    <numFmt numFmtId="173" formatCode="#,##0.00000&quot; €&quot;"/>
    <numFmt numFmtId="174" formatCode="_-* #,##0.00\ [$€-410]_-;\-* #,##0.00\ [$€-410]_-;_-* \-??\ [$€-410]_-;_-@_-"/>
    <numFmt numFmtId="175" formatCode="#,##0.000&quot; €&quot;"/>
    <numFmt numFmtId="176" formatCode="#,##0.0"/>
    <numFmt numFmtId="177" formatCode="#,##0.00000\ &quot;€&quot;"/>
  </numFmts>
  <fonts count="56">
    <font>
      <sz val="11"/>
      <color rgb="FF000000"/>
      <name val="Calibri"/>
      <family val="2"/>
      <charset val="1"/>
    </font>
    <font>
      <b/>
      <sz val="11"/>
      <color rgb="FFFFFFFF"/>
      <name val="Calibri"/>
      <family val="2"/>
      <charset val="1"/>
    </font>
    <font>
      <b/>
      <sz val="11"/>
      <color rgb="FF000000"/>
      <name val="Calibri"/>
      <family val="2"/>
      <charset val="1"/>
    </font>
    <font>
      <sz val="11"/>
      <color rgb="FFCC0000"/>
      <name val="Calibri"/>
      <family val="2"/>
      <charset val="1"/>
    </font>
    <font>
      <u/>
      <sz val="11"/>
      <color rgb="FF0000FF"/>
      <name val="Calibri"/>
      <family val="2"/>
      <charset val="1"/>
    </font>
    <font>
      <i/>
      <sz val="11"/>
      <color rgb="FF808080"/>
      <name val="Calibri"/>
      <family val="2"/>
      <charset val="1"/>
    </font>
    <font>
      <sz val="11"/>
      <color rgb="FF006600"/>
      <name val="Calibri"/>
      <family val="2"/>
      <charset val="1"/>
    </font>
    <font>
      <b/>
      <sz val="18"/>
      <color rgb="FF000000"/>
      <name val="Calibri"/>
      <family val="2"/>
      <charset val="1"/>
    </font>
    <font>
      <b/>
      <sz val="24"/>
      <color rgb="FF000000"/>
      <name val="Calibri"/>
      <family val="2"/>
      <charset val="1"/>
    </font>
    <font>
      <b/>
      <sz val="12"/>
      <color rgb="FF000000"/>
      <name val="Calibri"/>
      <family val="2"/>
      <charset val="1"/>
    </font>
    <font>
      <b/>
      <i/>
      <sz val="16"/>
      <color rgb="FF000000"/>
      <name val="Calibri"/>
      <family val="2"/>
      <charset val="1"/>
    </font>
    <font>
      <u/>
      <sz val="11"/>
      <color rgb="FF0000EE"/>
      <name val="Calibri"/>
      <family val="2"/>
      <charset val="1"/>
    </font>
    <font>
      <sz val="11"/>
      <color rgb="FF996600"/>
      <name val="Calibri"/>
      <family val="2"/>
      <charset val="1"/>
    </font>
    <font>
      <sz val="10"/>
      <name val="Arial"/>
      <family val="2"/>
      <charset val="1"/>
    </font>
    <font>
      <sz val="10"/>
      <color rgb="FF000000"/>
      <name val="Arial"/>
      <family val="2"/>
      <charset val="1"/>
    </font>
    <font>
      <sz val="11"/>
      <color rgb="FF333333"/>
      <name val="Calibri"/>
      <family val="2"/>
      <charset val="1"/>
    </font>
    <font>
      <b/>
      <i/>
      <u/>
      <sz val="11"/>
      <color rgb="FF000000"/>
      <name val="Calibri"/>
      <family val="2"/>
      <charset val="1"/>
    </font>
    <font>
      <b/>
      <i/>
      <sz val="9"/>
      <color rgb="FF000000"/>
      <name val="Calibri"/>
      <family val="2"/>
      <charset val="1"/>
    </font>
    <font>
      <b/>
      <sz val="9"/>
      <color rgb="FF000000"/>
      <name val="Calibri"/>
      <family val="2"/>
      <charset val="1"/>
    </font>
    <font>
      <sz val="8"/>
      <color rgb="FF000000"/>
      <name val="Calibri"/>
      <family val="2"/>
      <charset val="1"/>
    </font>
    <font>
      <sz val="9"/>
      <color rgb="FF000000"/>
      <name val="Calibri"/>
      <family val="2"/>
      <charset val="1"/>
    </font>
    <font>
      <sz val="11"/>
      <color rgb="FF000000"/>
      <name val="Verdana"/>
      <family val="2"/>
      <charset val="1"/>
    </font>
    <font>
      <b/>
      <sz val="14"/>
      <color rgb="FF000000"/>
      <name val="Calibri"/>
      <family val="2"/>
      <charset val="1"/>
    </font>
    <font>
      <sz val="11"/>
      <name val="Verdana"/>
      <family val="2"/>
      <charset val="1"/>
    </font>
    <font>
      <sz val="11"/>
      <color rgb="FF0070C0"/>
      <name val="Calibri"/>
      <family val="2"/>
      <charset val="1"/>
    </font>
    <font>
      <sz val="11"/>
      <color rgb="FF0070C0"/>
      <name val="Verdana"/>
      <family val="2"/>
      <charset val="1"/>
    </font>
    <font>
      <sz val="11"/>
      <name val="Calibri"/>
      <family val="2"/>
      <charset val="1"/>
    </font>
    <font>
      <sz val="9"/>
      <color rgb="FFFF0000"/>
      <name val="Calibri"/>
      <family val="2"/>
      <charset val="1"/>
    </font>
    <font>
      <b/>
      <sz val="9"/>
      <name val="Calibri"/>
      <family val="2"/>
      <charset val="1"/>
    </font>
    <font>
      <b/>
      <sz val="9"/>
      <color rgb="FFFF0000"/>
      <name val="Calibri"/>
      <family val="2"/>
      <charset val="1"/>
    </font>
    <font>
      <sz val="9"/>
      <name val="Calibri"/>
      <family val="2"/>
      <charset val="1"/>
    </font>
    <font>
      <b/>
      <sz val="9"/>
      <name val="Verdana"/>
      <family val="2"/>
      <charset val="1"/>
    </font>
    <font>
      <b/>
      <sz val="9"/>
      <color rgb="FFFF0000"/>
      <name val="Verdana"/>
      <family val="2"/>
      <charset val="1"/>
    </font>
    <font>
      <b/>
      <sz val="20"/>
      <name val="Verdana"/>
      <family val="2"/>
      <charset val="1"/>
    </font>
    <font>
      <b/>
      <sz val="9"/>
      <color rgb="FF000000"/>
      <name val="Tahoma"/>
      <charset val="1"/>
    </font>
    <font>
      <sz val="9"/>
      <color rgb="FF000000"/>
      <name val="Tahoma"/>
      <charset val="1"/>
    </font>
    <font>
      <b/>
      <i/>
      <sz val="10"/>
      <color rgb="FF000000"/>
      <name val="Calibri"/>
      <family val="2"/>
      <charset val="1"/>
    </font>
    <font>
      <sz val="9"/>
      <color rgb="FF000000"/>
      <name val="Arial"/>
      <family val="2"/>
      <charset val="1"/>
    </font>
    <font>
      <sz val="10"/>
      <color rgb="FF000000"/>
      <name val="Calibri"/>
      <family val="2"/>
      <charset val="1"/>
    </font>
    <font>
      <u/>
      <sz val="10"/>
      <color rgb="FF0000FF"/>
      <name val="Calibri"/>
      <family val="2"/>
      <charset val="1"/>
    </font>
    <font>
      <sz val="11"/>
      <color rgb="FF000000"/>
      <name val="Calibri"/>
      <family val="2"/>
      <charset val="1"/>
    </font>
    <font>
      <b/>
      <sz val="9"/>
      <color indexed="81"/>
      <name val="Tahoma"/>
      <charset val="1"/>
    </font>
    <font>
      <sz val="9"/>
      <color indexed="81"/>
      <name val="Tahoma"/>
      <charset val="1"/>
    </font>
    <font>
      <b/>
      <sz val="9"/>
      <color indexed="81"/>
      <name val="Tahoma"/>
      <family val="2"/>
    </font>
    <font>
      <sz val="9"/>
      <color indexed="81"/>
      <name val="Tahoma"/>
      <family val="2"/>
    </font>
    <font>
      <sz val="12"/>
      <color rgb="FF0070C0"/>
      <name val="Calibri"/>
      <family val="2"/>
      <charset val="1"/>
    </font>
    <font>
      <sz val="12"/>
      <color rgb="FF000000"/>
      <name val="Calibri"/>
      <family val="2"/>
      <charset val="1"/>
    </font>
    <font>
      <sz val="12"/>
      <name val="Calibri"/>
      <family val="2"/>
      <charset val="1"/>
    </font>
    <font>
      <sz val="12"/>
      <color rgb="FFFF0000"/>
      <name val="Calibri"/>
      <family val="2"/>
      <charset val="1"/>
    </font>
    <font>
      <b/>
      <sz val="12"/>
      <color rgb="FFFF0000"/>
      <name val="Calibri"/>
      <family val="2"/>
      <charset val="1"/>
    </font>
    <font>
      <sz val="10"/>
      <color rgb="FF0070C0"/>
      <name val="Calibri"/>
      <family val="2"/>
      <charset val="1"/>
    </font>
    <font>
      <sz val="9"/>
      <name val="Aptos Narrow"/>
      <family val="2"/>
      <scheme val="minor"/>
    </font>
    <font>
      <sz val="11"/>
      <name val="Aptos Narrow"/>
      <family val="2"/>
      <scheme val="minor"/>
    </font>
    <font>
      <sz val="9"/>
      <color rgb="FF000000"/>
      <name val="Verdana"/>
      <family val="2"/>
      <charset val="1"/>
    </font>
    <font>
      <sz val="9"/>
      <name val="Verdana"/>
      <family val="2"/>
      <charset val="1"/>
    </font>
    <font>
      <sz val="9"/>
      <color rgb="FFFF0000"/>
      <name val="Verdana"/>
      <family val="2"/>
      <charset val="1"/>
    </font>
  </fonts>
  <fills count="24">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D9D9D9"/>
      </patternFill>
    </fill>
    <fill>
      <patternFill patternType="solid">
        <fgColor rgb="FFFFCCCC"/>
        <bgColor rgb="FFFCD5B5"/>
      </patternFill>
    </fill>
    <fill>
      <patternFill patternType="solid">
        <fgColor rgb="FFCC0000"/>
        <bgColor rgb="FFFF0000"/>
      </patternFill>
    </fill>
    <fill>
      <patternFill patternType="solid">
        <fgColor rgb="FFCCFFCC"/>
        <bgColor rgb="FFE2EFDA"/>
      </patternFill>
    </fill>
    <fill>
      <patternFill patternType="solid">
        <fgColor rgb="FFFFFFCC"/>
        <bgColor rgb="FFFDEADA"/>
      </patternFill>
    </fill>
    <fill>
      <patternFill patternType="solid">
        <fgColor rgb="FFE6E0EC"/>
        <bgColor rgb="FFDDDDDD"/>
      </patternFill>
    </fill>
    <fill>
      <patternFill patternType="solid">
        <fgColor rgb="FFD7E4BD"/>
        <bgColor rgb="FFDDDDDD"/>
      </patternFill>
    </fill>
    <fill>
      <patternFill patternType="solid">
        <fgColor rgb="FFD9D9D9"/>
        <bgColor rgb="FFDDDDDD"/>
      </patternFill>
    </fill>
    <fill>
      <patternFill patternType="solid">
        <fgColor rgb="FFFFFFFF"/>
        <bgColor rgb="FFFFFFCC"/>
      </patternFill>
    </fill>
    <fill>
      <patternFill patternType="solid">
        <fgColor rgb="FFFDEADA"/>
        <bgColor rgb="FFE2EFDA"/>
      </patternFill>
    </fill>
    <fill>
      <patternFill patternType="solid">
        <fgColor rgb="FFFCD5B5"/>
        <bgColor rgb="FFFFCCCC"/>
      </patternFill>
    </fill>
    <fill>
      <patternFill patternType="solid">
        <fgColor rgb="FFFFC000"/>
        <bgColor rgb="FFFF9900"/>
      </patternFill>
    </fill>
    <fill>
      <patternFill patternType="solid">
        <fgColor rgb="FFDCE6F2"/>
        <bgColor rgb="FFE6E0EC"/>
      </patternFill>
    </fill>
    <fill>
      <patternFill patternType="solid">
        <fgColor rgb="FFFFFF00"/>
        <bgColor rgb="FFFFFF00"/>
      </patternFill>
    </fill>
    <fill>
      <patternFill patternType="solid">
        <fgColor rgb="FF92D050"/>
        <bgColor rgb="FF969696"/>
      </patternFill>
    </fill>
    <fill>
      <patternFill patternType="solid">
        <fgColor rgb="FFE2EFDA"/>
        <bgColor rgb="FFDCE6F2"/>
      </patternFill>
    </fill>
    <fill>
      <patternFill patternType="solid">
        <fgColor rgb="FFFFFF00"/>
        <bgColor indexed="64"/>
      </patternFill>
    </fill>
    <fill>
      <patternFill patternType="solid">
        <fgColor rgb="FFFFFF00"/>
        <bgColor rgb="FFFFFFCC"/>
      </patternFill>
    </fill>
    <fill>
      <patternFill patternType="solid">
        <fgColor theme="3" tint="0.499984740745262"/>
        <bgColor rgb="FFFFFFCC"/>
      </patternFill>
    </fill>
    <fill>
      <patternFill patternType="solid">
        <fgColor theme="3" tint="0.499984740745262"/>
        <bgColor indexed="64"/>
      </patternFill>
    </fill>
  </fills>
  <borders count="52">
    <border>
      <left/>
      <right/>
      <top/>
      <bottom/>
      <diagonal/>
    </border>
    <border>
      <left style="thin">
        <color rgb="FF808080"/>
      </left>
      <right style="thin">
        <color rgb="FF808080"/>
      </right>
      <top style="thin">
        <color rgb="FF808080"/>
      </top>
      <bottom style="thin">
        <color rgb="FF808080"/>
      </bottom>
      <diagonal/>
    </border>
    <border>
      <left style="hair">
        <color auto="1"/>
      </left>
      <right style="hair">
        <color auto="1"/>
      </right>
      <top style="hair">
        <color auto="1"/>
      </top>
      <bottom/>
      <diagonal/>
    </border>
    <border>
      <left style="hair">
        <color auto="1"/>
      </left>
      <right style="hair">
        <color auto="1"/>
      </right>
      <top style="hair">
        <color auto="1"/>
      </top>
      <bottom style="hair">
        <color auto="1"/>
      </bottom>
      <diagonal/>
    </border>
    <border>
      <left style="medium">
        <color auto="1"/>
      </left>
      <right style="thin">
        <color auto="1"/>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style="hair">
        <color auto="1"/>
      </right>
      <top style="hair">
        <color auto="1"/>
      </top>
      <bottom style="thin">
        <color auto="1"/>
      </bottom>
      <diagonal/>
    </border>
    <border>
      <left style="hair">
        <color auto="1"/>
      </left>
      <right/>
      <top style="hair">
        <color auto="1"/>
      </top>
      <bottom style="thin">
        <color auto="1"/>
      </bottom>
      <diagonal/>
    </border>
    <border>
      <left style="thin">
        <color auto="1"/>
      </left>
      <right style="medium">
        <color auto="1"/>
      </right>
      <top style="medium">
        <color auto="1"/>
      </top>
      <bottom style="thin">
        <color auto="1"/>
      </bottom>
      <diagonal/>
    </border>
    <border>
      <left style="hair">
        <color auto="1"/>
      </left>
      <right style="hair">
        <color auto="1"/>
      </right>
      <top/>
      <bottom style="hair">
        <color auto="1"/>
      </bottom>
      <diagonal/>
    </border>
    <border>
      <left style="hair">
        <color auto="1"/>
      </left>
      <right/>
      <top/>
      <bottom style="hair">
        <color auto="1"/>
      </bottom>
      <diagonal/>
    </border>
    <border>
      <left style="thin">
        <color auto="1"/>
      </left>
      <right style="thin">
        <color auto="1"/>
      </right>
      <top/>
      <bottom style="hair">
        <color auto="1"/>
      </bottom>
      <diagonal/>
    </border>
    <border>
      <left style="thin">
        <color auto="1"/>
      </left>
      <right/>
      <top/>
      <bottom style="hair">
        <color auto="1"/>
      </bottom>
      <diagonal/>
    </border>
    <border>
      <left style="medium">
        <color auto="1"/>
      </left>
      <right style="thin">
        <color auto="1"/>
      </right>
      <top/>
      <bottom style="hair">
        <color auto="1"/>
      </bottom>
      <diagonal/>
    </border>
    <border>
      <left style="thin">
        <color auto="1"/>
      </left>
      <right style="medium">
        <color auto="1"/>
      </right>
      <top/>
      <bottom style="hair">
        <color auto="1"/>
      </bottom>
      <diagonal/>
    </border>
    <border>
      <left/>
      <right style="thin">
        <color auto="1"/>
      </right>
      <top/>
      <bottom style="hair">
        <color auto="1"/>
      </bottom>
      <diagonal/>
    </border>
    <border>
      <left style="thin">
        <color auto="1"/>
      </left>
      <right style="medium">
        <color auto="1"/>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hair">
        <color auto="1"/>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top style="hair">
        <color auto="1"/>
      </top>
      <bottom style="thin">
        <color auto="1"/>
      </bottom>
      <diagonal/>
    </border>
    <border>
      <left style="medium">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right style="thin">
        <color auto="1"/>
      </right>
      <top style="hair">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top style="thin">
        <color auto="1"/>
      </top>
      <bottom/>
      <diagonal/>
    </border>
    <border>
      <left/>
      <right/>
      <top/>
      <bottom style="medium">
        <color auto="1"/>
      </bottom>
      <diagonal/>
    </border>
    <border>
      <left style="medium">
        <color auto="1"/>
      </left>
      <right style="medium">
        <color auto="1"/>
      </right>
      <top style="medium">
        <color auto="1"/>
      </top>
      <bottom style="medium">
        <color auto="1"/>
      </bottom>
      <diagonal/>
    </border>
    <border>
      <left style="thin">
        <color rgb="FF000000"/>
      </left>
      <right style="thin">
        <color rgb="FF000000"/>
      </right>
      <top style="thin">
        <color rgb="FF000000"/>
      </top>
      <bottom style="thin">
        <color rgb="FF000000"/>
      </bottom>
      <diagonal/>
    </border>
    <border>
      <left/>
      <right style="hair">
        <color auto="1"/>
      </right>
      <top style="hair">
        <color auto="1"/>
      </top>
      <bottom style="hair">
        <color auto="1"/>
      </bottom>
      <diagonal/>
    </border>
    <border>
      <left style="thin">
        <color auto="1"/>
      </left>
      <right style="thin">
        <color auto="1"/>
      </right>
      <top/>
      <bottom style="thin">
        <color auto="1"/>
      </bottom>
      <diagonal/>
    </border>
    <border>
      <left style="thin">
        <color rgb="FF000000"/>
      </left>
      <right/>
      <top style="thin">
        <color rgb="FF000000"/>
      </top>
      <bottom style="thin">
        <color rgb="FF000000"/>
      </bottom>
      <diagonal/>
    </border>
  </borders>
  <cellStyleXfs count="523">
    <xf numFmtId="0" fontId="0" fillId="0" borderId="0"/>
    <xf numFmtId="9" fontId="40" fillId="0" borderId="0" applyBorder="0" applyProtection="0"/>
    <xf numFmtId="0" fontId="4" fillId="0" borderId="0" applyBorder="0" applyProtection="0"/>
    <xf numFmtId="0" fontId="1" fillId="2" borderId="0" applyBorder="0" applyProtection="0"/>
    <xf numFmtId="0" fontId="1" fillId="3" borderId="0" applyBorder="0" applyProtection="0"/>
    <xf numFmtId="0" fontId="2" fillId="4" borderId="0" applyBorder="0" applyProtection="0"/>
    <xf numFmtId="0" fontId="2" fillId="0" borderId="0" applyBorder="0" applyProtection="0"/>
    <xf numFmtId="0" fontId="40" fillId="0" borderId="0" applyBorder="0" applyProtection="0"/>
    <xf numFmtId="0" fontId="3" fillId="5" borderId="0" applyBorder="0" applyProtection="0"/>
    <xf numFmtId="0" fontId="40" fillId="0" borderId="0" applyBorder="0" applyProtection="0"/>
    <xf numFmtId="0" fontId="40" fillId="0" borderId="0" applyBorder="0" applyProtection="0">
      <alignment horizontal="left"/>
    </xf>
    <xf numFmtId="0" fontId="4" fillId="0" borderId="0" applyBorder="0" applyProtection="0"/>
    <xf numFmtId="164" fontId="40" fillId="0" borderId="0" applyBorder="0" applyProtection="0"/>
    <xf numFmtId="164" fontId="40" fillId="0" borderId="0" applyBorder="0" applyProtection="0"/>
    <xf numFmtId="164"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4"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4" fontId="40" fillId="0" borderId="0" applyBorder="0" applyProtection="0"/>
    <xf numFmtId="165" fontId="40" fillId="0" borderId="0" applyBorder="0" applyProtection="0"/>
    <xf numFmtId="166" fontId="40" fillId="0" borderId="0" applyBorder="0" applyProtection="0"/>
    <xf numFmtId="166" fontId="40" fillId="0" borderId="0" applyBorder="0" applyProtection="0"/>
    <xf numFmtId="166" fontId="40" fillId="0" borderId="0" applyBorder="0" applyProtection="0"/>
    <xf numFmtId="167" fontId="40" fillId="0" borderId="0" applyBorder="0" applyProtection="0"/>
    <xf numFmtId="166" fontId="40" fillId="0" borderId="0" applyBorder="0" applyProtection="0"/>
    <xf numFmtId="167" fontId="40" fillId="0" borderId="0" applyBorder="0" applyProtection="0"/>
    <xf numFmtId="166" fontId="40" fillId="0" borderId="0" applyBorder="0" applyProtection="0"/>
    <xf numFmtId="166" fontId="40" fillId="0" borderId="0" applyBorder="0" applyProtection="0"/>
    <xf numFmtId="167" fontId="40" fillId="0" borderId="0" applyBorder="0" applyProtection="0"/>
    <xf numFmtId="0" fontId="1" fillId="6" borderId="0" applyBorder="0" applyProtection="0"/>
    <xf numFmtId="0" fontId="5" fillId="0" borderId="0" applyBorder="0" applyProtection="0"/>
    <xf numFmtId="0" fontId="6" fillId="7" borderId="0" applyBorder="0" applyProtection="0"/>
    <xf numFmtId="0" fontId="7" fillId="0" borderId="0" applyBorder="0" applyProtection="0"/>
    <xf numFmtId="0" fontId="8" fillId="0" borderId="0" applyBorder="0" applyProtection="0"/>
    <xf numFmtId="0" fontId="9" fillId="0" borderId="0" applyBorder="0" applyProtection="0"/>
    <xf numFmtId="0" fontId="10" fillId="0" borderId="0" applyBorder="0" applyProtection="0">
      <alignment horizontal="center"/>
    </xf>
    <xf numFmtId="0" fontId="10" fillId="0" borderId="0" applyBorder="0" applyProtection="0">
      <alignment horizontal="center" textRotation="90"/>
    </xf>
    <xf numFmtId="0" fontId="11" fillId="0" borderId="0" applyBorder="0" applyProtection="0"/>
    <xf numFmtId="164" fontId="40" fillId="0" borderId="0" applyBorder="0" applyProtection="0"/>
    <xf numFmtId="164" fontId="40" fillId="0" borderId="0" applyBorder="0" applyProtection="0"/>
    <xf numFmtId="164" fontId="40" fillId="0" borderId="0" applyBorder="0" applyProtection="0"/>
    <xf numFmtId="164"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4" fontId="40" fillId="0" borderId="0" applyBorder="0" applyProtection="0"/>
    <xf numFmtId="164"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4"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0" fontId="12" fillId="8" borderId="0" applyBorder="0" applyProtection="0"/>
    <xf numFmtId="0" fontId="13" fillId="0" borderId="0"/>
    <xf numFmtId="0" fontId="14" fillId="0" borderId="0" applyBorder="0" applyProtection="0"/>
    <xf numFmtId="0" fontId="13" fillId="0" borderId="0"/>
    <xf numFmtId="0" fontId="13" fillId="0" borderId="0"/>
    <xf numFmtId="0" fontId="14" fillId="0" borderId="0" applyBorder="0" applyProtection="0"/>
    <xf numFmtId="0" fontId="14" fillId="0" borderId="0" applyBorder="0" applyProtection="0"/>
    <xf numFmtId="0" fontId="40" fillId="0" borderId="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15" fillId="8" borderId="1" applyProtection="0"/>
    <xf numFmtId="9" fontId="40" fillId="0" borderId="0" applyBorder="0" applyProtection="0"/>
    <xf numFmtId="9" fontId="40" fillId="0" borderId="0" applyBorder="0" applyProtection="0"/>
    <xf numFmtId="0" fontId="16" fillId="0" borderId="0" applyBorder="0" applyProtection="0"/>
    <xf numFmtId="0" fontId="16" fillId="0" borderId="0" applyBorder="0" applyProtection="0"/>
    <xf numFmtId="0" fontId="16" fillId="0" borderId="0" applyBorder="0" applyProtection="0"/>
    <xf numFmtId="168" fontId="16" fillId="0" borderId="0" applyBorder="0" applyProtection="0"/>
    <xf numFmtId="0" fontId="2" fillId="0" borderId="0" applyBorder="0" applyProtection="0"/>
    <xf numFmtId="168" fontId="16" fillId="0" borderId="0" applyBorder="0" applyProtection="0"/>
    <xf numFmtId="0" fontId="40" fillId="0" borderId="0" applyBorder="0" applyProtection="0"/>
    <xf numFmtId="0" fontId="40" fillId="0" borderId="0" applyBorder="0" applyProtection="0"/>
    <xf numFmtId="0" fontId="2" fillId="0" borderId="0" applyBorder="0" applyProtection="0">
      <alignment horizontal="left"/>
    </xf>
    <xf numFmtId="0" fontId="40" fillId="0" borderId="0" applyBorder="0" applyProtection="0"/>
    <xf numFmtId="169" fontId="40" fillId="0" borderId="0" applyBorder="0" applyProtection="0"/>
    <xf numFmtId="169"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70" fontId="40" fillId="0" borderId="0" applyBorder="0" applyProtection="0"/>
    <xf numFmtId="0" fontId="3" fillId="0" borderId="0" applyBorder="0" applyProtection="0"/>
  </cellStyleXfs>
  <cellXfs count="263">
    <xf numFmtId="0" fontId="0" fillId="0" borderId="0" xfId="0"/>
    <xf numFmtId="0" fontId="40" fillId="0" borderId="0" xfId="113"/>
    <xf numFmtId="0" fontId="17" fillId="9" borderId="2" xfId="0" applyFont="1" applyFill="1" applyBorder="1" applyAlignment="1">
      <alignment horizontal="center" vertical="center" wrapText="1"/>
    </xf>
    <xf numFmtId="0" fontId="17" fillId="10" borderId="2" xfId="0" applyFont="1" applyFill="1" applyBorder="1" applyAlignment="1">
      <alignment horizontal="center" vertical="center" wrapText="1"/>
    </xf>
    <xf numFmtId="0" fontId="19" fillId="10" borderId="3" xfId="113" applyFont="1" applyFill="1" applyBorder="1" applyAlignment="1">
      <alignment horizontal="center" vertical="center"/>
    </xf>
    <xf numFmtId="0" fontId="20" fillId="10" borderId="3" xfId="113" applyFont="1" applyFill="1" applyBorder="1" applyAlignment="1">
      <alignment vertical="center" wrapText="1"/>
    </xf>
    <xf numFmtId="0" fontId="19" fillId="10" borderId="3" xfId="113" applyFont="1" applyFill="1" applyBorder="1" applyAlignment="1">
      <alignment vertical="center" wrapText="1"/>
    </xf>
    <xf numFmtId="166" fontId="20" fillId="10" borderId="3" xfId="33" applyFont="1" applyFill="1" applyBorder="1" applyAlignment="1" applyProtection="1">
      <alignment horizontal="center" vertical="center"/>
    </xf>
    <xf numFmtId="0" fontId="20" fillId="10" borderId="3" xfId="113" applyFont="1" applyFill="1" applyBorder="1"/>
    <xf numFmtId="0" fontId="20" fillId="10" borderId="3" xfId="113" applyFont="1" applyFill="1" applyBorder="1" applyAlignment="1">
      <alignment wrapText="1"/>
    </xf>
    <xf numFmtId="166" fontId="20" fillId="10" borderId="3" xfId="113" applyNumberFormat="1" applyFont="1" applyFill="1" applyBorder="1"/>
    <xf numFmtId="0" fontId="17" fillId="11" borderId="2" xfId="0" applyFont="1" applyFill="1" applyBorder="1" applyAlignment="1">
      <alignment horizontal="center" vertical="center" wrapText="1"/>
    </xf>
    <xf numFmtId="0" fontId="19" fillId="0" borderId="3" xfId="113" applyFont="1" applyBorder="1" applyAlignment="1">
      <alignment horizontal="center" vertical="center"/>
    </xf>
    <xf numFmtId="0" fontId="20" fillId="12" borderId="3" xfId="113" applyFont="1" applyFill="1" applyBorder="1" applyAlignment="1">
      <alignment vertical="center"/>
    </xf>
    <xf numFmtId="0" fontId="20" fillId="0" borderId="3" xfId="113" applyFont="1" applyBorder="1"/>
    <xf numFmtId="0" fontId="19" fillId="11" borderId="3" xfId="113" applyFont="1" applyFill="1" applyBorder="1" applyAlignment="1">
      <alignment horizontal="center" vertical="center"/>
    </xf>
    <xf numFmtId="0" fontId="20" fillId="11" borderId="3" xfId="113" applyFont="1" applyFill="1" applyBorder="1" applyAlignment="1">
      <alignment vertical="center"/>
    </xf>
    <xf numFmtId="0" fontId="20" fillId="11" borderId="3" xfId="113" applyFont="1" applyFill="1" applyBorder="1"/>
    <xf numFmtId="0" fontId="19" fillId="11" borderId="3" xfId="113" applyFont="1" applyFill="1" applyBorder="1" applyAlignment="1">
      <alignment vertical="center" wrapText="1"/>
    </xf>
    <xf numFmtId="0" fontId="40" fillId="0" borderId="4" xfId="9" applyBorder="1"/>
    <xf numFmtId="0" fontId="40" fillId="0" borderId="5" xfId="7" applyBorder="1"/>
    <xf numFmtId="0" fontId="40" fillId="0" borderId="6" xfId="7" applyBorder="1"/>
    <xf numFmtId="0" fontId="40" fillId="0" borderId="7" xfId="10" applyBorder="1">
      <alignment horizontal="left"/>
    </xf>
    <xf numFmtId="0" fontId="40" fillId="0" borderId="8" xfId="10" applyBorder="1">
      <alignment horizontal="left"/>
    </xf>
    <xf numFmtId="0" fontId="2" fillId="0" borderId="9" xfId="422" applyBorder="1">
      <alignment horizontal="left"/>
    </xf>
    <xf numFmtId="0" fontId="40" fillId="0" borderId="10" xfId="423" applyBorder="1"/>
    <xf numFmtId="0" fontId="40" fillId="0" borderId="11" xfId="423" applyBorder="1"/>
    <xf numFmtId="0" fontId="40" fillId="0" borderId="12" xfId="423" applyBorder="1"/>
    <xf numFmtId="0" fontId="2" fillId="0" borderId="13" xfId="418" applyBorder="1"/>
    <xf numFmtId="171" fontId="0" fillId="0" borderId="0" xfId="0" applyNumberFormat="1"/>
    <xf numFmtId="0" fontId="2" fillId="0" borderId="0" xfId="0" applyFont="1"/>
    <xf numFmtId="0" fontId="2" fillId="10" borderId="3" xfId="0" applyFont="1" applyFill="1" applyBorder="1" applyAlignment="1">
      <alignment horizontal="center" vertical="center" wrapText="1"/>
    </xf>
    <xf numFmtId="171" fontId="2" fillId="10" borderId="3" xfId="0" applyNumberFormat="1" applyFont="1" applyFill="1" applyBorder="1" applyAlignment="1">
      <alignment horizontal="center" vertical="center" wrapText="1"/>
    </xf>
    <xf numFmtId="0" fontId="0" fillId="0" borderId="3" xfId="0" applyBorder="1"/>
    <xf numFmtId="171" fontId="0" fillId="0" borderId="3" xfId="0" applyNumberFormat="1" applyBorder="1"/>
    <xf numFmtId="171" fontId="0" fillId="0" borderId="3" xfId="0" applyNumberFormat="1" applyBorder="1" applyAlignment="1">
      <alignment horizontal="right"/>
    </xf>
    <xf numFmtId="9" fontId="40" fillId="0" borderId="3" xfId="1" applyBorder="1" applyAlignment="1" applyProtection="1">
      <alignment horizontal="center" vertical="center"/>
    </xf>
    <xf numFmtId="0" fontId="2" fillId="13" borderId="3" xfId="0" applyFont="1" applyFill="1" applyBorder="1"/>
    <xf numFmtId="171" fontId="2" fillId="13" borderId="3" xfId="0" applyNumberFormat="1" applyFont="1" applyFill="1" applyBorder="1"/>
    <xf numFmtId="9" fontId="2" fillId="13" borderId="3" xfId="1" applyFont="1" applyFill="1" applyBorder="1" applyAlignment="1" applyProtection="1">
      <alignment horizontal="center"/>
    </xf>
    <xf numFmtId="0" fontId="10" fillId="0" borderId="0" xfId="94" applyFont="1" applyBorder="1" applyAlignment="1" applyProtection="1">
      <alignment vertical="center"/>
    </xf>
    <xf numFmtId="0" fontId="10" fillId="0" borderId="0" xfId="94" applyFont="1" applyBorder="1" applyAlignment="1" applyProtection="1">
      <alignment horizontal="center" vertical="center"/>
    </xf>
    <xf numFmtId="0" fontId="21" fillId="0" borderId="0" xfId="94" applyFont="1" applyBorder="1" applyAlignment="1" applyProtection="1">
      <alignment horizontal="center" vertical="center"/>
    </xf>
    <xf numFmtId="0" fontId="21" fillId="0" borderId="0" xfId="94" applyFont="1" applyBorder="1" applyProtection="1"/>
    <xf numFmtId="0" fontId="40" fillId="0" borderId="0" xfId="410"/>
    <xf numFmtId="0" fontId="2" fillId="0" borderId="0" xfId="94" applyFont="1" applyBorder="1" applyAlignment="1" applyProtection="1">
      <alignment horizontal="center" vertical="center"/>
    </xf>
    <xf numFmtId="172" fontId="22" fillId="0" borderId="0" xfId="94" applyNumberFormat="1" applyFont="1" applyBorder="1" applyAlignment="1" applyProtection="1">
      <alignment horizontal="left" vertical="center"/>
      <protection locked="0"/>
    </xf>
    <xf numFmtId="0" fontId="21" fillId="0" borderId="0" xfId="94" applyFont="1" applyBorder="1" applyAlignment="1" applyProtection="1">
      <alignment horizontal="center" vertical="top" wrapText="1"/>
    </xf>
    <xf numFmtId="0" fontId="23" fillId="12" borderId="0" xfId="94" applyFont="1" applyFill="1" applyBorder="1" applyAlignment="1" applyProtection="1">
      <alignment horizontal="center" vertical="top" wrapText="1"/>
    </xf>
    <xf numFmtId="0" fontId="21" fillId="0" borderId="0" xfId="94" applyFont="1" applyBorder="1" applyAlignment="1" applyProtection="1">
      <alignment horizontal="center"/>
    </xf>
    <xf numFmtId="0" fontId="2" fillId="10" borderId="14" xfId="410" applyFont="1" applyFill="1" applyBorder="1" applyAlignment="1">
      <alignment horizontal="center" vertical="center" wrapText="1"/>
    </xf>
    <xf numFmtId="0" fontId="2" fillId="14" borderId="14" xfId="288" applyFont="1" applyFill="1" applyBorder="1" applyAlignment="1" applyProtection="1">
      <alignment horizontal="center" vertical="center" wrapText="1"/>
    </xf>
    <xf numFmtId="0" fontId="2" fillId="14" borderId="15" xfId="288" applyFont="1" applyFill="1" applyBorder="1" applyAlignment="1" applyProtection="1">
      <alignment horizontal="center" vertical="center" wrapText="1"/>
    </xf>
    <xf numFmtId="0" fontId="2" fillId="15" borderId="14" xfId="288" applyFont="1" applyFill="1" applyBorder="1" applyAlignment="1" applyProtection="1">
      <alignment horizontal="center" vertical="center" wrapText="1"/>
    </xf>
    <xf numFmtId="0" fontId="24" fillId="12" borderId="14" xfId="410" applyFont="1" applyFill="1" applyBorder="1" applyAlignment="1">
      <alignment horizontal="left" vertical="center" wrapText="1"/>
    </xf>
    <xf numFmtId="0" fontId="24" fillId="12" borderId="14" xfId="410" applyFont="1" applyFill="1" applyBorder="1" applyAlignment="1">
      <alignment horizontal="center" vertical="center" wrapText="1"/>
    </xf>
    <xf numFmtId="4" fontId="24" fillId="12" borderId="14" xfId="410" applyNumberFormat="1" applyFont="1" applyFill="1" applyBorder="1" applyAlignment="1">
      <alignment horizontal="center" vertical="center" wrapText="1"/>
    </xf>
    <xf numFmtId="4" fontId="24" fillId="0" borderId="14" xfId="410" applyNumberFormat="1" applyFont="1" applyBorder="1" applyAlignment="1">
      <alignment horizontal="center" vertical="center" wrapText="1"/>
    </xf>
    <xf numFmtId="4" fontId="24" fillId="0" borderId="16" xfId="410" applyNumberFormat="1" applyFont="1" applyBorder="1" applyAlignment="1">
      <alignment horizontal="center" vertical="center" wrapText="1"/>
    </xf>
    <xf numFmtId="4" fontId="24" fillId="0" borderId="17" xfId="410" applyNumberFormat="1" applyFont="1" applyBorder="1" applyAlignment="1">
      <alignment horizontal="center" vertical="center" wrapText="1"/>
    </xf>
    <xf numFmtId="4" fontId="24" fillId="0" borderId="14" xfId="288" applyNumberFormat="1" applyFont="1" applyBorder="1" applyAlignment="1" applyProtection="1">
      <alignment horizontal="center" vertical="center" wrapText="1"/>
    </xf>
    <xf numFmtId="0" fontId="25" fillId="0" borderId="0" xfId="94" applyFont="1" applyBorder="1" applyProtection="1"/>
    <xf numFmtId="4" fontId="24" fillId="12" borderId="16" xfId="410" applyNumberFormat="1" applyFont="1" applyFill="1" applyBorder="1" applyAlignment="1">
      <alignment horizontal="center" vertical="center" wrapText="1"/>
    </xf>
    <xf numFmtId="4" fontId="24" fillId="12" borderId="17" xfId="410" applyNumberFormat="1" applyFont="1" applyFill="1" applyBorder="1" applyAlignment="1">
      <alignment horizontal="center" vertical="center" wrapText="1"/>
    </xf>
    <xf numFmtId="0" fontId="24" fillId="0" borderId="14" xfId="410" applyFont="1" applyBorder="1" applyAlignment="1">
      <alignment horizontal="left" vertical="center" wrapText="1"/>
    </xf>
    <xf numFmtId="0" fontId="24" fillId="0" borderId="14" xfId="410" applyFont="1" applyBorder="1" applyAlignment="1">
      <alignment horizontal="center" vertical="center" wrapText="1"/>
    </xf>
    <xf numFmtId="0" fontId="40" fillId="0" borderId="14" xfId="410" applyBorder="1" applyAlignment="1">
      <alignment horizontal="left" vertical="center" wrapText="1"/>
    </xf>
    <xf numFmtId="0" fontId="40" fillId="0" borderId="14" xfId="410" applyBorder="1" applyAlignment="1">
      <alignment horizontal="center" vertical="center" wrapText="1"/>
    </xf>
    <xf numFmtId="4" fontId="40" fillId="0" borderId="14" xfId="410" applyNumberFormat="1" applyBorder="1" applyAlignment="1">
      <alignment horizontal="center" vertical="center" wrapText="1"/>
    </xf>
    <xf numFmtId="4" fontId="40" fillId="0" borderId="16" xfId="410" applyNumberFormat="1" applyBorder="1" applyAlignment="1">
      <alignment horizontal="center" vertical="center" wrapText="1"/>
    </xf>
    <xf numFmtId="4" fontId="26" fillId="12" borderId="14" xfId="410" applyNumberFormat="1" applyFont="1" applyFill="1" applyBorder="1" applyAlignment="1">
      <alignment horizontal="center" vertical="center" wrapText="1"/>
    </xf>
    <xf numFmtId="4" fontId="40" fillId="0" borderId="17" xfId="410" applyNumberFormat="1" applyBorder="1" applyAlignment="1">
      <alignment horizontal="center" vertical="center" wrapText="1"/>
    </xf>
    <xf numFmtId="4" fontId="40" fillId="12" borderId="17" xfId="410" applyNumberFormat="1" applyFill="1" applyBorder="1" applyAlignment="1">
      <alignment horizontal="center" vertical="center" wrapText="1"/>
    </xf>
    <xf numFmtId="4" fontId="40" fillId="12" borderId="14" xfId="410" applyNumberFormat="1" applyFill="1" applyBorder="1" applyAlignment="1">
      <alignment horizontal="center" vertical="center" wrapText="1"/>
    </xf>
    <xf numFmtId="0" fontId="40" fillId="12" borderId="14" xfId="410" applyFill="1" applyBorder="1" applyAlignment="1">
      <alignment horizontal="left" vertical="center" wrapText="1"/>
    </xf>
    <xf numFmtId="0" fontId="40" fillId="12" borderId="14" xfId="410" applyFill="1" applyBorder="1" applyAlignment="1">
      <alignment horizontal="center" vertical="center" wrapText="1"/>
    </xf>
    <xf numFmtId="4" fontId="2" fillId="0" borderId="16" xfId="410" applyNumberFormat="1" applyFont="1" applyBorder="1" applyAlignment="1">
      <alignment horizontal="center" vertical="center" wrapText="1"/>
    </xf>
    <xf numFmtId="49" fontId="0" fillId="0" borderId="0" xfId="94" applyNumberFormat="1" applyFont="1" applyBorder="1" applyAlignment="1" applyProtection="1">
      <alignment wrapText="1"/>
    </xf>
    <xf numFmtId="49" fontId="0" fillId="12" borderId="0" xfId="94" applyNumberFormat="1" applyFont="1" applyFill="1" applyBorder="1" applyAlignment="1" applyProtection="1">
      <alignment wrapText="1"/>
    </xf>
    <xf numFmtId="0" fontId="20" fillId="0" borderId="0" xfId="0" applyFont="1" applyAlignment="1">
      <alignment vertical="center"/>
    </xf>
    <xf numFmtId="0" fontId="27" fillId="0" borderId="0" xfId="0" applyFont="1" applyAlignment="1">
      <alignment vertical="center"/>
    </xf>
    <xf numFmtId="0" fontId="28" fillId="10" borderId="18" xfId="0" applyFont="1" applyFill="1" applyBorder="1" applyAlignment="1">
      <alignment horizontal="center" vertical="top" wrapText="1"/>
    </xf>
    <xf numFmtId="0" fontId="28" fillId="10" borderId="19" xfId="0" applyFont="1" applyFill="1" applyBorder="1" applyAlignment="1">
      <alignment horizontal="center" vertical="top" wrapText="1"/>
    </xf>
    <xf numFmtId="0" fontId="28" fillId="16" borderId="14" xfId="274" applyFont="1" applyFill="1" applyBorder="1" applyAlignment="1">
      <alignment horizontal="center" vertical="top" wrapText="1"/>
    </xf>
    <xf numFmtId="0" fontId="29" fillId="16" borderId="14" xfId="274" applyFont="1" applyFill="1" applyBorder="1" applyAlignment="1">
      <alignment horizontal="center" vertical="top" wrapText="1"/>
    </xf>
    <xf numFmtId="173" fontId="28" fillId="16" borderId="16" xfId="0" applyNumberFormat="1" applyFont="1" applyFill="1" applyBorder="1" applyAlignment="1">
      <alignment horizontal="center" vertical="top" wrapText="1"/>
    </xf>
    <xf numFmtId="171" fontId="28" fillId="16" borderId="4" xfId="0" applyNumberFormat="1" applyFont="1" applyFill="1" applyBorder="1" applyAlignment="1">
      <alignment horizontal="center" vertical="top" wrapText="1"/>
    </xf>
    <xf numFmtId="171" fontId="29" fillId="16" borderId="20" xfId="0" applyNumberFormat="1" applyFont="1" applyFill="1" applyBorder="1" applyAlignment="1">
      <alignment horizontal="center" vertical="top" wrapText="1"/>
    </xf>
    <xf numFmtId="171" fontId="28" fillId="16" borderId="17" xfId="0" applyNumberFormat="1" applyFont="1" applyFill="1" applyBorder="1" applyAlignment="1">
      <alignment horizontal="center" vertical="top" wrapText="1"/>
    </xf>
    <xf numFmtId="0" fontId="28" fillId="16" borderId="16" xfId="274" applyFont="1" applyFill="1" applyBorder="1" applyAlignment="1">
      <alignment horizontal="center" vertical="top" wrapText="1"/>
    </xf>
    <xf numFmtId="0" fontId="28" fillId="16" borderId="4" xfId="274" applyFont="1" applyFill="1" applyBorder="1" applyAlignment="1">
      <alignment horizontal="center" vertical="top" wrapText="1"/>
    </xf>
    <xf numFmtId="0" fontId="28" fillId="16" borderId="20" xfId="274" applyFont="1" applyFill="1" applyBorder="1" applyAlignment="1">
      <alignment horizontal="center" vertical="top" wrapText="1"/>
    </xf>
    <xf numFmtId="0" fontId="29" fillId="16" borderId="17" xfId="274" applyFont="1" applyFill="1" applyBorder="1" applyAlignment="1">
      <alignment horizontal="center" vertical="top" wrapText="1"/>
    </xf>
    <xf numFmtId="0" fontId="20" fillId="0" borderId="0" xfId="0" applyFont="1" applyAlignment="1">
      <alignment vertical="top"/>
    </xf>
    <xf numFmtId="0" fontId="30" fillId="12" borderId="21" xfId="0" applyFont="1" applyFill="1" applyBorder="1" applyAlignment="1">
      <alignment horizontal="left" vertical="center" wrapText="1"/>
    </xf>
    <xf numFmtId="0" fontId="30" fillId="12" borderId="21" xfId="0" applyFont="1" applyFill="1" applyBorder="1" applyAlignment="1">
      <alignment horizontal="center" vertical="center" wrapText="1"/>
    </xf>
    <xf numFmtId="0" fontId="30" fillId="12" borderId="22" xfId="0" applyFont="1" applyFill="1" applyBorder="1" applyAlignment="1">
      <alignment horizontal="center" vertical="center" wrapText="1"/>
    </xf>
    <xf numFmtId="173" fontId="30" fillId="12" borderId="24" xfId="274" applyNumberFormat="1" applyFont="1" applyFill="1" applyBorder="1" applyAlignment="1">
      <alignment horizontal="center" vertical="center" wrapText="1"/>
    </xf>
    <xf numFmtId="171" fontId="30" fillId="12" borderId="25" xfId="274" applyNumberFormat="1" applyFont="1" applyFill="1" applyBorder="1" applyAlignment="1">
      <alignment horizontal="center" vertical="center" wrapText="1"/>
    </xf>
    <xf numFmtId="171" fontId="27" fillId="12" borderId="26" xfId="274" applyNumberFormat="1" applyFont="1" applyFill="1" applyBorder="1" applyAlignment="1">
      <alignment horizontal="center" vertical="center" wrapText="1"/>
    </xf>
    <xf numFmtId="171" fontId="30" fillId="0" borderId="27" xfId="274" applyNumberFormat="1" applyFont="1" applyBorder="1" applyAlignment="1">
      <alignment horizontal="center" vertical="center" wrapText="1"/>
    </xf>
    <xf numFmtId="171" fontId="20" fillId="0" borderId="28" xfId="0" applyNumberFormat="1" applyFont="1" applyBorder="1" applyAlignment="1">
      <alignment vertical="center"/>
    </xf>
    <xf numFmtId="171" fontId="27" fillId="0" borderId="29" xfId="0" applyNumberFormat="1" applyFont="1" applyBorder="1" applyAlignment="1">
      <alignment vertical="center"/>
    </xf>
    <xf numFmtId="171" fontId="27" fillId="0" borderId="30" xfId="0" applyNumberFormat="1" applyFont="1" applyBorder="1" applyAlignment="1">
      <alignment vertical="center"/>
    </xf>
    <xf numFmtId="173" fontId="20" fillId="0" borderId="0" xfId="0" applyNumberFormat="1" applyFont="1" applyAlignment="1">
      <alignment vertical="center"/>
    </xf>
    <xf numFmtId="0" fontId="30" fillId="12" borderId="3" xfId="0" applyFont="1" applyFill="1" applyBorder="1" applyAlignment="1">
      <alignment horizontal="left" vertical="center" wrapText="1"/>
    </xf>
    <xf numFmtId="0" fontId="30" fillId="12" borderId="3" xfId="0" applyFont="1" applyFill="1" applyBorder="1" applyAlignment="1">
      <alignment horizontal="center" vertical="center" wrapText="1"/>
    </xf>
    <xf numFmtId="0" fontId="30" fillId="12" borderId="31" xfId="0" applyFont="1" applyFill="1" applyBorder="1" applyAlignment="1">
      <alignment horizontal="center" vertical="center" wrapText="1"/>
    </xf>
    <xf numFmtId="173" fontId="30" fillId="12" borderId="33" xfId="274" applyNumberFormat="1" applyFont="1" applyFill="1" applyBorder="1" applyAlignment="1">
      <alignment horizontal="center" vertical="center" wrapText="1"/>
    </xf>
    <xf numFmtId="171" fontId="30" fillId="12" borderId="34" xfId="274" applyNumberFormat="1" applyFont="1" applyFill="1" applyBorder="1" applyAlignment="1">
      <alignment horizontal="center" vertical="center" wrapText="1"/>
    </xf>
    <xf numFmtId="171" fontId="27" fillId="12" borderId="35" xfId="274" applyNumberFormat="1" applyFont="1" applyFill="1" applyBorder="1" applyAlignment="1">
      <alignment horizontal="center" vertical="center" wrapText="1"/>
    </xf>
    <xf numFmtId="171" fontId="30" fillId="0" borderId="36" xfId="274" applyNumberFormat="1" applyFont="1" applyBorder="1" applyAlignment="1">
      <alignment horizontal="center" vertical="center" wrapText="1"/>
    </xf>
    <xf numFmtId="171" fontId="20" fillId="0" borderId="35" xfId="0" applyNumberFormat="1" applyFont="1" applyBorder="1" applyAlignment="1">
      <alignment vertical="center"/>
    </xf>
    <xf numFmtId="171" fontId="27" fillId="0" borderId="36" xfId="0" applyNumberFormat="1" applyFont="1" applyBorder="1" applyAlignment="1">
      <alignment vertical="center"/>
    </xf>
    <xf numFmtId="171" fontId="27" fillId="0" borderId="32" xfId="0" applyNumberFormat="1" applyFont="1" applyBorder="1" applyAlignment="1">
      <alignment vertical="center"/>
    </xf>
    <xf numFmtId="171" fontId="30" fillId="0" borderId="35" xfId="0" applyNumberFormat="1" applyFont="1" applyBorder="1" applyAlignment="1">
      <alignment vertical="center"/>
    </xf>
    <xf numFmtId="0" fontId="30" fillId="0" borderId="0" xfId="0" applyFont="1" applyAlignment="1">
      <alignment vertical="center"/>
    </xf>
    <xf numFmtId="171" fontId="30" fillId="12" borderId="33" xfId="274" applyNumberFormat="1" applyFont="1" applyFill="1" applyBorder="1" applyAlignment="1">
      <alignment horizontal="center" vertical="center" wrapText="1"/>
    </xf>
    <xf numFmtId="171" fontId="30" fillId="0" borderId="33" xfId="274" applyNumberFormat="1" applyFont="1" applyBorder="1" applyAlignment="1">
      <alignment horizontal="center" vertical="center" wrapText="1"/>
    </xf>
    <xf numFmtId="171" fontId="30" fillId="0" borderId="34" xfId="274" applyNumberFormat="1" applyFont="1" applyBorder="1" applyAlignment="1">
      <alignment horizontal="center" vertical="center" wrapText="1"/>
    </xf>
    <xf numFmtId="0" fontId="20" fillId="12" borderId="0" xfId="0" applyFont="1" applyFill="1" applyAlignment="1">
      <alignment vertical="center"/>
    </xf>
    <xf numFmtId="0" fontId="30" fillId="12" borderId="18" xfId="0" applyFont="1" applyFill="1" applyBorder="1" applyAlignment="1">
      <alignment horizontal="left" vertical="center" wrapText="1"/>
    </xf>
    <xf numFmtId="0" fontId="30" fillId="12" borderId="18" xfId="0" applyFont="1" applyFill="1" applyBorder="1" applyAlignment="1">
      <alignment horizontal="center" vertical="center" wrapText="1"/>
    </xf>
    <xf numFmtId="0" fontId="30" fillId="12" borderId="19" xfId="0" applyFont="1" applyFill="1" applyBorder="1" applyAlignment="1">
      <alignment horizontal="center" vertical="center" wrapText="1"/>
    </xf>
    <xf numFmtId="173" fontId="30" fillId="12" borderId="38" xfId="274" applyNumberFormat="1" applyFont="1" applyFill="1" applyBorder="1" applyAlignment="1">
      <alignment horizontal="center" vertical="center" wrapText="1"/>
    </xf>
    <xf numFmtId="171" fontId="30" fillId="12" borderId="39" xfId="274" applyNumberFormat="1" applyFont="1" applyFill="1" applyBorder="1" applyAlignment="1">
      <alignment horizontal="center" vertical="center" wrapText="1"/>
    </xf>
    <xf numFmtId="171" fontId="27" fillId="12" borderId="40" xfId="274" applyNumberFormat="1" applyFont="1" applyFill="1" applyBorder="1" applyAlignment="1">
      <alignment horizontal="center" vertical="center" wrapText="1"/>
    </xf>
    <xf numFmtId="171" fontId="30" fillId="0" borderId="41" xfId="274" applyNumberFormat="1" applyFont="1" applyBorder="1" applyAlignment="1">
      <alignment horizontal="center" vertical="center" wrapText="1"/>
    </xf>
    <xf numFmtId="171" fontId="30" fillId="0" borderId="40" xfId="0" applyNumberFormat="1" applyFont="1" applyBorder="1" applyAlignment="1">
      <alignment vertical="center"/>
    </xf>
    <xf numFmtId="171" fontId="27" fillId="0" borderId="41" xfId="0" applyNumberFormat="1" applyFont="1" applyBorder="1" applyAlignment="1">
      <alignment vertical="center"/>
    </xf>
    <xf numFmtId="171" fontId="27" fillId="0" borderId="37" xfId="0" applyNumberFormat="1" applyFont="1" applyBorder="1" applyAlignment="1">
      <alignment vertical="center"/>
    </xf>
    <xf numFmtId="0" fontId="20" fillId="0" borderId="42" xfId="0" applyFont="1" applyBorder="1" applyAlignment="1">
      <alignment vertical="center"/>
    </xf>
    <xf numFmtId="0" fontId="27" fillId="0" borderId="42" xfId="0" applyFont="1" applyBorder="1" applyAlignment="1">
      <alignment vertical="center"/>
    </xf>
    <xf numFmtId="0" fontId="20" fillId="0" borderId="43" xfId="0" applyFont="1" applyBorder="1" applyAlignment="1">
      <alignment vertical="center"/>
    </xf>
    <xf numFmtId="174" fontId="31" fillId="12" borderId="44" xfId="92" applyNumberFormat="1" applyFont="1" applyFill="1" applyBorder="1" applyAlignment="1">
      <alignment horizontal="center" vertical="center"/>
    </xf>
    <xf numFmtId="174" fontId="32" fillId="12" borderId="13" xfId="92" applyNumberFormat="1" applyFont="1" applyFill="1" applyBorder="1" applyAlignment="1">
      <alignment vertical="center"/>
    </xf>
    <xf numFmtId="174" fontId="31" fillId="12" borderId="17" xfId="92" applyNumberFormat="1" applyFont="1" applyFill="1" applyBorder="1" applyAlignment="1">
      <alignment horizontal="center" vertical="center"/>
    </xf>
    <xf numFmtId="174" fontId="31" fillId="12" borderId="45" xfId="92" applyNumberFormat="1" applyFont="1" applyFill="1" applyBorder="1" applyAlignment="1">
      <alignment vertical="center"/>
    </xf>
    <xf numFmtId="174" fontId="31" fillId="12" borderId="13" xfId="92" applyNumberFormat="1" applyFont="1" applyFill="1" applyBorder="1" applyAlignment="1">
      <alignment vertical="center"/>
    </xf>
    <xf numFmtId="174" fontId="31" fillId="12" borderId="17" xfId="92" applyNumberFormat="1" applyFont="1" applyFill="1" applyBorder="1" applyAlignment="1">
      <alignment vertical="center"/>
    </xf>
    <xf numFmtId="174" fontId="31" fillId="12" borderId="14" xfId="92" applyNumberFormat="1" applyFont="1" applyFill="1" applyBorder="1" applyAlignment="1">
      <alignment vertical="center"/>
    </xf>
    <xf numFmtId="0" fontId="31" fillId="0" borderId="0" xfId="92" applyFont="1" applyAlignment="1">
      <alignment horizontal="center" vertical="center"/>
    </xf>
    <xf numFmtId="4" fontId="20" fillId="0" borderId="0" xfId="0" applyNumberFormat="1" applyFont="1" applyAlignment="1">
      <alignment vertical="center"/>
    </xf>
    <xf numFmtId="0" fontId="20" fillId="0" borderId="0" xfId="0" applyFont="1" applyAlignment="1">
      <alignment horizontal="center" vertical="center" wrapText="1"/>
    </xf>
    <xf numFmtId="0" fontId="20" fillId="0" borderId="0" xfId="0" applyFont="1" applyAlignment="1">
      <alignment vertical="center" wrapText="1"/>
    </xf>
    <xf numFmtId="4" fontId="31" fillId="12" borderId="46" xfId="92" applyNumberFormat="1" applyFont="1" applyFill="1" applyBorder="1" applyAlignment="1">
      <alignment vertical="center"/>
    </xf>
    <xf numFmtId="4" fontId="31" fillId="12" borderId="11" xfId="92" applyNumberFormat="1" applyFont="1" applyFill="1" applyBorder="1" applyAlignment="1">
      <alignment vertical="center"/>
    </xf>
    <xf numFmtId="173" fontId="31" fillId="17" borderId="47" xfId="92" applyNumberFormat="1" applyFont="1" applyFill="1" applyBorder="1" applyAlignment="1">
      <alignment vertical="center"/>
    </xf>
    <xf numFmtId="10" fontId="33" fillId="17" borderId="47" xfId="1" applyNumberFormat="1" applyFont="1" applyFill="1" applyBorder="1" applyAlignment="1" applyProtection="1">
      <alignment vertical="center"/>
    </xf>
    <xf numFmtId="171" fontId="0" fillId="0" borderId="0" xfId="0" applyNumberFormat="1" applyAlignment="1">
      <alignment horizontal="center" vertical="center"/>
    </xf>
    <xf numFmtId="0" fontId="2" fillId="11" borderId="3" xfId="0" applyFont="1" applyFill="1" applyBorder="1" applyAlignment="1">
      <alignment vertical="center" wrapText="1"/>
    </xf>
    <xf numFmtId="175" fontId="36" fillId="14" borderId="3" xfId="0" applyNumberFormat="1" applyFont="1" applyFill="1" applyBorder="1" applyAlignment="1">
      <alignment horizontal="center" vertical="center" wrapText="1"/>
    </xf>
    <xf numFmtId="0" fontId="2" fillId="16" borderId="3" xfId="0" applyFont="1" applyFill="1" applyBorder="1" applyAlignment="1">
      <alignment horizontal="center" vertical="center" wrapText="1"/>
    </xf>
    <xf numFmtId="171" fontId="2" fillId="16" borderId="3" xfId="0" applyNumberFormat="1" applyFont="1" applyFill="1" applyBorder="1" applyAlignment="1">
      <alignment horizontal="center" vertical="center" wrapText="1"/>
    </xf>
    <xf numFmtId="175" fontId="0" fillId="0" borderId="3" xfId="0" applyNumberFormat="1" applyBorder="1" applyAlignment="1">
      <alignment horizontal="center" vertical="center"/>
    </xf>
    <xf numFmtId="4" fontId="0" fillId="0" borderId="3" xfId="0" applyNumberFormat="1" applyBorder="1"/>
    <xf numFmtId="171" fontId="0" fillId="0" borderId="3" xfId="0" applyNumberFormat="1" applyBorder="1" applyAlignment="1">
      <alignment horizontal="center" vertical="center"/>
    </xf>
    <xf numFmtId="10" fontId="0" fillId="0" borderId="3" xfId="0" applyNumberFormat="1" applyBorder="1" applyAlignment="1">
      <alignment horizontal="center" vertical="center"/>
    </xf>
    <xf numFmtId="0" fontId="0" fillId="8" borderId="3" xfId="0" applyFill="1" applyBorder="1"/>
    <xf numFmtId="175" fontId="0" fillId="8" borderId="3" xfId="0" applyNumberFormat="1" applyFill="1" applyBorder="1" applyAlignment="1">
      <alignment horizontal="center" vertical="center"/>
    </xf>
    <xf numFmtId="4" fontId="2" fillId="0" borderId="3" xfId="0" applyNumberFormat="1" applyFont="1" applyBorder="1"/>
    <xf numFmtId="171" fontId="2" fillId="18" borderId="3" xfId="0" applyNumberFormat="1" applyFont="1" applyFill="1" applyBorder="1" applyAlignment="1">
      <alignment horizontal="center" vertical="center"/>
    </xf>
    <xf numFmtId="0" fontId="37" fillId="0" borderId="0" xfId="0" applyFont="1"/>
    <xf numFmtId="0" fontId="2" fillId="19" borderId="3" xfId="91" applyFont="1" applyFill="1" applyBorder="1" applyAlignment="1" applyProtection="1">
      <alignment horizontal="center" vertical="center" wrapText="1"/>
      <protection locked="0"/>
    </xf>
    <xf numFmtId="0" fontId="38" fillId="0" borderId="3" xfId="0" applyFont="1" applyBorder="1" applyAlignment="1">
      <alignment horizontal="center" vertical="center"/>
    </xf>
    <xf numFmtId="0" fontId="38" fillId="12" borderId="3" xfId="0" applyFont="1" applyFill="1" applyBorder="1" applyAlignment="1">
      <alignment horizontal="center" vertical="center" wrapText="1"/>
    </xf>
    <xf numFmtId="0" fontId="39" fillId="12" borderId="3" xfId="2" applyFont="1" applyFill="1" applyBorder="1" applyAlignment="1" applyProtection="1">
      <alignment horizontal="center" vertical="center" wrapText="1"/>
    </xf>
    <xf numFmtId="3" fontId="38" fillId="12" borderId="3" xfId="0" applyNumberFormat="1" applyFont="1" applyFill="1" applyBorder="1" applyAlignment="1">
      <alignment horizontal="center" vertical="center" wrapText="1"/>
    </xf>
    <xf numFmtId="0" fontId="38" fillId="0" borderId="3" xfId="0" applyFont="1" applyBorder="1" applyAlignment="1">
      <alignment horizontal="center" vertical="center" wrapText="1"/>
    </xf>
    <xf numFmtId="0" fontId="0" fillId="0" borderId="0" xfId="0" applyAlignment="1">
      <alignment wrapText="1"/>
    </xf>
    <xf numFmtId="0" fontId="21" fillId="0" borderId="0" xfId="93" applyFont="1" applyBorder="1" applyProtection="1"/>
    <xf numFmtId="0" fontId="23" fillId="12" borderId="0" xfId="93" applyFont="1" applyFill="1" applyBorder="1" applyProtection="1"/>
    <xf numFmtId="0" fontId="21" fillId="0" borderId="0" xfId="93" applyFont="1" applyBorder="1" applyAlignment="1" applyProtection="1">
      <alignment horizontal="center" vertical="center"/>
    </xf>
    <xf numFmtId="0" fontId="21" fillId="0" borderId="0" xfId="93" applyFont="1" applyBorder="1" applyAlignment="1" applyProtection="1">
      <alignment vertical="center"/>
    </xf>
    <xf numFmtId="0" fontId="21" fillId="0" borderId="0" xfId="93" applyFont="1" applyBorder="1" applyAlignment="1" applyProtection="1">
      <alignment horizontal="center"/>
    </xf>
    <xf numFmtId="49" fontId="0" fillId="12" borderId="0" xfId="93" applyNumberFormat="1" applyFont="1" applyFill="1" applyBorder="1" applyAlignment="1" applyProtection="1">
      <alignment wrapText="1"/>
    </xf>
    <xf numFmtId="49" fontId="0" fillId="0" borderId="0" xfId="93" applyNumberFormat="1" applyFont="1" applyBorder="1" applyAlignment="1" applyProtection="1">
      <alignment wrapText="1"/>
    </xf>
    <xf numFmtId="0" fontId="0" fillId="0" borderId="14" xfId="0" applyBorder="1" applyAlignment="1">
      <alignment horizontal="center" vertical="center" wrapText="1"/>
    </xf>
    <xf numFmtId="0" fontId="0" fillId="0" borderId="14" xfId="0" applyBorder="1" applyAlignment="1">
      <alignment horizontal="left" vertical="center" wrapText="1"/>
    </xf>
    <xf numFmtId="0" fontId="0" fillId="12" borderId="14" xfId="0" applyFill="1" applyBorder="1" applyAlignment="1">
      <alignment horizontal="left" vertical="center" wrapText="1"/>
    </xf>
    <xf numFmtId="0" fontId="0" fillId="12" borderId="14" xfId="0" applyFill="1" applyBorder="1" applyAlignment="1">
      <alignment horizontal="center" vertical="center" wrapText="1"/>
    </xf>
    <xf numFmtId="0" fontId="25" fillId="0" borderId="0" xfId="93" applyFont="1" applyBorder="1" applyProtection="1"/>
    <xf numFmtId="0" fontId="24" fillId="0" borderId="14" xfId="0" applyFont="1" applyBorder="1" applyAlignment="1">
      <alignment horizontal="center" vertical="center" wrapText="1"/>
    </xf>
    <xf numFmtId="0" fontId="24" fillId="0" borderId="14" xfId="0" applyFont="1" applyBorder="1" applyAlignment="1">
      <alignment horizontal="left" vertical="center" wrapText="1"/>
    </xf>
    <xf numFmtId="0" fontId="24" fillId="12" borderId="14" xfId="0" applyFont="1" applyFill="1" applyBorder="1" applyAlignment="1">
      <alignment horizontal="left" vertical="center" wrapText="1"/>
    </xf>
    <xf numFmtId="0" fontId="24" fillId="12" borderId="14" xfId="0" applyFont="1" applyFill="1" applyBorder="1" applyAlignment="1">
      <alignment horizontal="center" vertical="center" wrapText="1"/>
    </xf>
    <xf numFmtId="0" fontId="2" fillId="15" borderId="14" xfId="278" applyFont="1" applyFill="1" applyBorder="1" applyAlignment="1" applyProtection="1">
      <alignment horizontal="center" vertical="center" wrapText="1"/>
    </xf>
    <xf numFmtId="0" fontId="2" fillId="14" borderId="14" xfId="278" applyFont="1" applyFill="1" applyBorder="1" applyAlignment="1" applyProtection="1">
      <alignment horizontal="center" vertical="center" wrapText="1"/>
    </xf>
    <xf numFmtId="0" fontId="2" fillId="10" borderId="14" xfId="0" applyFont="1" applyFill="1" applyBorder="1" applyAlignment="1">
      <alignment horizontal="center" vertical="center" wrapText="1"/>
    </xf>
    <xf numFmtId="0" fontId="21" fillId="0" borderId="0" xfId="93" applyFont="1" applyBorder="1" applyAlignment="1" applyProtection="1">
      <alignment horizontal="center" vertical="top" wrapText="1"/>
    </xf>
    <xf numFmtId="0" fontId="23" fillId="12" borderId="0" xfId="93" applyFont="1" applyFill="1" applyBorder="1" applyAlignment="1" applyProtection="1">
      <alignment horizontal="center" vertical="top" wrapText="1"/>
    </xf>
    <xf numFmtId="172" fontId="22" fillId="0" borderId="0" xfId="93" applyNumberFormat="1" applyFont="1" applyBorder="1" applyAlignment="1" applyProtection="1">
      <alignment horizontal="left" vertical="center"/>
      <protection locked="0"/>
    </xf>
    <xf numFmtId="0" fontId="2" fillId="0" borderId="0" xfId="93" applyFont="1" applyBorder="1" applyAlignment="1" applyProtection="1">
      <alignment horizontal="center" vertical="center"/>
    </xf>
    <xf numFmtId="0" fontId="10" fillId="0" borderId="0" xfId="93" applyFont="1" applyBorder="1" applyAlignment="1" applyProtection="1">
      <alignment horizontal="center" vertical="center"/>
    </xf>
    <xf numFmtId="0" fontId="10" fillId="0" borderId="0" xfId="93" applyFont="1" applyBorder="1" applyAlignment="1" applyProtection="1">
      <alignment vertical="center"/>
    </xf>
    <xf numFmtId="3" fontId="45" fillId="12" borderId="14" xfId="0" applyNumberFormat="1" applyFont="1" applyFill="1" applyBorder="1" applyAlignment="1">
      <alignment horizontal="center" vertical="center" wrapText="1"/>
    </xf>
    <xf numFmtId="3" fontId="45" fillId="20" borderId="14" xfId="0" applyNumberFormat="1" applyFont="1" applyFill="1" applyBorder="1" applyAlignment="1">
      <alignment horizontal="center" vertical="center" wrapText="1"/>
    </xf>
    <xf numFmtId="3" fontId="45" fillId="0" borderId="16" xfId="0" applyNumberFormat="1" applyFont="1" applyBorder="1" applyAlignment="1">
      <alignment horizontal="center" vertical="center" wrapText="1"/>
    </xf>
    <xf numFmtId="3" fontId="45" fillId="0" borderId="14" xfId="0" applyNumberFormat="1" applyFont="1" applyBorder="1" applyAlignment="1">
      <alignment horizontal="center" vertical="center" wrapText="1"/>
    </xf>
    <xf numFmtId="4" fontId="45" fillId="0" borderId="14" xfId="0" applyNumberFormat="1" applyFont="1" applyBorder="1" applyAlignment="1">
      <alignment horizontal="center" vertical="center" wrapText="1"/>
    </xf>
    <xf numFmtId="3" fontId="45" fillId="0" borderId="17" xfId="0" applyNumberFormat="1" applyFont="1" applyBorder="1" applyAlignment="1">
      <alignment horizontal="center" vertical="center" wrapText="1"/>
    </xf>
    <xf numFmtId="3" fontId="45" fillId="12" borderId="16" xfId="0" applyNumberFormat="1" applyFont="1" applyFill="1" applyBorder="1" applyAlignment="1">
      <alignment horizontal="center" vertical="center" wrapText="1"/>
    </xf>
    <xf numFmtId="3" fontId="45" fillId="12" borderId="17" xfId="0" applyNumberFormat="1" applyFont="1" applyFill="1" applyBorder="1" applyAlignment="1">
      <alignment horizontal="center" vertical="center" wrapText="1"/>
    </xf>
    <xf numFmtId="3" fontId="45" fillId="0" borderId="14" xfId="278" applyNumberFormat="1" applyFont="1" applyBorder="1" applyAlignment="1" applyProtection="1">
      <alignment horizontal="center" vertical="center" wrapText="1"/>
    </xf>
    <xf numFmtId="3" fontId="46" fillId="0" borderId="14" xfId="0" applyNumberFormat="1" applyFont="1" applyBorder="1" applyAlignment="1">
      <alignment horizontal="center" vertical="center" wrapText="1"/>
    </xf>
    <xf numFmtId="3" fontId="46" fillId="0" borderId="16" xfId="0" applyNumberFormat="1" applyFont="1" applyBorder="1" applyAlignment="1">
      <alignment horizontal="center" vertical="center" wrapText="1"/>
    </xf>
    <xf numFmtId="3" fontId="47" fillId="12" borderId="14" xfId="0" applyNumberFormat="1" applyFont="1" applyFill="1" applyBorder="1" applyAlignment="1">
      <alignment horizontal="center" vertical="center" wrapText="1"/>
    </xf>
    <xf numFmtId="3" fontId="46" fillId="0" borderId="17" xfId="0" applyNumberFormat="1" applyFont="1" applyBorder="1" applyAlignment="1">
      <alignment horizontal="center" vertical="center" wrapText="1"/>
    </xf>
    <xf numFmtId="4" fontId="46" fillId="0" borderId="14" xfId="0" applyNumberFormat="1" applyFont="1" applyBorder="1" applyAlignment="1">
      <alignment horizontal="center" vertical="center" wrapText="1"/>
    </xf>
    <xf numFmtId="176" fontId="45" fillId="0" borderId="14" xfId="0" applyNumberFormat="1" applyFont="1" applyBorder="1" applyAlignment="1">
      <alignment horizontal="center" vertical="center" wrapText="1"/>
    </xf>
    <xf numFmtId="3" fontId="46" fillId="12" borderId="17" xfId="0" applyNumberFormat="1" applyFont="1" applyFill="1" applyBorder="1" applyAlignment="1">
      <alignment horizontal="center" vertical="center" wrapText="1"/>
    </xf>
    <xf numFmtId="3" fontId="46" fillId="12" borderId="14" xfId="0" applyNumberFormat="1" applyFont="1" applyFill="1" applyBorder="1" applyAlignment="1">
      <alignment horizontal="center" vertical="center" wrapText="1"/>
    </xf>
    <xf numFmtId="3" fontId="48" fillId="21" borderId="14" xfId="0" applyNumberFormat="1" applyFont="1" applyFill="1" applyBorder="1" applyAlignment="1">
      <alignment horizontal="center" vertical="center" wrapText="1"/>
    </xf>
    <xf numFmtId="3" fontId="48" fillId="20" borderId="14" xfId="0" applyNumberFormat="1" applyFont="1" applyFill="1" applyBorder="1" applyAlignment="1">
      <alignment horizontal="center" vertical="center" wrapText="1"/>
    </xf>
    <xf numFmtId="3" fontId="48" fillId="20" borderId="17" xfId="0" applyNumberFormat="1" applyFont="1" applyFill="1" applyBorder="1" applyAlignment="1">
      <alignment horizontal="center" vertical="center" wrapText="1"/>
    </xf>
    <xf numFmtId="3" fontId="49" fillId="20" borderId="16" xfId="0" applyNumberFormat="1" applyFont="1" applyFill="1" applyBorder="1" applyAlignment="1">
      <alignment horizontal="center" vertical="center" wrapText="1"/>
    </xf>
    <xf numFmtId="4" fontId="50" fillId="0" borderId="14" xfId="0" applyNumberFormat="1" applyFont="1" applyBorder="1" applyAlignment="1">
      <alignment horizontal="center" vertical="center" wrapText="1"/>
    </xf>
    <xf numFmtId="3" fontId="48" fillId="20" borderId="16" xfId="0" applyNumberFormat="1" applyFont="1" applyFill="1" applyBorder="1" applyAlignment="1">
      <alignment horizontal="center" vertical="center" wrapText="1"/>
    </xf>
    <xf numFmtId="3" fontId="48" fillId="20" borderId="14" xfId="278" applyNumberFormat="1" applyFont="1" applyFill="1" applyBorder="1" applyAlignment="1" applyProtection="1">
      <alignment horizontal="center" vertical="center" wrapText="1"/>
    </xf>
    <xf numFmtId="3" fontId="47" fillId="22" borderId="14" xfId="0" applyNumberFormat="1" applyFont="1" applyFill="1" applyBorder="1" applyAlignment="1">
      <alignment horizontal="center" vertical="center" wrapText="1"/>
    </xf>
    <xf numFmtId="0" fontId="21" fillId="20" borderId="0" xfId="93" applyFont="1" applyFill="1" applyBorder="1" applyAlignment="1" applyProtection="1">
      <alignment horizontal="center" vertical="center" wrapText="1"/>
    </xf>
    <xf numFmtId="0" fontId="0" fillId="0" borderId="15" xfId="0" applyBorder="1" applyAlignment="1">
      <alignment horizontal="left" vertical="center" wrapText="1"/>
    </xf>
    <xf numFmtId="0" fontId="0" fillId="0" borderId="50" xfId="0" applyBorder="1" applyAlignment="1">
      <alignment horizontal="left" vertical="center" wrapText="1"/>
    </xf>
    <xf numFmtId="4" fontId="53" fillId="0" borderId="23" xfId="91" applyNumberFormat="1" applyFont="1" applyBorder="1" applyAlignment="1">
      <alignment horizontal="right" vertical="center"/>
    </xf>
    <xf numFmtId="4" fontId="53" fillId="0" borderId="32" xfId="91" applyNumberFormat="1" applyFont="1" applyBorder="1" applyAlignment="1">
      <alignment horizontal="right" vertical="center"/>
    </xf>
    <xf numFmtId="3" fontId="53" fillId="0" borderId="32" xfId="91" applyNumberFormat="1" applyFont="1" applyBorder="1" applyAlignment="1">
      <alignment horizontal="right" vertical="center"/>
    </xf>
    <xf numFmtId="4" fontId="54" fillId="0" borderId="32" xfId="91" applyNumberFormat="1" applyFont="1" applyBorder="1" applyAlignment="1">
      <alignment horizontal="right" vertical="center"/>
    </xf>
    <xf numFmtId="4" fontId="53" fillId="12" borderId="32" xfId="91" applyNumberFormat="1" applyFont="1" applyFill="1" applyBorder="1" applyAlignment="1">
      <alignment horizontal="right" vertical="center"/>
    </xf>
    <xf numFmtId="4" fontId="54" fillId="0" borderId="37" xfId="91" applyNumberFormat="1" applyFont="1" applyBorder="1" applyAlignment="1">
      <alignment horizontal="right" vertical="center"/>
    </xf>
    <xf numFmtId="4" fontId="55" fillId="0" borderId="23" xfId="91" applyNumberFormat="1" applyFont="1" applyBorder="1" applyAlignment="1">
      <alignment horizontal="right" vertical="center"/>
    </xf>
    <xf numFmtId="4" fontId="55" fillId="0" borderId="32" xfId="91" applyNumberFormat="1" applyFont="1" applyBorder="1" applyAlignment="1">
      <alignment horizontal="right" vertical="center"/>
    </xf>
    <xf numFmtId="4" fontId="55" fillId="0" borderId="37" xfId="91" applyNumberFormat="1" applyFont="1" applyBorder="1" applyAlignment="1">
      <alignment horizontal="right" vertical="center"/>
    </xf>
    <xf numFmtId="0" fontId="30" fillId="20" borderId="3" xfId="0" applyFont="1" applyFill="1" applyBorder="1" applyAlignment="1">
      <alignment horizontal="left" vertical="center" wrapText="1"/>
    </xf>
    <xf numFmtId="0" fontId="51" fillId="20" borderId="3" xfId="0" applyFont="1" applyFill="1" applyBorder="1" applyAlignment="1">
      <alignment horizontal="center" vertical="center" wrapText="1"/>
    </xf>
    <xf numFmtId="0" fontId="51" fillId="20" borderId="3" xfId="0" applyFont="1" applyFill="1" applyBorder="1" applyAlignment="1">
      <alignment horizontal="left" vertical="center" wrapText="1"/>
    </xf>
    <xf numFmtId="4" fontId="53" fillId="20" borderId="32" xfId="91" applyNumberFormat="1" applyFont="1" applyFill="1" applyBorder="1" applyAlignment="1">
      <alignment horizontal="right" vertical="center"/>
    </xf>
    <xf numFmtId="4" fontId="55" fillId="20" borderId="32" xfId="91" applyNumberFormat="1" applyFont="1" applyFill="1" applyBorder="1" applyAlignment="1">
      <alignment horizontal="right" vertical="center"/>
    </xf>
    <xf numFmtId="177" fontId="51" fillId="20" borderId="3" xfId="274" applyNumberFormat="1" applyFont="1" applyFill="1" applyBorder="1" applyAlignment="1">
      <alignment horizontal="center" vertical="center" wrapText="1"/>
    </xf>
    <xf numFmtId="171" fontId="30" fillId="20" borderId="34" xfId="274" applyNumberFormat="1" applyFont="1" applyFill="1" applyBorder="1" applyAlignment="1">
      <alignment horizontal="center" vertical="center" wrapText="1"/>
    </xf>
    <xf numFmtId="171" fontId="27" fillId="20" borderId="35" xfId="274" applyNumberFormat="1" applyFont="1" applyFill="1" applyBorder="1" applyAlignment="1">
      <alignment horizontal="center" vertical="center" wrapText="1"/>
    </xf>
    <xf numFmtId="171" fontId="30" fillId="20" borderId="36" xfId="274" applyNumberFormat="1" applyFont="1" applyFill="1" applyBorder="1" applyAlignment="1">
      <alignment horizontal="center" vertical="center" wrapText="1"/>
    </xf>
    <xf numFmtId="173" fontId="30" fillId="20" borderId="33" xfId="274" applyNumberFormat="1" applyFont="1" applyFill="1" applyBorder="1" applyAlignment="1">
      <alignment horizontal="center" vertical="center" wrapText="1"/>
    </xf>
    <xf numFmtId="171" fontId="20" fillId="20" borderId="35" xfId="0" applyNumberFormat="1" applyFont="1" applyFill="1" applyBorder="1" applyAlignment="1">
      <alignment vertical="center"/>
    </xf>
    <xf numFmtId="171" fontId="27" fillId="20" borderId="36" xfId="0" applyNumberFormat="1" applyFont="1" applyFill="1" applyBorder="1" applyAlignment="1">
      <alignment vertical="center"/>
    </xf>
    <xf numFmtId="171" fontId="27" fillId="20" borderId="32" xfId="0" applyNumberFormat="1" applyFont="1" applyFill="1" applyBorder="1" applyAlignment="1">
      <alignment vertical="center"/>
    </xf>
    <xf numFmtId="3" fontId="47" fillId="23" borderId="14" xfId="0" applyNumberFormat="1" applyFont="1" applyFill="1" applyBorder="1" applyAlignment="1">
      <alignment horizontal="center" vertical="center" wrapText="1"/>
    </xf>
    <xf numFmtId="0" fontId="0" fillId="20" borderId="14" xfId="0" applyFill="1" applyBorder="1" applyAlignment="1">
      <alignment horizontal="left" vertical="center" wrapText="1"/>
    </xf>
    <xf numFmtId="0" fontId="52" fillId="20" borderId="31" xfId="0" applyFont="1" applyFill="1" applyBorder="1" applyAlignment="1">
      <alignment horizontal="center" vertical="center" wrapText="1"/>
    </xf>
    <xf numFmtId="0" fontId="52" fillId="20" borderId="51" xfId="0" applyFont="1" applyFill="1" applyBorder="1" applyAlignment="1">
      <alignment horizontal="left" vertical="center" wrapText="1"/>
    </xf>
    <xf numFmtId="0" fontId="52" fillId="20" borderId="48" xfId="0" applyFont="1" applyFill="1" applyBorder="1" applyAlignment="1">
      <alignment horizontal="left" vertical="center" wrapText="1"/>
    </xf>
    <xf numFmtId="0" fontId="52" fillId="20" borderId="49" xfId="0" applyFont="1" applyFill="1" applyBorder="1" applyAlignment="1">
      <alignment horizontal="center" vertical="center" wrapText="1"/>
    </xf>
    <xf numFmtId="0" fontId="30" fillId="21" borderId="3" xfId="0" applyFont="1" applyFill="1" applyBorder="1" applyAlignment="1">
      <alignment horizontal="left" vertical="center" wrapText="1"/>
    </xf>
    <xf numFmtId="0" fontId="30" fillId="21" borderId="3" xfId="0" applyFont="1" applyFill="1" applyBorder="1" applyAlignment="1">
      <alignment horizontal="center" vertical="center" wrapText="1"/>
    </xf>
    <xf numFmtId="0" fontId="30" fillId="21" borderId="31" xfId="0" applyFont="1" applyFill="1" applyBorder="1" applyAlignment="1">
      <alignment horizontal="center" vertical="center" wrapText="1"/>
    </xf>
    <xf numFmtId="4" fontId="54" fillId="20" borderId="32" xfId="91" applyNumberFormat="1" applyFont="1" applyFill="1" applyBorder="1" applyAlignment="1">
      <alignment horizontal="right" vertical="center"/>
    </xf>
    <xf numFmtId="173" fontId="30" fillId="21" borderId="33" xfId="274" applyNumberFormat="1" applyFont="1" applyFill="1" applyBorder="1" applyAlignment="1">
      <alignment horizontal="center" vertical="center" wrapText="1"/>
    </xf>
    <xf numFmtId="171" fontId="30" fillId="21" borderId="34" xfId="274" applyNumberFormat="1" applyFont="1" applyFill="1" applyBorder="1" applyAlignment="1">
      <alignment horizontal="center" vertical="center" wrapText="1"/>
    </xf>
    <xf numFmtId="171" fontId="27" fillId="21" borderId="35" xfId="274" applyNumberFormat="1" applyFont="1" applyFill="1" applyBorder="1" applyAlignment="1">
      <alignment horizontal="center" vertical="center" wrapText="1"/>
    </xf>
    <xf numFmtId="171" fontId="30" fillId="20" borderId="35" xfId="0" applyNumberFormat="1" applyFont="1" applyFill="1" applyBorder="1" applyAlignment="1">
      <alignment vertical="center"/>
    </xf>
    <xf numFmtId="0" fontId="0" fillId="21" borderId="14" xfId="0" applyFill="1" applyBorder="1" applyAlignment="1">
      <alignment horizontal="left" vertical="center" wrapText="1"/>
    </xf>
    <xf numFmtId="0" fontId="0" fillId="21" borderId="14" xfId="0" applyFill="1" applyBorder="1" applyAlignment="1">
      <alignment horizontal="center" vertical="center" wrapText="1"/>
    </xf>
    <xf numFmtId="0" fontId="0" fillId="20" borderId="14" xfId="0" applyFill="1" applyBorder="1" applyAlignment="1">
      <alignment horizontal="center" vertical="center" wrapText="1"/>
    </xf>
    <xf numFmtId="0" fontId="31" fillId="0" borderId="16" xfId="92" applyFont="1" applyBorder="1" applyAlignment="1">
      <alignment horizontal="right" vertical="center"/>
    </xf>
  </cellXfs>
  <cellStyles count="523">
    <cellStyle name="Accent 1 5" xfId="3" xr:uid="{00000000-0005-0000-0000-000006000000}"/>
    <cellStyle name="Accent 2 6" xfId="4" xr:uid="{00000000-0005-0000-0000-000007000000}"/>
    <cellStyle name="Accent 3 7" xfId="5" xr:uid="{00000000-0005-0000-0000-000008000000}"/>
    <cellStyle name="Accent 4" xfId="6" xr:uid="{00000000-0005-0000-0000-000009000000}"/>
    <cellStyle name="Angolo tabella pivot" xfId="7" xr:uid="{00000000-0005-0000-0000-00000A000000}"/>
    <cellStyle name="Bad 8" xfId="8" xr:uid="{00000000-0005-0000-0000-00000B000000}"/>
    <cellStyle name="Campo tabella pivot" xfId="9" xr:uid="{00000000-0005-0000-0000-00000C000000}"/>
    <cellStyle name="Categoria tabella pivot" xfId="10" xr:uid="{00000000-0005-0000-0000-00000D000000}"/>
    <cellStyle name="Collegamento ipertestuale" xfId="2" builtinId="8"/>
    <cellStyle name="Collegamento ipertestuale 2" xfId="11" xr:uid="{00000000-0005-0000-0000-00000E000000}"/>
    <cellStyle name="Comma 2" xfId="12" xr:uid="{00000000-0005-0000-0000-00000F000000}"/>
    <cellStyle name="Comma 2 2" xfId="13" xr:uid="{00000000-0005-0000-0000-000010000000}"/>
    <cellStyle name="Comma 2 2 2" xfId="14" xr:uid="{00000000-0005-0000-0000-000011000000}"/>
    <cellStyle name="Comma 2 2 2 2" xfId="15" xr:uid="{00000000-0005-0000-0000-000012000000}"/>
    <cellStyle name="Comma 2 2 2 3" xfId="16" xr:uid="{00000000-0005-0000-0000-000013000000}"/>
    <cellStyle name="Comma 2 2 3" xfId="17" xr:uid="{00000000-0005-0000-0000-000014000000}"/>
    <cellStyle name="Comma 2 2 4" xfId="18" xr:uid="{00000000-0005-0000-0000-000015000000}"/>
    <cellStyle name="Comma 2 3" xfId="19" xr:uid="{00000000-0005-0000-0000-000016000000}"/>
    <cellStyle name="Comma 2 3 2" xfId="20" xr:uid="{00000000-0005-0000-0000-000017000000}"/>
    <cellStyle name="Comma 2 3 3" xfId="21" xr:uid="{00000000-0005-0000-0000-000018000000}"/>
    <cellStyle name="Comma 2 4" xfId="22" xr:uid="{00000000-0005-0000-0000-000019000000}"/>
    <cellStyle name="Comma 2 5" xfId="23" xr:uid="{00000000-0005-0000-0000-00001A000000}"/>
    <cellStyle name="Comma 3" xfId="24" xr:uid="{00000000-0005-0000-0000-00001B000000}"/>
    <cellStyle name="Comma 3 2" xfId="25" xr:uid="{00000000-0005-0000-0000-00001C000000}"/>
    <cellStyle name="Comma 3 2 2" xfId="26" xr:uid="{00000000-0005-0000-0000-00001D000000}"/>
    <cellStyle name="Comma 3 2 3" xfId="27" xr:uid="{00000000-0005-0000-0000-00001E000000}"/>
    <cellStyle name="Comma 3 3" xfId="28" xr:uid="{00000000-0005-0000-0000-00001F000000}"/>
    <cellStyle name="Comma 3 4" xfId="29" xr:uid="{00000000-0005-0000-0000-000020000000}"/>
    <cellStyle name="Comma 4" xfId="30" xr:uid="{00000000-0005-0000-0000-000021000000}"/>
    <cellStyle name="Comma 4 2" xfId="31" xr:uid="{00000000-0005-0000-0000-000022000000}"/>
    <cellStyle name="Comma 4 3" xfId="32" xr:uid="{00000000-0005-0000-0000-000023000000}"/>
    <cellStyle name="Currency 2" xfId="33" xr:uid="{00000000-0005-0000-0000-000024000000}"/>
    <cellStyle name="Currency 2 2" xfId="34" xr:uid="{00000000-0005-0000-0000-000025000000}"/>
    <cellStyle name="Currency 2 2 2" xfId="35" xr:uid="{00000000-0005-0000-0000-000026000000}"/>
    <cellStyle name="Currency 2 2 3" xfId="36" xr:uid="{00000000-0005-0000-0000-000027000000}"/>
    <cellStyle name="Currency 2 3" xfId="37" xr:uid="{00000000-0005-0000-0000-000028000000}"/>
    <cellStyle name="Currency 2 4" xfId="38" xr:uid="{00000000-0005-0000-0000-000029000000}"/>
    <cellStyle name="Currency 3" xfId="39" xr:uid="{00000000-0005-0000-0000-00002A000000}"/>
    <cellStyle name="Currency 3 2" xfId="40" xr:uid="{00000000-0005-0000-0000-00002B000000}"/>
    <cellStyle name="Currency 3 3" xfId="41" xr:uid="{00000000-0005-0000-0000-00002C000000}"/>
    <cellStyle name="Error 9" xfId="42" xr:uid="{00000000-0005-0000-0000-00002D000000}"/>
    <cellStyle name="Footnote 10" xfId="43" xr:uid="{00000000-0005-0000-0000-00002E000000}"/>
    <cellStyle name="Good 11" xfId="44" xr:uid="{00000000-0005-0000-0000-00002F000000}"/>
    <cellStyle name="Heading 1 13" xfId="45" xr:uid="{00000000-0005-0000-0000-000030000000}"/>
    <cellStyle name="Heading 12" xfId="46" xr:uid="{00000000-0005-0000-0000-000031000000}"/>
    <cellStyle name="Heading 2 14" xfId="47" xr:uid="{00000000-0005-0000-0000-000032000000}"/>
    <cellStyle name="Heading 3" xfId="48" xr:uid="{00000000-0005-0000-0000-000033000000}"/>
    <cellStyle name="Heading1" xfId="49" xr:uid="{00000000-0005-0000-0000-000034000000}"/>
    <cellStyle name="Hyperlink 15" xfId="50" xr:uid="{00000000-0005-0000-0000-000035000000}"/>
    <cellStyle name="Migliaia 2" xfId="51" xr:uid="{00000000-0005-0000-0000-000036000000}"/>
    <cellStyle name="Migliaia 2 2" xfId="52" xr:uid="{00000000-0005-0000-0000-000037000000}"/>
    <cellStyle name="Migliaia 2 2 2" xfId="53" xr:uid="{00000000-0005-0000-0000-000038000000}"/>
    <cellStyle name="Migliaia 2 2 2 2" xfId="54" xr:uid="{00000000-0005-0000-0000-000039000000}"/>
    <cellStyle name="Migliaia 2 2 2 2 2" xfId="55" xr:uid="{00000000-0005-0000-0000-00003A000000}"/>
    <cellStyle name="Migliaia 2 2 2 2 3" xfId="56" xr:uid="{00000000-0005-0000-0000-00003B000000}"/>
    <cellStyle name="Migliaia 2 2 2 3" xfId="57" xr:uid="{00000000-0005-0000-0000-00003C000000}"/>
    <cellStyle name="Migliaia 2 2 2 4" xfId="58" xr:uid="{00000000-0005-0000-0000-00003D000000}"/>
    <cellStyle name="Migliaia 2 2 3" xfId="59" xr:uid="{00000000-0005-0000-0000-00003E000000}"/>
    <cellStyle name="Migliaia 2 2 3 2" xfId="60" xr:uid="{00000000-0005-0000-0000-00003F000000}"/>
    <cellStyle name="Migliaia 2 2 3 3" xfId="61" xr:uid="{00000000-0005-0000-0000-000040000000}"/>
    <cellStyle name="Migliaia 2 2 4" xfId="62" xr:uid="{00000000-0005-0000-0000-000041000000}"/>
    <cellStyle name="Migliaia 2 2 5" xfId="63" xr:uid="{00000000-0005-0000-0000-000042000000}"/>
    <cellStyle name="Migliaia 2 3" xfId="64" xr:uid="{00000000-0005-0000-0000-000043000000}"/>
    <cellStyle name="Migliaia 2 3 2" xfId="65" xr:uid="{00000000-0005-0000-0000-000044000000}"/>
    <cellStyle name="Migliaia 2 3 2 2" xfId="66" xr:uid="{00000000-0005-0000-0000-000045000000}"/>
    <cellStyle name="Migliaia 2 3 2 2 2" xfId="67" xr:uid="{00000000-0005-0000-0000-000046000000}"/>
    <cellStyle name="Migliaia 2 3 2 2 3" xfId="68" xr:uid="{00000000-0005-0000-0000-000047000000}"/>
    <cellStyle name="Migliaia 2 3 2 3" xfId="69" xr:uid="{00000000-0005-0000-0000-000048000000}"/>
    <cellStyle name="Migliaia 2 3 2 4" xfId="70" xr:uid="{00000000-0005-0000-0000-000049000000}"/>
    <cellStyle name="Migliaia 2 3 3" xfId="71" xr:uid="{00000000-0005-0000-0000-00004A000000}"/>
    <cellStyle name="Migliaia 2 3 3 2" xfId="72" xr:uid="{00000000-0005-0000-0000-00004B000000}"/>
    <cellStyle name="Migliaia 2 3 3 3" xfId="73" xr:uid="{00000000-0005-0000-0000-00004C000000}"/>
    <cellStyle name="Migliaia 2 3 4" xfId="74" xr:uid="{00000000-0005-0000-0000-00004D000000}"/>
    <cellStyle name="Migliaia 2 3 5" xfId="75" xr:uid="{00000000-0005-0000-0000-00004E000000}"/>
    <cellStyle name="Migliaia 2 4" xfId="76" xr:uid="{00000000-0005-0000-0000-00004F000000}"/>
    <cellStyle name="Migliaia 2 4 2" xfId="77" xr:uid="{00000000-0005-0000-0000-000050000000}"/>
    <cellStyle name="Migliaia 2 4 2 2" xfId="78" xr:uid="{00000000-0005-0000-0000-000051000000}"/>
    <cellStyle name="Migliaia 2 4 2 3" xfId="79" xr:uid="{00000000-0005-0000-0000-000052000000}"/>
    <cellStyle name="Migliaia 2 4 3" xfId="80" xr:uid="{00000000-0005-0000-0000-000053000000}"/>
    <cellStyle name="Migliaia 2 4 4" xfId="81" xr:uid="{00000000-0005-0000-0000-000054000000}"/>
    <cellStyle name="Migliaia 2 5" xfId="82" xr:uid="{00000000-0005-0000-0000-000055000000}"/>
    <cellStyle name="Migliaia 2 5 2" xfId="83" xr:uid="{00000000-0005-0000-0000-000056000000}"/>
    <cellStyle name="Migliaia 2 5 3" xfId="84" xr:uid="{00000000-0005-0000-0000-000057000000}"/>
    <cellStyle name="Migliaia 2 6" xfId="85" xr:uid="{00000000-0005-0000-0000-000058000000}"/>
    <cellStyle name="Migliaia 2 7" xfId="86" xr:uid="{00000000-0005-0000-0000-000059000000}"/>
    <cellStyle name="Migliaia 3" xfId="87" xr:uid="{00000000-0005-0000-0000-00005A000000}"/>
    <cellStyle name="Neutral 16" xfId="88" xr:uid="{00000000-0005-0000-0000-00005B000000}"/>
    <cellStyle name="Normal - Style1" xfId="89" xr:uid="{00000000-0005-0000-0000-00005C000000}"/>
    <cellStyle name="Normal - Style1 2" xfId="90" xr:uid="{00000000-0005-0000-0000-00005D000000}"/>
    <cellStyle name="Normal 2" xfId="91" xr:uid="{00000000-0005-0000-0000-00005E000000}"/>
    <cellStyle name="Normal 2 2" xfId="92" xr:uid="{00000000-0005-0000-0000-00005F000000}"/>
    <cellStyle name="Normal 2 2 2" xfId="93" xr:uid="{00000000-0005-0000-0000-000060000000}"/>
    <cellStyle name="Normal 2 3" xfId="94" xr:uid="{00000000-0005-0000-0000-000061000000}"/>
    <cellStyle name="Normal 3" xfId="95" xr:uid="{00000000-0005-0000-0000-000062000000}"/>
    <cellStyle name="Normal 3 2" xfId="96" xr:uid="{00000000-0005-0000-0000-000063000000}"/>
    <cellStyle name="Normal 3 2 2" xfId="97" xr:uid="{00000000-0005-0000-0000-000064000000}"/>
    <cellStyle name="Normal 3 2 2 2" xfId="98" xr:uid="{00000000-0005-0000-0000-000065000000}"/>
    <cellStyle name="Normal 3 2 2 3" xfId="99" xr:uid="{00000000-0005-0000-0000-000066000000}"/>
    <cellStyle name="Normal 3 2 3" xfId="100" xr:uid="{00000000-0005-0000-0000-000067000000}"/>
    <cellStyle name="Normal 3 2 4" xfId="101" xr:uid="{00000000-0005-0000-0000-000068000000}"/>
    <cellStyle name="Normal 3 3" xfId="102" xr:uid="{00000000-0005-0000-0000-000069000000}"/>
    <cellStyle name="Normal 3 3 2" xfId="103" xr:uid="{00000000-0005-0000-0000-00006A000000}"/>
    <cellStyle name="Normal 3 3 3" xfId="104" xr:uid="{00000000-0005-0000-0000-00006B000000}"/>
    <cellStyle name="Normal 3 4" xfId="105" xr:uid="{00000000-0005-0000-0000-00006C000000}"/>
    <cellStyle name="Normal 3 4 2" xfId="106" xr:uid="{00000000-0005-0000-0000-00006D000000}"/>
    <cellStyle name="Normal 3 4 2 2" xfId="107" xr:uid="{00000000-0005-0000-0000-00006E000000}"/>
    <cellStyle name="Normal 3 4 2 3" xfId="108" xr:uid="{00000000-0005-0000-0000-00006F000000}"/>
    <cellStyle name="Normal 3 4 3" xfId="109" xr:uid="{00000000-0005-0000-0000-000070000000}"/>
    <cellStyle name="Normal 3 4 4" xfId="110" xr:uid="{00000000-0005-0000-0000-000071000000}"/>
    <cellStyle name="Normal 3 5" xfId="111" xr:uid="{00000000-0005-0000-0000-000072000000}"/>
    <cellStyle name="Normal 3 6" xfId="112" xr:uid="{00000000-0005-0000-0000-000073000000}"/>
    <cellStyle name="Normal 4" xfId="113" xr:uid="{00000000-0005-0000-0000-000074000000}"/>
    <cellStyle name="Normal 4 2" xfId="114" xr:uid="{00000000-0005-0000-0000-000075000000}"/>
    <cellStyle name="Normal 4 2 2" xfId="115" xr:uid="{00000000-0005-0000-0000-000076000000}"/>
    <cellStyle name="Normal 4 2 3" xfId="116" xr:uid="{00000000-0005-0000-0000-000077000000}"/>
    <cellStyle name="Normal 4 3" xfId="117" xr:uid="{00000000-0005-0000-0000-000078000000}"/>
    <cellStyle name="Normal 4 3 2" xfId="118" xr:uid="{00000000-0005-0000-0000-000079000000}"/>
    <cellStyle name="Normal 4 4" xfId="119" xr:uid="{00000000-0005-0000-0000-00007A000000}"/>
    <cellStyle name="Normal 4 5" xfId="120" xr:uid="{00000000-0005-0000-0000-00007B000000}"/>
    <cellStyle name="Normal 5" xfId="121" xr:uid="{00000000-0005-0000-0000-00007C000000}"/>
    <cellStyle name="Normal 5 2" xfId="122" xr:uid="{00000000-0005-0000-0000-00007D000000}"/>
    <cellStyle name="Normal 5 2 2" xfId="123" xr:uid="{00000000-0005-0000-0000-00007E000000}"/>
    <cellStyle name="Normal 5 2 3" xfId="124" xr:uid="{00000000-0005-0000-0000-00007F000000}"/>
    <cellStyle name="Normal 5 3" xfId="125" xr:uid="{00000000-0005-0000-0000-000080000000}"/>
    <cellStyle name="Normal 5 4" xfId="126" xr:uid="{00000000-0005-0000-0000-000081000000}"/>
    <cellStyle name="Normale" xfId="0" builtinId="0"/>
    <cellStyle name="Normale 2" xfId="127" xr:uid="{00000000-0005-0000-0000-000082000000}"/>
    <cellStyle name="Normale 2 10" xfId="128" xr:uid="{00000000-0005-0000-0000-000083000000}"/>
    <cellStyle name="Normale 2 2" xfId="129" xr:uid="{00000000-0005-0000-0000-000084000000}"/>
    <cellStyle name="Normale 2 2 2" xfId="130" xr:uid="{00000000-0005-0000-0000-000085000000}"/>
    <cellStyle name="Normale 2 2 2 2" xfId="131" xr:uid="{00000000-0005-0000-0000-000086000000}"/>
    <cellStyle name="Normale 2 2 2 2 2" xfId="132" xr:uid="{00000000-0005-0000-0000-000087000000}"/>
    <cellStyle name="Normale 2 2 2 2 2 2" xfId="133" xr:uid="{00000000-0005-0000-0000-000088000000}"/>
    <cellStyle name="Normale 2 2 2 2 2 3" xfId="134" xr:uid="{00000000-0005-0000-0000-000089000000}"/>
    <cellStyle name="Normale 2 2 2 2 3" xfId="135" xr:uid="{00000000-0005-0000-0000-00008A000000}"/>
    <cellStyle name="Normale 2 2 2 2 4" xfId="136" xr:uid="{00000000-0005-0000-0000-00008B000000}"/>
    <cellStyle name="Normale 2 2 2 3" xfId="137" xr:uid="{00000000-0005-0000-0000-00008C000000}"/>
    <cellStyle name="Normale 2 2 2 3 2" xfId="138" xr:uid="{00000000-0005-0000-0000-00008D000000}"/>
    <cellStyle name="Normale 2 2 2 3 3" xfId="139" xr:uid="{00000000-0005-0000-0000-00008E000000}"/>
    <cellStyle name="Normale 2 2 2 4" xfId="140" xr:uid="{00000000-0005-0000-0000-00008F000000}"/>
    <cellStyle name="Normale 2 2 2 5" xfId="141" xr:uid="{00000000-0005-0000-0000-000090000000}"/>
    <cellStyle name="Normale 2 2 3" xfId="142" xr:uid="{00000000-0005-0000-0000-000091000000}"/>
    <cellStyle name="Normale 2 2 3 2" xfId="143" xr:uid="{00000000-0005-0000-0000-000092000000}"/>
    <cellStyle name="Normale 2 2 3 2 2" xfId="144" xr:uid="{00000000-0005-0000-0000-000093000000}"/>
    <cellStyle name="Normale 2 2 3 2 3" xfId="145" xr:uid="{00000000-0005-0000-0000-000094000000}"/>
    <cellStyle name="Normale 2 2 3 3" xfId="146" xr:uid="{00000000-0005-0000-0000-000095000000}"/>
    <cellStyle name="Normale 2 2 3 4" xfId="147" xr:uid="{00000000-0005-0000-0000-000096000000}"/>
    <cellStyle name="Normale 2 2 4" xfId="148" xr:uid="{00000000-0005-0000-0000-000097000000}"/>
    <cellStyle name="Normale 2 2 4 2" xfId="149" xr:uid="{00000000-0005-0000-0000-000098000000}"/>
    <cellStyle name="Normale 2 2 4 3" xfId="150" xr:uid="{00000000-0005-0000-0000-000099000000}"/>
    <cellStyle name="Normale 2 2 5" xfId="151" xr:uid="{00000000-0005-0000-0000-00009A000000}"/>
    <cellStyle name="Normale 2 2 6" xfId="152" xr:uid="{00000000-0005-0000-0000-00009B000000}"/>
    <cellStyle name="Normale 2 3" xfId="153" xr:uid="{00000000-0005-0000-0000-00009C000000}"/>
    <cellStyle name="Normale 2 3 2" xfId="154" xr:uid="{00000000-0005-0000-0000-00009D000000}"/>
    <cellStyle name="Normale 2 3 2 2" xfId="155" xr:uid="{00000000-0005-0000-0000-00009E000000}"/>
    <cellStyle name="Normale 2 3 2 2 2" xfId="156" xr:uid="{00000000-0005-0000-0000-00009F000000}"/>
    <cellStyle name="Normale 2 3 2 2 2 2" xfId="157" xr:uid="{00000000-0005-0000-0000-0000A0000000}"/>
    <cellStyle name="Normale 2 3 2 2 2 3" xfId="158" xr:uid="{00000000-0005-0000-0000-0000A1000000}"/>
    <cellStyle name="Normale 2 3 2 2 3" xfId="159" xr:uid="{00000000-0005-0000-0000-0000A2000000}"/>
    <cellStyle name="Normale 2 3 2 2 4" xfId="160" xr:uid="{00000000-0005-0000-0000-0000A3000000}"/>
    <cellStyle name="Normale 2 3 2 3" xfId="161" xr:uid="{00000000-0005-0000-0000-0000A4000000}"/>
    <cellStyle name="Normale 2 3 2 3 2" xfId="162" xr:uid="{00000000-0005-0000-0000-0000A5000000}"/>
    <cellStyle name="Normale 2 3 2 3 3" xfId="163" xr:uid="{00000000-0005-0000-0000-0000A6000000}"/>
    <cellStyle name="Normale 2 3 2 4" xfId="164" xr:uid="{00000000-0005-0000-0000-0000A7000000}"/>
    <cellStyle name="Normale 2 3 2 5" xfId="165" xr:uid="{00000000-0005-0000-0000-0000A8000000}"/>
    <cellStyle name="Normale 2 3 3" xfId="166" xr:uid="{00000000-0005-0000-0000-0000A9000000}"/>
    <cellStyle name="Normale 2 3 3 2" xfId="167" xr:uid="{00000000-0005-0000-0000-0000AA000000}"/>
    <cellStyle name="Normale 2 3 3 2 2" xfId="168" xr:uid="{00000000-0005-0000-0000-0000AB000000}"/>
    <cellStyle name="Normale 2 3 3 2 3" xfId="169" xr:uid="{00000000-0005-0000-0000-0000AC000000}"/>
    <cellStyle name="Normale 2 3 3 3" xfId="170" xr:uid="{00000000-0005-0000-0000-0000AD000000}"/>
    <cellStyle name="Normale 2 3 3 4" xfId="171" xr:uid="{00000000-0005-0000-0000-0000AE000000}"/>
    <cellStyle name="Normale 2 3 4" xfId="172" xr:uid="{00000000-0005-0000-0000-0000AF000000}"/>
    <cellStyle name="Normale 2 3 4 2" xfId="173" xr:uid="{00000000-0005-0000-0000-0000B0000000}"/>
    <cellStyle name="Normale 2 3 4 3" xfId="174" xr:uid="{00000000-0005-0000-0000-0000B1000000}"/>
    <cellStyle name="Normale 2 3 5" xfId="175" xr:uid="{00000000-0005-0000-0000-0000B2000000}"/>
    <cellStyle name="Normale 2 3 6" xfId="176" xr:uid="{00000000-0005-0000-0000-0000B3000000}"/>
    <cellStyle name="Normale 2 4" xfId="177" xr:uid="{00000000-0005-0000-0000-0000B4000000}"/>
    <cellStyle name="Normale 2 4 2" xfId="178" xr:uid="{00000000-0005-0000-0000-0000B5000000}"/>
    <cellStyle name="Normale 2 4 2 2" xfId="179" xr:uid="{00000000-0005-0000-0000-0000B6000000}"/>
    <cellStyle name="Normale 2 4 2 2 2" xfId="180" xr:uid="{00000000-0005-0000-0000-0000B7000000}"/>
    <cellStyle name="Normale 2 4 2 2 2 2" xfId="181" xr:uid="{00000000-0005-0000-0000-0000B8000000}"/>
    <cellStyle name="Normale 2 4 2 2 2 3" xfId="182" xr:uid="{00000000-0005-0000-0000-0000B9000000}"/>
    <cellStyle name="Normale 2 4 2 2 3" xfId="183" xr:uid="{00000000-0005-0000-0000-0000BA000000}"/>
    <cellStyle name="Normale 2 4 2 2 4" xfId="184" xr:uid="{00000000-0005-0000-0000-0000BB000000}"/>
    <cellStyle name="Normale 2 4 2 3" xfId="185" xr:uid="{00000000-0005-0000-0000-0000BC000000}"/>
    <cellStyle name="Normale 2 4 2 3 2" xfId="186" xr:uid="{00000000-0005-0000-0000-0000BD000000}"/>
    <cellStyle name="Normale 2 4 2 3 3" xfId="187" xr:uid="{00000000-0005-0000-0000-0000BE000000}"/>
    <cellStyle name="Normale 2 4 2 4" xfId="188" xr:uid="{00000000-0005-0000-0000-0000BF000000}"/>
    <cellStyle name="Normale 2 4 2 5" xfId="189" xr:uid="{00000000-0005-0000-0000-0000C0000000}"/>
    <cellStyle name="Normale 2 4 3" xfId="190" xr:uid="{00000000-0005-0000-0000-0000C1000000}"/>
    <cellStyle name="Normale 2 4 3 2" xfId="191" xr:uid="{00000000-0005-0000-0000-0000C2000000}"/>
    <cellStyle name="Normale 2 4 3 2 2" xfId="192" xr:uid="{00000000-0005-0000-0000-0000C3000000}"/>
    <cellStyle name="Normale 2 4 3 2 3" xfId="193" xr:uid="{00000000-0005-0000-0000-0000C4000000}"/>
    <cellStyle name="Normale 2 4 3 3" xfId="194" xr:uid="{00000000-0005-0000-0000-0000C5000000}"/>
    <cellStyle name="Normale 2 4 3 4" xfId="195" xr:uid="{00000000-0005-0000-0000-0000C6000000}"/>
    <cellStyle name="Normale 2 4 4" xfId="196" xr:uid="{00000000-0005-0000-0000-0000C7000000}"/>
    <cellStyle name="Normale 2 4 4 2" xfId="197" xr:uid="{00000000-0005-0000-0000-0000C8000000}"/>
    <cellStyle name="Normale 2 4 4 3" xfId="198" xr:uid="{00000000-0005-0000-0000-0000C9000000}"/>
    <cellStyle name="Normale 2 4 5" xfId="199" xr:uid="{00000000-0005-0000-0000-0000CA000000}"/>
    <cellStyle name="Normale 2 4 6" xfId="200" xr:uid="{00000000-0005-0000-0000-0000CB000000}"/>
    <cellStyle name="Normale 2 5" xfId="201" xr:uid="{00000000-0005-0000-0000-0000CC000000}"/>
    <cellStyle name="Normale 2 5 2" xfId="202" xr:uid="{00000000-0005-0000-0000-0000CD000000}"/>
    <cellStyle name="Normale 2 6" xfId="203" xr:uid="{00000000-0005-0000-0000-0000CE000000}"/>
    <cellStyle name="Normale 2 6 2" xfId="204" xr:uid="{00000000-0005-0000-0000-0000CF000000}"/>
    <cellStyle name="Normale 2 6 2 2" xfId="205" xr:uid="{00000000-0005-0000-0000-0000D0000000}"/>
    <cellStyle name="Normale 2 6 2 2 2" xfId="206" xr:uid="{00000000-0005-0000-0000-0000D1000000}"/>
    <cellStyle name="Normale 2 6 2 2 3" xfId="207" xr:uid="{00000000-0005-0000-0000-0000D2000000}"/>
    <cellStyle name="Normale 2 6 2 3" xfId="208" xr:uid="{00000000-0005-0000-0000-0000D3000000}"/>
    <cellStyle name="Normale 2 6 2 4" xfId="209" xr:uid="{00000000-0005-0000-0000-0000D4000000}"/>
    <cellStyle name="Normale 2 6 3" xfId="210" xr:uid="{00000000-0005-0000-0000-0000D5000000}"/>
    <cellStyle name="Normale 2 6 3 2" xfId="211" xr:uid="{00000000-0005-0000-0000-0000D6000000}"/>
    <cellStyle name="Normale 2 6 3 3" xfId="212" xr:uid="{00000000-0005-0000-0000-0000D7000000}"/>
    <cellStyle name="Normale 2 6 4" xfId="213" xr:uid="{00000000-0005-0000-0000-0000D8000000}"/>
    <cellStyle name="Normale 2 6 5" xfId="214" xr:uid="{00000000-0005-0000-0000-0000D9000000}"/>
    <cellStyle name="Normale 2 7" xfId="215" xr:uid="{00000000-0005-0000-0000-0000DA000000}"/>
    <cellStyle name="Normale 2 7 2" xfId="216" xr:uid="{00000000-0005-0000-0000-0000DB000000}"/>
    <cellStyle name="Normale 2 7 2 2" xfId="217" xr:uid="{00000000-0005-0000-0000-0000DC000000}"/>
    <cellStyle name="Normale 2 7 2 3" xfId="218" xr:uid="{00000000-0005-0000-0000-0000DD000000}"/>
    <cellStyle name="Normale 2 7 3" xfId="219" xr:uid="{00000000-0005-0000-0000-0000DE000000}"/>
    <cellStyle name="Normale 2 7 4" xfId="220" xr:uid="{00000000-0005-0000-0000-0000DF000000}"/>
    <cellStyle name="Normale 2 8" xfId="221" xr:uid="{00000000-0005-0000-0000-0000E0000000}"/>
    <cellStyle name="Normale 2 8 2" xfId="222" xr:uid="{00000000-0005-0000-0000-0000E1000000}"/>
    <cellStyle name="Normale 2 8 3" xfId="223" xr:uid="{00000000-0005-0000-0000-0000E2000000}"/>
    <cellStyle name="Normale 2 9" xfId="224" xr:uid="{00000000-0005-0000-0000-0000E3000000}"/>
    <cellStyle name="Normale 3" xfId="225" xr:uid="{00000000-0005-0000-0000-0000E4000000}"/>
    <cellStyle name="Normale 3 2" xfId="226" xr:uid="{00000000-0005-0000-0000-0000E5000000}"/>
    <cellStyle name="Normale 3 2 2" xfId="227" xr:uid="{00000000-0005-0000-0000-0000E6000000}"/>
    <cellStyle name="Normale 3 2 2 2" xfId="228" xr:uid="{00000000-0005-0000-0000-0000E7000000}"/>
    <cellStyle name="Normale 3 2 2 2 2" xfId="229" xr:uid="{00000000-0005-0000-0000-0000E8000000}"/>
    <cellStyle name="Normale 3 2 2 2 2 2" xfId="230" xr:uid="{00000000-0005-0000-0000-0000E9000000}"/>
    <cellStyle name="Normale 3 2 2 2 2 2 2" xfId="231" xr:uid="{00000000-0005-0000-0000-0000EA000000}"/>
    <cellStyle name="Normale 3 2 2 2 2 2 3" xfId="232" xr:uid="{00000000-0005-0000-0000-0000EB000000}"/>
    <cellStyle name="Normale 3 2 2 2 2 3" xfId="233" xr:uid="{00000000-0005-0000-0000-0000EC000000}"/>
    <cellStyle name="Normale 3 2 2 2 2 4" xfId="234" xr:uid="{00000000-0005-0000-0000-0000ED000000}"/>
    <cellStyle name="Normale 3 2 2 2 3" xfId="235" xr:uid="{00000000-0005-0000-0000-0000EE000000}"/>
    <cellStyle name="Normale 3 2 2 2 3 2" xfId="236" xr:uid="{00000000-0005-0000-0000-0000EF000000}"/>
    <cellStyle name="Normale 3 2 2 2 3 3" xfId="237" xr:uid="{00000000-0005-0000-0000-0000F0000000}"/>
    <cellStyle name="Normale 3 2 2 2 4" xfId="238" xr:uid="{00000000-0005-0000-0000-0000F1000000}"/>
    <cellStyle name="Normale 3 2 2 2 5" xfId="239" xr:uid="{00000000-0005-0000-0000-0000F2000000}"/>
    <cellStyle name="Normale 3 2 2 3" xfId="240" xr:uid="{00000000-0005-0000-0000-0000F3000000}"/>
    <cellStyle name="Normale 3 2 2 3 2" xfId="241" xr:uid="{00000000-0005-0000-0000-0000F4000000}"/>
    <cellStyle name="Normale 3 2 2 3 2 2" xfId="242" xr:uid="{00000000-0005-0000-0000-0000F5000000}"/>
    <cellStyle name="Normale 3 2 2 3 2 3" xfId="243" xr:uid="{00000000-0005-0000-0000-0000F6000000}"/>
    <cellStyle name="Normale 3 2 2 3 3" xfId="244" xr:uid="{00000000-0005-0000-0000-0000F7000000}"/>
    <cellStyle name="Normale 3 2 2 3 4" xfId="245" xr:uid="{00000000-0005-0000-0000-0000F8000000}"/>
    <cellStyle name="Normale 3 2 2 4" xfId="246" xr:uid="{00000000-0005-0000-0000-0000F9000000}"/>
    <cellStyle name="Normale 3 2 2 4 2" xfId="247" xr:uid="{00000000-0005-0000-0000-0000FA000000}"/>
    <cellStyle name="Normale 3 2 2 4 3" xfId="248" xr:uid="{00000000-0005-0000-0000-0000FB000000}"/>
    <cellStyle name="Normale 3 2 2 5" xfId="249" xr:uid="{00000000-0005-0000-0000-0000FC000000}"/>
    <cellStyle name="Normale 3 2 2 6" xfId="250" xr:uid="{00000000-0005-0000-0000-0000FD000000}"/>
    <cellStyle name="Normale 3 2 3" xfId="251" xr:uid="{00000000-0005-0000-0000-0000FE000000}"/>
    <cellStyle name="Normale 3 2 3 2" xfId="252" xr:uid="{00000000-0005-0000-0000-0000FF000000}"/>
    <cellStyle name="Normale 3 2 3 2 2" xfId="253" xr:uid="{00000000-0005-0000-0000-000000010000}"/>
    <cellStyle name="Normale 3 2 3 2 2 2" xfId="254" xr:uid="{00000000-0005-0000-0000-000001010000}"/>
    <cellStyle name="Normale 3 2 3 2 2 3" xfId="255" xr:uid="{00000000-0005-0000-0000-000002010000}"/>
    <cellStyle name="Normale 3 2 3 2 3" xfId="256" xr:uid="{00000000-0005-0000-0000-000003010000}"/>
    <cellStyle name="Normale 3 2 3 2 4" xfId="257" xr:uid="{00000000-0005-0000-0000-000004010000}"/>
    <cellStyle name="Normale 3 2 3 3" xfId="258" xr:uid="{00000000-0005-0000-0000-000005010000}"/>
    <cellStyle name="Normale 3 2 3 3 2" xfId="259" xr:uid="{00000000-0005-0000-0000-000006010000}"/>
    <cellStyle name="Normale 3 2 3 3 3" xfId="260" xr:uid="{00000000-0005-0000-0000-000007010000}"/>
    <cellStyle name="Normale 3 2 3 4" xfId="261" xr:uid="{00000000-0005-0000-0000-000008010000}"/>
    <cellStyle name="Normale 3 2 3 5" xfId="262" xr:uid="{00000000-0005-0000-0000-000009010000}"/>
    <cellStyle name="Normale 3 2 4" xfId="263" xr:uid="{00000000-0005-0000-0000-00000A010000}"/>
    <cellStyle name="Normale 3 2 4 2" xfId="264" xr:uid="{00000000-0005-0000-0000-00000B010000}"/>
    <cellStyle name="Normale 3 2 4 2 2" xfId="265" xr:uid="{00000000-0005-0000-0000-00000C010000}"/>
    <cellStyle name="Normale 3 2 4 2 3" xfId="266" xr:uid="{00000000-0005-0000-0000-00000D010000}"/>
    <cellStyle name="Normale 3 2 4 3" xfId="267" xr:uid="{00000000-0005-0000-0000-00000E010000}"/>
    <cellStyle name="Normale 3 2 4 4" xfId="268" xr:uid="{00000000-0005-0000-0000-00000F010000}"/>
    <cellStyle name="Normale 3 2 5" xfId="269" xr:uid="{00000000-0005-0000-0000-000010010000}"/>
    <cellStyle name="Normale 3 2 5 2" xfId="270" xr:uid="{00000000-0005-0000-0000-000011010000}"/>
    <cellStyle name="Normale 3 2 5 3" xfId="271" xr:uid="{00000000-0005-0000-0000-000012010000}"/>
    <cellStyle name="Normale 3 2 6" xfId="272" xr:uid="{00000000-0005-0000-0000-000013010000}"/>
    <cellStyle name="Normale 3 2 7" xfId="273" xr:uid="{00000000-0005-0000-0000-000014010000}"/>
    <cellStyle name="Normale 3 3" xfId="274" xr:uid="{00000000-0005-0000-0000-000015010000}"/>
    <cellStyle name="Normale 3 3 2" xfId="275" xr:uid="{00000000-0005-0000-0000-000016010000}"/>
    <cellStyle name="Normale 3 3 2 2" xfId="276" xr:uid="{00000000-0005-0000-0000-000017010000}"/>
    <cellStyle name="Normale 3 3 2 2 2" xfId="277" xr:uid="{00000000-0005-0000-0000-000018010000}"/>
    <cellStyle name="Normale 3 3 2 2 3" xfId="278" xr:uid="{00000000-0005-0000-0000-000019010000}"/>
    <cellStyle name="Normale 3 3 2 3" xfId="279" xr:uid="{00000000-0005-0000-0000-00001A010000}"/>
    <cellStyle name="Normale 3 3 2 4" xfId="280" xr:uid="{00000000-0005-0000-0000-00001B010000}"/>
    <cellStyle name="Normale 3 3 3" xfId="281" xr:uid="{00000000-0005-0000-0000-00001C010000}"/>
    <cellStyle name="Normale 3 3 3 2" xfId="282" xr:uid="{00000000-0005-0000-0000-00001D010000}"/>
    <cellStyle name="Normale 3 3 3 3" xfId="283" xr:uid="{00000000-0005-0000-0000-00001E010000}"/>
    <cellStyle name="Normale 3 3 4" xfId="284" xr:uid="{00000000-0005-0000-0000-00001F010000}"/>
    <cellStyle name="Normale 3 3 4 2" xfId="285" xr:uid="{00000000-0005-0000-0000-000020010000}"/>
    <cellStyle name="Normale 3 3 4 3" xfId="286" xr:uid="{00000000-0005-0000-0000-000021010000}"/>
    <cellStyle name="Normale 3 3 5" xfId="287" xr:uid="{00000000-0005-0000-0000-000022010000}"/>
    <cellStyle name="Normale 3 3 6" xfId="288" xr:uid="{00000000-0005-0000-0000-000023010000}"/>
    <cellStyle name="Normale 3 4" xfId="289" xr:uid="{00000000-0005-0000-0000-000024010000}"/>
    <cellStyle name="Normale 3 4 2" xfId="290" xr:uid="{00000000-0005-0000-0000-000025010000}"/>
    <cellStyle name="Normale 3 4 2 2" xfId="291" xr:uid="{00000000-0005-0000-0000-000026010000}"/>
    <cellStyle name="Normale 3 4 2 2 2" xfId="292" xr:uid="{00000000-0005-0000-0000-000027010000}"/>
    <cellStyle name="Normale 3 4 2 2 3" xfId="293" xr:uid="{00000000-0005-0000-0000-000028010000}"/>
    <cellStyle name="Normale 3 4 2 3" xfId="294" xr:uid="{00000000-0005-0000-0000-000029010000}"/>
    <cellStyle name="Normale 3 4 2 4" xfId="295" xr:uid="{00000000-0005-0000-0000-00002A010000}"/>
    <cellStyle name="Normale 3 4 3" xfId="296" xr:uid="{00000000-0005-0000-0000-00002B010000}"/>
    <cellStyle name="Normale 3 4 3 2" xfId="297" xr:uid="{00000000-0005-0000-0000-00002C010000}"/>
    <cellStyle name="Normale 3 4 3 3" xfId="298" xr:uid="{00000000-0005-0000-0000-00002D010000}"/>
    <cellStyle name="Normale 3 4 4" xfId="299" xr:uid="{00000000-0005-0000-0000-00002E010000}"/>
    <cellStyle name="Normale 3 4 5" xfId="300" xr:uid="{00000000-0005-0000-0000-00002F010000}"/>
    <cellStyle name="Normale 3 5" xfId="301" xr:uid="{00000000-0005-0000-0000-000030010000}"/>
    <cellStyle name="Normale 3 5 2" xfId="302" xr:uid="{00000000-0005-0000-0000-000031010000}"/>
    <cellStyle name="Normale 3 5 2 2" xfId="303" xr:uid="{00000000-0005-0000-0000-000032010000}"/>
    <cellStyle name="Normale 3 5 2 3" xfId="304" xr:uid="{00000000-0005-0000-0000-000033010000}"/>
    <cellStyle name="Normale 3 5 3" xfId="305" xr:uid="{00000000-0005-0000-0000-000034010000}"/>
    <cellStyle name="Normale 3 5 4" xfId="306" xr:uid="{00000000-0005-0000-0000-000035010000}"/>
    <cellStyle name="Normale 3 6" xfId="307" xr:uid="{00000000-0005-0000-0000-000036010000}"/>
    <cellStyle name="Normale 3 6 2" xfId="308" xr:uid="{00000000-0005-0000-0000-000037010000}"/>
    <cellStyle name="Normale 3 6 3" xfId="309" xr:uid="{00000000-0005-0000-0000-000038010000}"/>
    <cellStyle name="Normale 3 7" xfId="310" xr:uid="{00000000-0005-0000-0000-000039010000}"/>
    <cellStyle name="Normale 3 8" xfId="311" xr:uid="{00000000-0005-0000-0000-00003A010000}"/>
    <cellStyle name="Normale 4" xfId="312" xr:uid="{00000000-0005-0000-0000-00003B010000}"/>
    <cellStyle name="Normale 4 2" xfId="313" xr:uid="{00000000-0005-0000-0000-00003C010000}"/>
    <cellStyle name="Normale 5" xfId="314" xr:uid="{00000000-0005-0000-0000-00003D010000}"/>
    <cellStyle name="Normale 5 2" xfId="315" xr:uid="{00000000-0005-0000-0000-00003E010000}"/>
    <cellStyle name="Normale 5 2 2" xfId="316" xr:uid="{00000000-0005-0000-0000-00003F010000}"/>
    <cellStyle name="Normale 5 2 2 2" xfId="317" xr:uid="{00000000-0005-0000-0000-000040010000}"/>
    <cellStyle name="Normale 5 2 2 2 2" xfId="318" xr:uid="{00000000-0005-0000-0000-000041010000}"/>
    <cellStyle name="Normale 5 2 2 2 2 2" xfId="319" xr:uid="{00000000-0005-0000-0000-000042010000}"/>
    <cellStyle name="Normale 5 2 2 2 2 2 2" xfId="320" xr:uid="{00000000-0005-0000-0000-000043010000}"/>
    <cellStyle name="Normale 5 2 2 2 2 2 2 2" xfId="321" xr:uid="{00000000-0005-0000-0000-000044010000}"/>
    <cellStyle name="Normale 5 2 2 2 2 2 2 3" xfId="322" xr:uid="{00000000-0005-0000-0000-000045010000}"/>
    <cellStyle name="Normale 5 2 2 2 2 2 3" xfId="323" xr:uid="{00000000-0005-0000-0000-000046010000}"/>
    <cellStyle name="Normale 5 2 2 2 2 2 4" xfId="324" xr:uid="{00000000-0005-0000-0000-000047010000}"/>
    <cellStyle name="Normale 5 2 2 2 2 3" xfId="325" xr:uid="{00000000-0005-0000-0000-000048010000}"/>
    <cellStyle name="Normale 5 2 2 2 2 3 2" xfId="326" xr:uid="{00000000-0005-0000-0000-000049010000}"/>
    <cellStyle name="Normale 5 2 2 2 2 3 3" xfId="327" xr:uid="{00000000-0005-0000-0000-00004A010000}"/>
    <cellStyle name="Normale 5 2 2 2 2 4" xfId="328" xr:uid="{00000000-0005-0000-0000-00004B010000}"/>
    <cellStyle name="Normale 5 2 2 2 2 5" xfId="329" xr:uid="{00000000-0005-0000-0000-00004C010000}"/>
    <cellStyle name="Normale 5 2 2 2 3" xfId="330" xr:uid="{00000000-0005-0000-0000-00004D010000}"/>
    <cellStyle name="Normale 5 2 2 2 3 2" xfId="331" xr:uid="{00000000-0005-0000-0000-00004E010000}"/>
    <cellStyle name="Normale 5 2 2 2 3 2 2" xfId="332" xr:uid="{00000000-0005-0000-0000-00004F010000}"/>
    <cellStyle name="Normale 5 2 2 2 3 2 3" xfId="333" xr:uid="{00000000-0005-0000-0000-000050010000}"/>
    <cellStyle name="Normale 5 2 2 2 3 3" xfId="334" xr:uid="{00000000-0005-0000-0000-000051010000}"/>
    <cellStyle name="Normale 5 2 2 2 3 4" xfId="335" xr:uid="{00000000-0005-0000-0000-000052010000}"/>
    <cellStyle name="Normale 5 2 2 2 4" xfId="336" xr:uid="{00000000-0005-0000-0000-000053010000}"/>
    <cellStyle name="Normale 5 2 2 2 4 2" xfId="337" xr:uid="{00000000-0005-0000-0000-000054010000}"/>
    <cellStyle name="Normale 5 2 2 2 4 3" xfId="338" xr:uid="{00000000-0005-0000-0000-000055010000}"/>
    <cellStyle name="Normale 5 2 2 2 5" xfId="339" xr:uid="{00000000-0005-0000-0000-000056010000}"/>
    <cellStyle name="Normale 5 2 2 2 6" xfId="340" xr:uid="{00000000-0005-0000-0000-000057010000}"/>
    <cellStyle name="Normale 5 2 2 3" xfId="341" xr:uid="{00000000-0005-0000-0000-000058010000}"/>
    <cellStyle name="Normale 5 2 2 3 2" xfId="342" xr:uid="{00000000-0005-0000-0000-000059010000}"/>
    <cellStyle name="Normale 5 2 2 3 2 2" xfId="343" xr:uid="{00000000-0005-0000-0000-00005A010000}"/>
    <cellStyle name="Normale 5 2 2 3 2 2 2" xfId="344" xr:uid="{00000000-0005-0000-0000-00005B010000}"/>
    <cellStyle name="Normale 5 2 2 3 2 2 3" xfId="345" xr:uid="{00000000-0005-0000-0000-00005C010000}"/>
    <cellStyle name="Normale 5 2 2 3 2 3" xfId="346" xr:uid="{00000000-0005-0000-0000-00005D010000}"/>
    <cellStyle name="Normale 5 2 2 3 2 4" xfId="347" xr:uid="{00000000-0005-0000-0000-00005E010000}"/>
    <cellStyle name="Normale 5 2 2 3 3" xfId="348" xr:uid="{00000000-0005-0000-0000-00005F010000}"/>
    <cellStyle name="Normale 5 2 2 3 3 2" xfId="349" xr:uid="{00000000-0005-0000-0000-000060010000}"/>
    <cellStyle name="Normale 5 2 2 3 3 3" xfId="350" xr:uid="{00000000-0005-0000-0000-000061010000}"/>
    <cellStyle name="Normale 5 2 2 3 4" xfId="351" xr:uid="{00000000-0005-0000-0000-000062010000}"/>
    <cellStyle name="Normale 5 2 2 3 5" xfId="352" xr:uid="{00000000-0005-0000-0000-000063010000}"/>
    <cellStyle name="Normale 5 2 2 4" xfId="353" xr:uid="{00000000-0005-0000-0000-000064010000}"/>
    <cellStyle name="Normale 5 2 2 4 2" xfId="354" xr:uid="{00000000-0005-0000-0000-000065010000}"/>
    <cellStyle name="Normale 5 2 2 4 2 2" xfId="355" xr:uid="{00000000-0005-0000-0000-000066010000}"/>
    <cellStyle name="Normale 5 2 2 4 2 3" xfId="356" xr:uid="{00000000-0005-0000-0000-000067010000}"/>
    <cellStyle name="Normale 5 2 2 4 3" xfId="357" xr:uid="{00000000-0005-0000-0000-000068010000}"/>
    <cellStyle name="Normale 5 2 2 4 4" xfId="358" xr:uid="{00000000-0005-0000-0000-000069010000}"/>
    <cellStyle name="Normale 5 2 2 5" xfId="359" xr:uid="{00000000-0005-0000-0000-00006A010000}"/>
    <cellStyle name="Normale 5 2 2 5 2" xfId="360" xr:uid="{00000000-0005-0000-0000-00006B010000}"/>
    <cellStyle name="Normale 5 2 2 5 3" xfId="361" xr:uid="{00000000-0005-0000-0000-00006C010000}"/>
    <cellStyle name="Normale 5 2 2 6" xfId="362" xr:uid="{00000000-0005-0000-0000-00006D010000}"/>
    <cellStyle name="Normale 5 2 2 7" xfId="363" xr:uid="{00000000-0005-0000-0000-00006E010000}"/>
    <cellStyle name="Normale 5 2 3" xfId="364" xr:uid="{00000000-0005-0000-0000-00006F010000}"/>
    <cellStyle name="Normale 5 2 3 2" xfId="365" xr:uid="{00000000-0005-0000-0000-000070010000}"/>
    <cellStyle name="Normale 5 2 3 2 2" xfId="366" xr:uid="{00000000-0005-0000-0000-000071010000}"/>
    <cellStyle name="Normale 5 2 3 2 2 2" xfId="367" xr:uid="{00000000-0005-0000-0000-000072010000}"/>
    <cellStyle name="Normale 5 2 3 2 2 3" xfId="368" xr:uid="{00000000-0005-0000-0000-000073010000}"/>
    <cellStyle name="Normale 5 2 3 2 3" xfId="369" xr:uid="{00000000-0005-0000-0000-000074010000}"/>
    <cellStyle name="Normale 5 2 3 2 4" xfId="370" xr:uid="{00000000-0005-0000-0000-000075010000}"/>
    <cellStyle name="Normale 5 2 3 3" xfId="371" xr:uid="{00000000-0005-0000-0000-000076010000}"/>
    <cellStyle name="Normale 5 2 3 3 2" xfId="372" xr:uid="{00000000-0005-0000-0000-000077010000}"/>
    <cellStyle name="Normale 5 2 3 3 3" xfId="373" xr:uid="{00000000-0005-0000-0000-000078010000}"/>
    <cellStyle name="Normale 5 2 3 4" xfId="374" xr:uid="{00000000-0005-0000-0000-000079010000}"/>
    <cellStyle name="Normale 5 2 3 5" xfId="375" xr:uid="{00000000-0005-0000-0000-00007A010000}"/>
    <cellStyle name="Normale 5 2 4" xfId="376" xr:uid="{00000000-0005-0000-0000-00007B010000}"/>
    <cellStyle name="Normale 5 2 4 2" xfId="377" xr:uid="{00000000-0005-0000-0000-00007C010000}"/>
    <cellStyle name="Normale 5 2 4 2 2" xfId="378" xr:uid="{00000000-0005-0000-0000-00007D010000}"/>
    <cellStyle name="Normale 5 2 4 2 3" xfId="379" xr:uid="{00000000-0005-0000-0000-00007E010000}"/>
    <cellStyle name="Normale 5 2 4 3" xfId="380" xr:uid="{00000000-0005-0000-0000-00007F010000}"/>
    <cellStyle name="Normale 5 2 4 4" xfId="381" xr:uid="{00000000-0005-0000-0000-000080010000}"/>
    <cellStyle name="Normale 5 2 5" xfId="382" xr:uid="{00000000-0005-0000-0000-000081010000}"/>
    <cellStyle name="Normale 5 2 5 2" xfId="383" xr:uid="{00000000-0005-0000-0000-000082010000}"/>
    <cellStyle name="Normale 5 2 5 3" xfId="384" xr:uid="{00000000-0005-0000-0000-000083010000}"/>
    <cellStyle name="Normale 5 2 6" xfId="385" xr:uid="{00000000-0005-0000-0000-000084010000}"/>
    <cellStyle name="Normale 5 2 7" xfId="386" xr:uid="{00000000-0005-0000-0000-000085010000}"/>
    <cellStyle name="Normale 5 3" xfId="387" xr:uid="{00000000-0005-0000-0000-000086010000}"/>
    <cellStyle name="Normale 5 3 2" xfId="388" xr:uid="{00000000-0005-0000-0000-000087010000}"/>
    <cellStyle name="Normale 5 3 2 2" xfId="389" xr:uid="{00000000-0005-0000-0000-000088010000}"/>
    <cellStyle name="Normale 5 3 2 2 2" xfId="390" xr:uid="{00000000-0005-0000-0000-000089010000}"/>
    <cellStyle name="Normale 5 3 2 2 3" xfId="391" xr:uid="{00000000-0005-0000-0000-00008A010000}"/>
    <cellStyle name="Normale 5 3 2 3" xfId="392" xr:uid="{00000000-0005-0000-0000-00008B010000}"/>
    <cellStyle name="Normale 5 3 2 4" xfId="393" xr:uid="{00000000-0005-0000-0000-00008C010000}"/>
    <cellStyle name="Normale 5 3 3" xfId="394" xr:uid="{00000000-0005-0000-0000-00008D010000}"/>
    <cellStyle name="Normale 5 3 3 2" xfId="395" xr:uid="{00000000-0005-0000-0000-00008E010000}"/>
    <cellStyle name="Normale 5 3 3 3" xfId="396" xr:uid="{00000000-0005-0000-0000-00008F010000}"/>
    <cellStyle name="Normale 5 3 4" xfId="397" xr:uid="{00000000-0005-0000-0000-000090010000}"/>
    <cellStyle name="Normale 5 3 5" xfId="398" xr:uid="{00000000-0005-0000-0000-000091010000}"/>
    <cellStyle name="Normale 5 4" xfId="399" xr:uid="{00000000-0005-0000-0000-000092010000}"/>
    <cellStyle name="Normale 5 4 2" xfId="400" xr:uid="{00000000-0005-0000-0000-000093010000}"/>
    <cellStyle name="Normale 5 4 2 2" xfId="401" xr:uid="{00000000-0005-0000-0000-000094010000}"/>
    <cellStyle name="Normale 5 4 2 3" xfId="402" xr:uid="{00000000-0005-0000-0000-000095010000}"/>
    <cellStyle name="Normale 5 4 3" xfId="403" xr:uid="{00000000-0005-0000-0000-000096010000}"/>
    <cellStyle name="Normale 5 4 4" xfId="404" xr:uid="{00000000-0005-0000-0000-000097010000}"/>
    <cellStyle name="Normale 5 5" xfId="405" xr:uid="{00000000-0005-0000-0000-000098010000}"/>
    <cellStyle name="Normale 5 5 2" xfId="406" xr:uid="{00000000-0005-0000-0000-000099010000}"/>
    <cellStyle name="Normale 5 5 3" xfId="407" xr:uid="{00000000-0005-0000-0000-00009A010000}"/>
    <cellStyle name="Normale 5 6" xfId="408" xr:uid="{00000000-0005-0000-0000-00009B010000}"/>
    <cellStyle name="Normale 5 7" xfId="409" xr:uid="{00000000-0005-0000-0000-00009C010000}"/>
    <cellStyle name="Normale 6" xfId="410" xr:uid="{00000000-0005-0000-0000-00009D010000}"/>
    <cellStyle name="Note 17" xfId="411" xr:uid="{00000000-0005-0000-0000-00009E010000}"/>
    <cellStyle name="Percent 2" xfId="412" xr:uid="{00000000-0005-0000-0000-00009F010000}"/>
    <cellStyle name="Percent 2 2" xfId="413" xr:uid="{00000000-0005-0000-0000-0000A0010000}"/>
    <cellStyle name="Percentuale" xfId="1" builtinId="5"/>
    <cellStyle name="Result" xfId="414" xr:uid="{00000000-0005-0000-0000-0000A1010000}"/>
    <cellStyle name="Result 18" xfId="415" xr:uid="{00000000-0005-0000-0000-0000A2010000}"/>
    <cellStyle name="Result 4" xfId="416" xr:uid="{00000000-0005-0000-0000-0000A3010000}"/>
    <cellStyle name="Result2" xfId="417" xr:uid="{00000000-0005-0000-0000-0000A4010000}"/>
    <cellStyle name="Risultato tabella pivot" xfId="418" xr:uid="{00000000-0005-0000-0000-0000A5010000}"/>
    <cellStyle name="Risultato2" xfId="419" xr:uid="{00000000-0005-0000-0000-0000A6010000}"/>
    <cellStyle name="Status 19" xfId="420" xr:uid="{00000000-0005-0000-0000-0000A7010000}"/>
    <cellStyle name="Text 20" xfId="421" xr:uid="{00000000-0005-0000-0000-0000A8010000}"/>
    <cellStyle name="Titolo tabella pivot" xfId="422" xr:uid="{00000000-0005-0000-0000-0000A9010000}"/>
    <cellStyle name="Valore tabella pivot" xfId="423" xr:uid="{00000000-0005-0000-0000-0000AA010000}"/>
    <cellStyle name="Valuta 2" xfId="424" xr:uid="{00000000-0005-0000-0000-0000AB010000}"/>
    <cellStyle name="Valuta 2 2" xfId="425" xr:uid="{00000000-0005-0000-0000-0000AC010000}"/>
    <cellStyle name="Valuta 2 2 2" xfId="426" xr:uid="{00000000-0005-0000-0000-0000AD010000}"/>
    <cellStyle name="Valuta 2 2 2 2" xfId="427" xr:uid="{00000000-0005-0000-0000-0000AE010000}"/>
    <cellStyle name="Valuta 2 2 2 2 2" xfId="428" xr:uid="{00000000-0005-0000-0000-0000AF010000}"/>
    <cellStyle name="Valuta 2 2 2 3" xfId="429" xr:uid="{00000000-0005-0000-0000-0000B0010000}"/>
    <cellStyle name="Valuta 2 2 2 3 2" xfId="430" xr:uid="{00000000-0005-0000-0000-0000B1010000}"/>
    <cellStyle name="Valuta 2 2 2 3 2 2" xfId="431" xr:uid="{00000000-0005-0000-0000-0000B2010000}"/>
    <cellStyle name="Valuta 2 2 2 3 2 3" xfId="432" xr:uid="{00000000-0005-0000-0000-0000B3010000}"/>
    <cellStyle name="Valuta 2 2 2 3 3" xfId="433" xr:uid="{00000000-0005-0000-0000-0000B4010000}"/>
    <cellStyle name="Valuta 2 2 2 3 4" xfId="434" xr:uid="{00000000-0005-0000-0000-0000B5010000}"/>
    <cellStyle name="Valuta 2 2 2 4" xfId="435" xr:uid="{00000000-0005-0000-0000-0000B6010000}"/>
    <cellStyle name="Valuta 2 2 2 4 2" xfId="436" xr:uid="{00000000-0005-0000-0000-0000B7010000}"/>
    <cellStyle name="Valuta 2 2 2 4 3" xfId="437" xr:uid="{00000000-0005-0000-0000-0000B8010000}"/>
    <cellStyle name="Valuta 2 2 2 5" xfId="438" xr:uid="{00000000-0005-0000-0000-0000B9010000}"/>
    <cellStyle name="Valuta 2 2 2 6" xfId="439" xr:uid="{00000000-0005-0000-0000-0000BA010000}"/>
    <cellStyle name="Valuta 2 2 3" xfId="440" xr:uid="{00000000-0005-0000-0000-0000BB010000}"/>
    <cellStyle name="Valuta 2 2 3 2" xfId="441" xr:uid="{00000000-0005-0000-0000-0000BC010000}"/>
    <cellStyle name="Valuta 2 2 4" xfId="442" xr:uid="{00000000-0005-0000-0000-0000BD010000}"/>
    <cellStyle name="Valuta 2 2 4 2" xfId="443" xr:uid="{00000000-0005-0000-0000-0000BE010000}"/>
    <cellStyle name="Valuta 2 2 4 2 2" xfId="444" xr:uid="{00000000-0005-0000-0000-0000BF010000}"/>
    <cellStyle name="Valuta 2 2 4 2 3" xfId="445" xr:uid="{00000000-0005-0000-0000-0000C0010000}"/>
    <cellStyle name="Valuta 2 2 4 3" xfId="446" xr:uid="{00000000-0005-0000-0000-0000C1010000}"/>
    <cellStyle name="Valuta 2 2 4 4" xfId="447" xr:uid="{00000000-0005-0000-0000-0000C2010000}"/>
    <cellStyle name="Valuta 2 2 5" xfId="448" xr:uid="{00000000-0005-0000-0000-0000C3010000}"/>
    <cellStyle name="Valuta 2 2 5 2" xfId="449" xr:uid="{00000000-0005-0000-0000-0000C4010000}"/>
    <cellStyle name="Valuta 2 2 5 3" xfId="450" xr:uid="{00000000-0005-0000-0000-0000C5010000}"/>
    <cellStyle name="Valuta 2 2 6" xfId="451" xr:uid="{00000000-0005-0000-0000-0000C6010000}"/>
    <cellStyle name="Valuta 2 2 7" xfId="452" xr:uid="{00000000-0005-0000-0000-0000C7010000}"/>
    <cellStyle name="Valuta 2 3" xfId="453" xr:uid="{00000000-0005-0000-0000-0000C8010000}"/>
    <cellStyle name="Valuta 2 3 2" xfId="454" xr:uid="{00000000-0005-0000-0000-0000C9010000}"/>
    <cellStyle name="Valuta 2 4" xfId="455" xr:uid="{00000000-0005-0000-0000-0000CA010000}"/>
    <cellStyle name="Valuta 2 4 2" xfId="456" xr:uid="{00000000-0005-0000-0000-0000CB010000}"/>
    <cellStyle name="Valuta 2 4 2 2" xfId="457" xr:uid="{00000000-0005-0000-0000-0000CC010000}"/>
    <cellStyle name="Valuta 2 4 2 3" xfId="458" xr:uid="{00000000-0005-0000-0000-0000CD010000}"/>
    <cellStyle name="Valuta 2 4 3" xfId="459" xr:uid="{00000000-0005-0000-0000-0000CE010000}"/>
    <cellStyle name="Valuta 2 4 4" xfId="460" xr:uid="{00000000-0005-0000-0000-0000CF010000}"/>
    <cellStyle name="Valuta 2 5" xfId="461" xr:uid="{00000000-0005-0000-0000-0000D0010000}"/>
    <cellStyle name="Valuta 2 5 2" xfId="462" xr:uid="{00000000-0005-0000-0000-0000D1010000}"/>
    <cellStyle name="Valuta 2 5 3" xfId="463" xr:uid="{00000000-0005-0000-0000-0000D2010000}"/>
    <cellStyle name="Valuta 2 6" xfId="464" xr:uid="{00000000-0005-0000-0000-0000D3010000}"/>
    <cellStyle name="Valuta 2 7" xfId="465" xr:uid="{00000000-0005-0000-0000-0000D4010000}"/>
    <cellStyle name="Valuta 3" xfId="466" xr:uid="{00000000-0005-0000-0000-0000D5010000}"/>
    <cellStyle name="Valuta 3 2" xfId="467" xr:uid="{00000000-0005-0000-0000-0000D6010000}"/>
    <cellStyle name="Valuta 3 2 2" xfId="468" xr:uid="{00000000-0005-0000-0000-0000D7010000}"/>
    <cellStyle name="Valuta 3 3" xfId="469" xr:uid="{00000000-0005-0000-0000-0000D8010000}"/>
    <cellStyle name="Valuta 3 3 2" xfId="470" xr:uid="{00000000-0005-0000-0000-0000D9010000}"/>
    <cellStyle name="Valuta 3 3 2 2" xfId="471" xr:uid="{00000000-0005-0000-0000-0000DA010000}"/>
    <cellStyle name="Valuta 3 3 2 3" xfId="472" xr:uid="{00000000-0005-0000-0000-0000DB010000}"/>
    <cellStyle name="Valuta 3 3 3" xfId="473" xr:uid="{00000000-0005-0000-0000-0000DC010000}"/>
    <cellStyle name="Valuta 3 3 4" xfId="474" xr:uid="{00000000-0005-0000-0000-0000DD010000}"/>
    <cellStyle name="Valuta 3 4" xfId="475" xr:uid="{00000000-0005-0000-0000-0000DE010000}"/>
    <cellStyle name="Valuta 3 4 2" xfId="476" xr:uid="{00000000-0005-0000-0000-0000DF010000}"/>
    <cellStyle name="Valuta 3 4 3" xfId="477" xr:uid="{00000000-0005-0000-0000-0000E0010000}"/>
    <cellStyle name="Valuta 3 5" xfId="478" xr:uid="{00000000-0005-0000-0000-0000E1010000}"/>
    <cellStyle name="Valuta 3 6" xfId="479" xr:uid="{00000000-0005-0000-0000-0000E2010000}"/>
    <cellStyle name="Valuta 4" xfId="480" xr:uid="{00000000-0005-0000-0000-0000E3010000}"/>
    <cellStyle name="Valuta 4 2" xfId="481" xr:uid="{00000000-0005-0000-0000-0000E4010000}"/>
    <cellStyle name="Valuta 4 2 2" xfId="482" xr:uid="{00000000-0005-0000-0000-0000E5010000}"/>
    <cellStyle name="Valuta 4 3" xfId="483" xr:uid="{00000000-0005-0000-0000-0000E6010000}"/>
    <cellStyle name="Valuta 4 3 2" xfId="484" xr:uid="{00000000-0005-0000-0000-0000E7010000}"/>
    <cellStyle name="Valuta 4 3 2 2" xfId="485" xr:uid="{00000000-0005-0000-0000-0000E8010000}"/>
    <cellStyle name="Valuta 4 3 2 3" xfId="486" xr:uid="{00000000-0005-0000-0000-0000E9010000}"/>
    <cellStyle name="Valuta 4 3 3" xfId="487" xr:uid="{00000000-0005-0000-0000-0000EA010000}"/>
    <cellStyle name="Valuta 4 3 4" xfId="488" xr:uid="{00000000-0005-0000-0000-0000EB010000}"/>
    <cellStyle name="Valuta 4 4" xfId="489" xr:uid="{00000000-0005-0000-0000-0000EC010000}"/>
    <cellStyle name="Valuta 4 4 2" xfId="490" xr:uid="{00000000-0005-0000-0000-0000ED010000}"/>
    <cellStyle name="Valuta 4 4 3" xfId="491" xr:uid="{00000000-0005-0000-0000-0000EE010000}"/>
    <cellStyle name="Valuta 4 5" xfId="492" xr:uid="{00000000-0005-0000-0000-0000EF010000}"/>
    <cellStyle name="Valuta 4 6" xfId="493" xr:uid="{00000000-0005-0000-0000-0000F0010000}"/>
    <cellStyle name="Valuta 5" xfId="494" xr:uid="{00000000-0005-0000-0000-0000F1010000}"/>
    <cellStyle name="Valuta 5 2" xfId="495" xr:uid="{00000000-0005-0000-0000-0000F2010000}"/>
    <cellStyle name="Valuta 5 2 2" xfId="496" xr:uid="{00000000-0005-0000-0000-0000F3010000}"/>
    <cellStyle name="Valuta 5 3" xfId="497" xr:uid="{00000000-0005-0000-0000-0000F4010000}"/>
    <cellStyle name="Valuta 5 3 2" xfId="498" xr:uid="{00000000-0005-0000-0000-0000F5010000}"/>
    <cellStyle name="Valuta 5 3 2 2" xfId="499" xr:uid="{00000000-0005-0000-0000-0000F6010000}"/>
    <cellStyle name="Valuta 5 3 2 3" xfId="500" xr:uid="{00000000-0005-0000-0000-0000F7010000}"/>
    <cellStyle name="Valuta 5 3 3" xfId="501" xr:uid="{00000000-0005-0000-0000-0000F8010000}"/>
    <cellStyle name="Valuta 5 3 4" xfId="502" xr:uid="{00000000-0005-0000-0000-0000F9010000}"/>
    <cellStyle name="Valuta 5 4" xfId="503" xr:uid="{00000000-0005-0000-0000-0000FA010000}"/>
    <cellStyle name="Valuta 5 4 2" xfId="504" xr:uid="{00000000-0005-0000-0000-0000FB010000}"/>
    <cellStyle name="Valuta 5 4 3" xfId="505" xr:uid="{00000000-0005-0000-0000-0000FC010000}"/>
    <cellStyle name="Valuta 5 5" xfId="506" xr:uid="{00000000-0005-0000-0000-0000FD010000}"/>
    <cellStyle name="Valuta 5 6" xfId="507" xr:uid="{00000000-0005-0000-0000-0000FE010000}"/>
    <cellStyle name="Valuta 6" xfId="508" xr:uid="{00000000-0005-0000-0000-0000FF010000}"/>
    <cellStyle name="Valuta 6 2" xfId="509" xr:uid="{00000000-0005-0000-0000-000000020000}"/>
    <cellStyle name="Valuta 6 2 2" xfId="510" xr:uid="{00000000-0005-0000-0000-000001020000}"/>
    <cellStyle name="Valuta 6 3" xfId="511" xr:uid="{00000000-0005-0000-0000-000002020000}"/>
    <cellStyle name="Valuta 6 3 2" xfId="512" xr:uid="{00000000-0005-0000-0000-000003020000}"/>
    <cellStyle name="Valuta 6 3 2 2" xfId="513" xr:uid="{00000000-0005-0000-0000-000004020000}"/>
    <cellStyle name="Valuta 6 3 2 3" xfId="514" xr:uid="{00000000-0005-0000-0000-000005020000}"/>
    <cellStyle name="Valuta 6 3 3" xfId="515" xr:uid="{00000000-0005-0000-0000-000006020000}"/>
    <cellStyle name="Valuta 6 3 4" xfId="516" xr:uid="{00000000-0005-0000-0000-000007020000}"/>
    <cellStyle name="Valuta 6 4" xfId="517" xr:uid="{00000000-0005-0000-0000-000008020000}"/>
    <cellStyle name="Valuta 6 4 2" xfId="518" xr:uid="{00000000-0005-0000-0000-000009020000}"/>
    <cellStyle name="Valuta 6 4 3" xfId="519" xr:uid="{00000000-0005-0000-0000-00000A020000}"/>
    <cellStyle name="Valuta 6 5" xfId="520" xr:uid="{00000000-0005-0000-0000-00000B020000}"/>
    <cellStyle name="Valuta 6 6" xfId="521" xr:uid="{00000000-0005-0000-0000-00000C020000}"/>
    <cellStyle name="Warning 21" xfId="522" xr:uid="{00000000-0005-0000-0000-00000D02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C0000"/>
      <rgbColor rgb="FF006600"/>
      <rgbColor rgb="FF000080"/>
      <rgbColor rgb="FF996600"/>
      <rgbColor rgb="FF800080"/>
      <rgbColor rgb="FF008080"/>
      <rgbColor rgb="FFDDDDDD"/>
      <rgbColor rgb="FF808080"/>
      <rgbColor rgb="FF9999FF"/>
      <rgbColor rgb="FF993366"/>
      <rgbColor rgb="FFFFFFCC"/>
      <rgbColor rgb="FFE2EFDA"/>
      <rgbColor rgb="FF660066"/>
      <rgbColor rgb="FFFF8080"/>
      <rgbColor rgb="FF0070C0"/>
      <rgbColor rgb="FFD9D9D9"/>
      <rgbColor rgb="FF000080"/>
      <rgbColor rgb="FFFF00FF"/>
      <rgbColor rgb="FFFFFF00"/>
      <rgbColor rgb="FF00FFFF"/>
      <rgbColor rgb="FF800080"/>
      <rgbColor rgb="FF800000"/>
      <rgbColor rgb="FF008080"/>
      <rgbColor rgb="FF0000EE"/>
      <rgbColor rgb="FF00CCFF"/>
      <rgbColor rgb="FFDCE6F2"/>
      <rgbColor rgb="FFCCFFCC"/>
      <rgbColor rgb="FFFDEADA"/>
      <rgbColor rgb="FFD7E4BD"/>
      <rgbColor rgb="FFFFCCCC"/>
      <rgbColor rgb="FFE6E0EC"/>
      <rgbColor rgb="FFFCD5B5"/>
      <rgbColor rgb="FF3366FF"/>
      <rgbColor rgb="FF33CCCC"/>
      <rgbColor rgb="FF92D050"/>
      <rgbColor rgb="FFFFC0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209550</xdr:colOff>
      <xdr:row>23</xdr:row>
      <xdr:rowOff>342900</xdr:rowOff>
    </xdr:to>
    <xdr:sp macro="" textlink="">
      <xdr:nvSpPr>
        <xdr:cNvPr id="1026" name="_x0000_t202" hidden="1">
          <a:extLst>
            <a:ext uri="{FF2B5EF4-FFF2-40B4-BE49-F238E27FC236}">
              <a16:creationId xmlns:a16="http://schemas.microsoft.com/office/drawing/2014/main" id="{B08E5E0D-0ED2-5069-290F-3D51D8187203}"/>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209550</xdr:colOff>
      <xdr:row>23</xdr:row>
      <xdr:rowOff>342900</xdr:rowOff>
    </xdr:to>
    <xdr:sp macro="" textlink="">
      <xdr:nvSpPr>
        <xdr:cNvPr id="2" name="AutoShape 2">
          <a:extLst>
            <a:ext uri="{FF2B5EF4-FFF2-40B4-BE49-F238E27FC236}">
              <a16:creationId xmlns:a16="http://schemas.microsoft.com/office/drawing/2014/main" id="{CCC9BD62-DB2A-69CD-4AF0-05718D98D06F}"/>
            </a:ext>
          </a:extLst>
        </xdr:cNvPr>
        <xdr:cNvSpPr>
          <a:spLocks noChangeArrowheads="1"/>
        </xdr:cNvSpPr>
      </xdr:nvSpPr>
      <xdr:spPr bwMode="auto">
        <a:xfrm>
          <a:off x="0" y="0"/>
          <a:ext cx="965835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8</xdr:col>
      <xdr:colOff>861060</xdr:colOff>
      <xdr:row>27</xdr:row>
      <xdr:rowOff>45720</xdr:rowOff>
    </xdr:to>
    <xdr:sp macro="" textlink="">
      <xdr:nvSpPr>
        <xdr:cNvPr id="3" name="AutoShape 2">
          <a:extLst>
            <a:ext uri="{FF2B5EF4-FFF2-40B4-BE49-F238E27FC236}">
              <a16:creationId xmlns:a16="http://schemas.microsoft.com/office/drawing/2014/main" id="{04213FFD-1628-447F-B827-6A8F24E42856}"/>
            </a:ext>
          </a:extLst>
        </xdr:cNvPr>
        <xdr:cNvSpPr>
          <a:spLocks noChangeArrowheads="1"/>
        </xdr:cNvSpPr>
      </xdr:nvSpPr>
      <xdr:spPr bwMode="auto">
        <a:xfrm>
          <a:off x="0" y="0"/>
          <a:ext cx="966216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8</xdr:col>
      <xdr:colOff>861060</xdr:colOff>
      <xdr:row>27</xdr:row>
      <xdr:rowOff>45720</xdr:rowOff>
    </xdr:to>
    <xdr:sp macro="" textlink="">
      <xdr:nvSpPr>
        <xdr:cNvPr id="4" name="AutoShape 2">
          <a:extLst>
            <a:ext uri="{FF2B5EF4-FFF2-40B4-BE49-F238E27FC236}">
              <a16:creationId xmlns:a16="http://schemas.microsoft.com/office/drawing/2014/main" id="{4F283627-E6EF-488C-B83F-849003A1A7B9}"/>
            </a:ext>
          </a:extLst>
        </xdr:cNvPr>
        <xdr:cNvSpPr>
          <a:spLocks noChangeArrowheads="1"/>
        </xdr:cNvSpPr>
      </xdr:nvSpPr>
      <xdr:spPr bwMode="auto">
        <a:xfrm>
          <a:off x="0" y="0"/>
          <a:ext cx="966216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8</xdr:col>
      <xdr:colOff>861060</xdr:colOff>
      <xdr:row>27</xdr:row>
      <xdr:rowOff>45720</xdr:rowOff>
    </xdr:to>
    <xdr:sp macro="" textlink="">
      <xdr:nvSpPr>
        <xdr:cNvPr id="5" name="AutoShape 2">
          <a:extLst>
            <a:ext uri="{FF2B5EF4-FFF2-40B4-BE49-F238E27FC236}">
              <a16:creationId xmlns:a16="http://schemas.microsoft.com/office/drawing/2014/main" id="{5D5BE12A-90F6-2613-9060-22F216A06B6C}"/>
            </a:ext>
          </a:extLst>
        </xdr:cNvPr>
        <xdr:cNvSpPr>
          <a:spLocks noChangeArrowheads="1"/>
        </xdr:cNvSpPr>
      </xdr:nvSpPr>
      <xdr:spPr bwMode="auto">
        <a:xfrm>
          <a:off x="0" y="0"/>
          <a:ext cx="966216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209550</xdr:colOff>
      <xdr:row>23</xdr:row>
      <xdr:rowOff>342900</xdr:rowOff>
    </xdr:to>
    <xdr:sp macro="" textlink="">
      <xdr:nvSpPr>
        <xdr:cNvPr id="6" name="AutoShape 2">
          <a:extLst>
            <a:ext uri="{FF2B5EF4-FFF2-40B4-BE49-F238E27FC236}">
              <a16:creationId xmlns:a16="http://schemas.microsoft.com/office/drawing/2014/main" id="{315BFC8C-F855-AEBF-4033-48DE0FC37872}"/>
            </a:ext>
          </a:extLst>
        </xdr:cNvPr>
        <xdr:cNvSpPr>
          <a:spLocks noChangeArrowheads="1"/>
        </xdr:cNvSpPr>
      </xdr:nvSpPr>
      <xdr:spPr bwMode="auto">
        <a:xfrm>
          <a:off x="0" y="0"/>
          <a:ext cx="965835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209550</xdr:colOff>
      <xdr:row>23</xdr:row>
      <xdr:rowOff>342900</xdr:rowOff>
    </xdr:to>
    <xdr:sp macro="" textlink="">
      <xdr:nvSpPr>
        <xdr:cNvPr id="7" name="AutoShape 2">
          <a:extLst>
            <a:ext uri="{FF2B5EF4-FFF2-40B4-BE49-F238E27FC236}">
              <a16:creationId xmlns:a16="http://schemas.microsoft.com/office/drawing/2014/main" id="{C8E23AA8-C358-004E-B65D-18358642B48E}"/>
            </a:ext>
          </a:extLst>
        </xdr:cNvPr>
        <xdr:cNvSpPr>
          <a:spLocks noChangeArrowheads="1"/>
        </xdr:cNvSpPr>
      </xdr:nvSpPr>
      <xdr:spPr bwMode="auto">
        <a:xfrm>
          <a:off x="0" y="0"/>
          <a:ext cx="965835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209550</xdr:colOff>
      <xdr:row>23</xdr:row>
      <xdr:rowOff>342900</xdr:rowOff>
    </xdr:to>
    <xdr:sp macro="" textlink="">
      <xdr:nvSpPr>
        <xdr:cNvPr id="8" name="AutoShape 2">
          <a:extLst>
            <a:ext uri="{FF2B5EF4-FFF2-40B4-BE49-F238E27FC236}">
              <a16:creationId xmlns:a16="http://schemas.microsoft.com/office/drawing/2014/main" id="{A7DAED62-281A-3897-B7A8-66AB9500A277}"/>
            </a:ext>
          </a:extLst>
        </xdr:cNvPr>
        <xdr:cNvSpPr>
          <a:spLocks noChangeArrowheads="1"/>
        </xdr:cNvSpPr>
      </xdr:nvSpPr>
      <xdr:spPr bwMode="auto">
        <a:xfrm>
          <a:off x="0" y="0"/>
          <a:ext cx="9658350" cy="9610725"/>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209550</xdr:colOff>
      <xdr:row>23</xdr:row>
      <xdr:rowOff>342900</xdr:rowOff>
    </xdr:to>
    <xdr:sp macro="" textlink="">
      <xdr:nvSpPr>
        <xdr:cNvPr id="9" name="AutoShape 2">
          <a:extLst>
            <a:ext uri="{FF2B5EF4-FFF2-40B4-BE49-F238E27FC236}">
              <a16:creationId xmlns:a16="http://schemas.microsoft.com/office/drawing/2014/main" id="{7B8D743C-28EE-315A-1FFC-00EDBF8C6AE4}"/>
            </a:ext>
          </a:extLst>
        </xdr:cNvPr>
        <xdr:cNvSpPr>
          <a:spLocks noChangeArrowheads="1"/>
        </xdr:cNvSpPr>
      </xdr:nvSpPr>
      <xdr:spPr bwMode="auto">
        <a:xfrm>
          <a:off x="0" y="0"/>
          <a:ext cx="9658350" cy="9610725"/>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209550</xdr:colOff>
      <xdr:row>22</xdr:row>
      <xdr:rowOff>342900</xdr:rowOff>
    </xdr:to>
    <xdr:sp macro="" textlink="">
      <xdr:nvSpPr>
        <xdr:cNvPr id="10" name="AutoShape 2">
          <a:extLst>
            <a:ext uri="{FF2B5EF4-FFF2-40B4-BE49-F238E27FC236}">
              <a16:creationId xmlns:a16="http://schemas.microsoft.com/office/drawing/2014/main" id="{022C2683-DC22-7FC9-0A65-835179E009D7}"/>
            </a:ext>
          </a:extLst>
        </xdr:cNvPr>
        <xdr:cNvSpPr>
          <a:spLocks noChangeArrowheads="1"/>
        </xdr:cNvSpPr>
      </xdr:nvSpPr>
      <xdr:spPr bwMode="auto">
        <a:xfrm>
          <a:off x="0" y="0"/>
          <a:ext cx="9658350" cy="9610725"/>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209550</xdr:colOff>
      <xdr:row>22</xdr:row>
      <xdr:rowOff>342900</xdr:rowOff>
    </xdr:to>
    <xdr:sp macro="" textlink="">
      <xdr:nvSpPr>
        <xdr:cNvPr id="11" name="AutoShape 2">
          <a:extLst>
            <a:ext uri="{FF2B5EF4-FFF2-40B4-BE49-F238E27FC236}">
              <a16:creationId xmlns:a16="http://schemas.microsoft.com/office/drawing/2014/main" id="{E2E920FD-DB08-D384-6500-4437DB0CEB0C}"/>
            </a:ext>
          </a:extLst>
        </xdr:cNvPr>
        <xdr:cNvSpPr>
          <a:spLocks noChangeArrowheads="1"/>
        </xdr:cNvSpPr>
      </xdr:nvSpPr>
      <xdr:spPr bwMode="auto">
        <a:xfrm>
          <a:off x="0" y="0"/>
          <a:ext cx="9658350" cy="9610725"/>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209550</xdr:colOff>
      <xdr:row>22</xdr:row>
      <xdr:rowOff>342900</xdr:rowOff>
    </xdr:to>
    <xdr:sp macro="" textlink="">
      <xdr:nvSpPr>
        <xdr:cNvPr id="12" name="AutoShape 2">
          <a:extLst>
            <a:ext uri="{FF2B5EF4-FFF2-40B4-BE49-F238E27FC236}">
              <a16:creationId xmlns:a16="http://schemas.microsoft.com/office/drawing/2014/main" id="{6805178F-2580-C29D-B794-AA86D5897CDF}"/>
            </a:ext>
          </a:extLst>
        </xdr:cNvPr>
        <xdr:cNvSpPr>
          <a:spLocks noChangeArrowheads="1"/>
        </xdr:cNvSpPr>
      </xdr:nvSpPr>
      <xdr:spPr bwMode="auto">
        <a:xfrm>
          <a:off x="0" y="0"/>
          <a:ext cx="9658350" cy="9610725"/>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8</xdr:col>
      <xdr:colOff>861060</xdr:colOff>
      <xdr:row>25</xdr:row>
      <xdr:rowOff>190500</xdr:rowOff>
    </xdr:to>
    <xdr:sp macro="" textlink="">
      <xdr:nvSpPr>
        <xdr:cNvPr id="13" name="AutoShape 2">
          <a:extLst>
            <a:ext uri="{FF2B5EF4-FFF2-40B4-BE49-F238E27FC236}">
              <a16:creationId xmlns:a16="http://schemas.microsoft.com/office/drawing/2014/main" id="{CDE44B1C-B4BD-9C02-2BAF-27EA9C58FCEE}"/>
            </a:ext>
          </a:extLst>
        </xdr:cNvPr>
        <xdr:cNvSpPr>
          <a:spLocks noChangeArrowheads="1"/>
        </xdr:cNvSpPr>
      </xdr:nvSpPr>
      <xdr:spPr bwMode="auto">
        <a:xfrm>
          <a:off x="0" y="0"/>
          <a:ext cx="9662160" cy="960882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8</xdr:col>
      <xdr:colOff>861060</xdr:colOff>
      <xdr:row>25</xdr:row>
      <xdr:rowOff>190500</xdr:rowOff>
    </xdr:to>
    <xdr:sp macro="" textlink="">
      <xdr:nvSpPr>
        <xdr:cNvPr id="14" name="AutoShape 2">
          <a:extLst>
            <a:ext uri="{FF2B5EF4-FFF2-40B4-BE49-F238E27FC236}">
              <a16:creationId xmlns:a16="http://schemas.microsoft.com/office/drawing/2014/main" id="{4FA17830-25BE-FF6D-FC4E-7B68A4F9F14C}"/>
            </a:ext>
          </a:extLst>
        </xdr:cNvPr>
        <xdr:cNvSpPr>
          <a:spLocks noChangeArrowheads="1"/>
        </xdr:cNvSpPr>
      </xdr:nvSpPr>
      <xdr:spPr bwMode="auto">
        <a:xfrm>
          <a:off x="0" y="0"/>
          <a:ext cx="9662160" cy="960882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8</xdr:col>
      <xdr:colOff>861060</xdr:colOff>
      <xdr:row>25</xdr:row>
      <xdr:rowOff>190500</xdr:rowOff>
    </xdr:to>
    <xdr:sp macro="" textlink="">
      <xdr:nvSpPr>
        <xdr:cNvPr id="15" name="AutoShape 2">
          <a:extLst>
            <a:ext uri="{FF2B5EF4-FFF2-40B4-BE49-F238E27FC236}">
              <a16:creationId xmlns:a16="http://schemas.microsoft.com/office/drawing/2014/main" id="{F6DA9896-D99C-8ED5-BB9A-4D9DEF8E1B4F}"/>
            </a:ext>
          </a:extLst>
        </xdr:cNvPr>
        <xdr:cNvSpPr>
          <a:spLocks noChangeArrowheads="1"/>
        </xdr:cNvSpPr>
      </xdr:nvSpPr>
      <xdr:spPr bwMode="auto">
        <a:xfrm>
          <a:off x="0" y="0"/>
          <a:ext cx="9662160" cy="960882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209550</xdr:colOff>
      <xdr:row>22</xdr:row>
      <xdr:rowOff>342900</xdr:rowOff>
    </xdr:to>
    <xdr:sp macro="" textlink="">
      <xdr:nvSpPr>
        <xdr:cNvPr id="16" name="AutoShape 2">
          <a:extLst>
            <a:ext uri="{FF2B5EF4-FFF2-40B4-BE49-F238E27FC236}">
              <a16:creationId xmlns:a16="http://schemas.microsoft.com/office/drawing/2014/main" id="{771842C1-41B3-900D-C933-9ADE8E567894}"/>
            </a:ext>
          </a:extLst>
        </xdr:cNvPr>
        <xdr:cNvSpPr>
          <a:spLocks noChangeArrowheads="1"/>
        </xdr:cNvSpPr>
      </xdr:nvSpPr>
      <xdr:spPr bwMode="auto">
        <a:xfrm>
          <a:off x="0" y="0"/>
          <a:ext cx="9658350" cy="9610725"/>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209550</xdr:colOff>
      <xdr:row>22</xdr:row>
      <xdr:rowOff>342900</xdr:rowOff>
    </xdr:to>
    <xdr:sp macro="" textlink="">
      <xdr:nvSpPr>
        <xdr:cNvPr id="17" name="AutoShape 2">
          <a:extLst>
            <a:ext uri="{FF2B5EF4-FFF2-40B4-BE49-F238E27FC236}">
              <a16:creationId xmlns:a16="http://schemas.microsoft.com/office/drawing/2014/main" id="{4859866F-90CC-354F-1F27-54B413335E7C}"/>
            </a:ext>
          </a:extLst>
        </xdr:cNvPr>
        <xdr:cNvSpPr>
          <a:spLocks noChangeArrowheads="1"/>
        </xdr:cNvSpPr>
      </xdr:nvSpPr>
      <xdr:spPr bwMode="auto">
        <a:xfrm>
          <a:off x="0" y="0"/>
          <a:ext cx="9658350" cy="9610725"/>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209550</xdr:colOff>
      <xdr:row>22</xdr:row>
      <xdr:rowOff>342900</xdr:rowOff>
    </xdr:to>
    <xdr:sp macro="" textlink="">
      <xdr:nvSpPr>
        <xdr:cNvPr id="18" name="AutoShape 2">
          <a:extLst>
            <a:ext uri="{FF2B5EF4-FFF2-40B4-BE49-F238E27FC236}">
              <a16:creationId xmlns:a16="http://schemas.microsoft.com/office/drawing/2014/main" id="{F4B6B5C2-A6F8-FBCF-EEB4-B0E1EA4BD78B}"/>
            </a:ext>
          </a:extLst>
        </xdr:cNvPr>
        <xdr:cNvSpPr>
          <a:spLocks noChangeArrowheads="1"/>
        </xdr:cNvSpPr>
      </xdr:nvSpPr>
      <xdr:spPr bwMode="auto">
        <a:xfrm>
          <a:off x="0" y="0"/>
          <a:ext cx="9658350" cy="9610725"/>
        </a:xfrm>
        <a:custGeom>
          <a:avLst/>
          <a:gdLst/>
          <a:ahLst/>
          <a:cxnLst/>
          <a:rect l="0" t="0" r="0" b="0"/>
          <a:pathLst/>
        </a:custGeom>
        <a:solidFill>
          <a:srgbClr val="FFFFFF"/>
        </a:solidFill>
        <a:ln w="9525">
          <a:solidFill>
            <a:srgbClr val="000000"/>
          </a:solidFill>
          <a:round/>
          <a:headEnd/>
          <a:tailEnd/>
        </a:ln>
      </xdr:spPr>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3" recordCount="353" xr:uid="{00000000-000A-0000-FFFF-FFFF01000000}">
  <cacheSource type="worksheet">
    <worksheetSource ref="A1:K354" sheet="DPCache_DETTAGLIO PREZZI "/>
  </cacheSource>
  <cacheFields count="11">
    <cacheField name="Ente" numFmtId="0">
      <sharedItems count="3">
        <s v="ATS dell'Insubria"/>
        <s v="ATS della Brianza"/>
        <s v="ATS di Bergamo"/>
      </sharedItems>
    </cacheField>
    <cacheField name="Lotto" numFmtId="0">
      <sharedItems count="3">
        <s v="Lotto - Brianza, Lecco"/>
        <s v="Lotto - Como, Sondrio e Varese"/>
        <s v="Lotto - Milano provincia est, Bergamo"/>
      </sharedItems>
    </cacheField>
    <cacheField name="ID Servizio" numFmtId="0">
      <sharedItems count="128">
        <s v="1.1"/>
        <s v="1.2"/>
        <s v="1.3"/>
        <s v="1.4"/>
        <s v="10.1"/>
        <s v="11.1"/>
        <s v="12.1"/>
        <s v="12.2"/>
        <s v="12.3"/>
        <s v="13.1"/>
        <s v="13.2"/>
        <s v="13.3"/>
        <s v="13.4"/>
        <s v="14.1"/>
        <s v="15.1"/>
        <s v="16.1"/>
        <s v="17.1"/>
        <s v="18.1"/>
        <s v="19.1"/>
        <s v="2.1"/>
        <s v="20.1"/>
        <s v="20.2"/>
        <s v="21.1"/>
        <s v="21.2"/>
        <s v="22.1"/>
        <s v="23.1"/>
        <s v="23.2"/>
        <s v="23.3"/>
        <s v="24.1"/>
        <s v="25.1"/>
        <s v="26.1"/>
        <s v="27.1"/>
        <s v="28.1"/>
        <s v="29.1"/>
        <s v="3.1"/>
        <s v="30.1"/>
        <s v="31.1"/>
        <s v="32.1"/>
        <s v="33.1"/>
        <s v="34.1"/>
        <s v="35.1"/>
        <s v="36.1"/>
        <s v="37.1"/>
        <s v="38.1"/>
        <s v="39.1"/>
        <s v="4.1"/>
        <s v="40.1"/>
        <s v="41.1"/>
        <s v="41.2"/>
        <s v="41.3"/>
        <s v="41.4"/>
        <s v="42.1"/>
        <s v="42.2"/>
        <s v="42.3"/>
        <s v="42.4"/>
        <s v="42.5"/>
        <s v="43.1"/>
        <s v="44.1"/>
        <s v="45.1"/>
        <s v="45.2"/>
        <s v="46.1"/>
        <s v="47.1"/>
        <s v="48.1"/>
        <s v="49.1"/>
        <s v="5.1"/>
        <s v="50.1"/>
        <s v="50.2"/>
        <s v="51.1"/>
        <s v="52.1"/>
        <s v="53.1"/>
        <s v="54.1"/>
        <s v="55.1"/>
        <s v="55.2"/>
        <s v="56.1"/>
        <s v="57.1"/>
        <s v="59.1"/>
        <s v="6.1"/>
        <s v="60.1"/>
        <s v="61.1"/>
        <s v="62.1"/>
        <s v="63.1"/>
        <s v="64.1"/>
        <s v="65.1"/>
        <s v="66.1"/>
        <s v="67.1"/>
        <s v="68.1"/>
        <s v="69.1"/>
        <s v="7.1"/>
        <s v="7.2"/>
        <s v="7.3"/>
        <s v="70.1"/>
        <s v="71.1"/>
        <s v="72.1"/>
        <s v="72.2"/>
        <s v="72.3"/>
        <s v="73.1"/>
        <s v="74.1"/>
        <s v="75.1"/>
        <s v="76.1"/>
        <s v="77.1"/>
        <s v="78.1"/>
        <s v="79.1"/>
        <s v="8.1"/>
        <s v="80.1"/>
        <s v="81.1"/>
        <s v="82.1"/>
        <s v="83.1"/>
        <s v="84.1"/>
        <s v="85.1"/>
        <s v="86.1"/>
        <s v="87.1"/>
        <s v="88.1"/>
        <s v="89.1"/>
        <s v="9.1"/>
        <s v="90.1"/>
        <s v="91.1"/>
        <s v="92.1"/>
        <s v="93.1"/>
        <s v="93.2"/>
        <s v="94.1"/>
        <s v="94.2"/>
        <s v="95.1"/>
        <s v="96.1"/>
        <s v="96.2"/>
        <s v="96.3"/>
        <s v="96.4"/>
        <s v="96.5"/>
        <s v="ESCLUSO"/>
      </sharedItems>
    </cacheField>
    <cacheField name="Codice" numFmtId="0">
      <sharedItems count="91">
        <s v="B.01 - B.02 - B.12"/>
        <s v="B.01 - B.08.04/ 05/06 - B.09 - B.10 - B.11"/>
        <s v="B.01 -B.05 -B.06 -B.07 - B.09 - B.10 - B.11"/>
        <s v="B.02.02"/>
        <s v="B.02.03"/>
        <s v="B.02.11"/>
        <s v="B.02.13"/>
        <s v="B.02.14 / 15 - B.12"/>
        <s v="B.02.16 / 15 - B.12"/>
        <s v="B.02.20"/>
        <s v="B.03.01"/>
        <s v="B.03.02/03/04/05/06/07"/>
        <s v="B.04"/>
        <s v="B.04 - B.15"/>
        <s v="B.07.05"/>
        <s v="B.07.06"/>
        <s v="B.07.07/09"/>
        <s v="B.07.10"/>
        <s v="B.08"/>
        <s v="B.08 - B.13 - B.15"/>
        <s v="B.09.05"/>
        <s v="B.09.07"/>
        <s v="B.14"/>
        <s v="B.16"/>
        <s v="B1.1"/>
        <s v="B1.2"/>
        <s v="B1.3"/>
        <s v="B1.4"/>
        <s v="B1.5"/>
        <s v="C2 - C6"/>
        <s v="C2.09"/>
        <s v="C3.01"/>
        <s v="C3.02"/>
        <s v="C3.03"/>
        <s v="C3.04"/>
        <s v="C3.05"/>
        <s v="C3.06"/>
        <s v="C3.07"/>
        <s v="C4.01"/>
        <s v="C4.02"/>
        <s v="C4.03"/>
        <s v="C4.04"/>
        <s v="C4.05"/>
        <s v="C4.07"/>
        <s v="C4.08"/>
        <s v="C5"/>
        <s v="D2.01- D2.02"/>
        <s v="D2.02"/>
        <s v="D2.03 - D2.04"/>
        <s v="D3.01"/>
        <s v="D3.01.06/07"/>
        <s v="D3.02"/>
        <s v="D3.03"/>
        <s v="D3.04"/>
        <s v="D3.05"/>
        <s v="E1.01"/>
        <s v="E1.02"/>
        <s v="E1.03 - E1.06 - E3.04"/>
        <s v="E1.04 - E1.05 - E2.02"/>
        <s v="E1.07"/>
        <s v="E2.01 - E2.04 - E2.05"/>
        <s v="E2.03"/>
        <s v="E3-03"/>
        <s v="E3.01 - E3.08"/>
        <s v="E3.02 - E3.08"/>
        <s v="E3.05 - E3.08"/>
        <s v="E3.06"/>
        <s v="E3.07"/>
        <s v="F1.01"/>
        <s v="F1.02"/>
        <s v="F1.03"/>
        <s v="F1.04"/>
        <s v="G1"/>
        <s v="G1.01 - G1.02 - G1.03 - G1.04 - G1.05 - G1.09 - G1.10 - G1.11"/>
        <s v="G1.06.02 - G2.06 - G2.07"/>
        <s v="G1.07 - G1.08 – G3.02 - G1.06"/>
        <s v="G2.01.01"/>
        <s v="G2.01.02"/>
        <s v="G2.01.03"/>
        <s v="G2.02"/>
        <s v="G2.03"/>
        <s v="G2.04"/>
        <s v="G2.05"/>
        <s v="G2.08"/>
        <s v="G2.09"/>
        <s v="G2.12"/>
        <s v="G3"/>
        <s v="G3.05"/>
        <s v="G3.06"/>
        <s v="H"/>
        <s v="N.A."/>
      </sharedItems>
    </cacheField>
    <cacheField name="Tipologia Servizio" numFmtId="0">
      <sharedItems count="9">
        <s v="Canone per la gestione (A)"/>
        <s v="Manutenzione edile (G)"/>
        <s v="Manutenzione impianti e apparecchiature antincendio (E)"/>
        <s v="Manutenzione Impianti elettrici (C)"/>
        <s v="Manutenzione impianti elevatori (F)"/>
        <s v="Manutenzione impianti idrici (D)"/>
        <s v="Servizio energia  - fornitura del combustibile o energia primaria (B1)"/>
        <s v="Servizio energia - Manutenzione impianti di climatizzazione (B2)"/>
        <s v="Servizio neve (H)"/>
      </sharedItems>
    </cacheField>
    <cacheField name="Servizio" numFmtId="0">
      <sharedItems count="129">
        <s v="Aerotermi - lame d'aria"/>
        <s v="Apparecchiature controllo legionellosi"/>
        <s v="Armadi refrigerati"/>
        <s v="BTZ"/>
        <s v="Cabina smistamento media tensione"/>
        <s v="Caldaie da 350 kW a 1000kW"/>
        <s v="Caldaie da 36kW a 350 kW"/>
        <s v="Caldaie fino a 35kW"/>
        <s v="Caldaie superiore a 1000 kW"/>
        <s v="Canali di distribuzione, ripresa, serrande e bocchette e relativi locali tecnici"/>
        <s v="Cancelli e sbarre motorizzati"/>
        <s v="Centrale di pressurizzazione"/>
        <s v="Centrali idriche"/>
        <s v="compartimentazioni, serrande tagliafuoco"/>
        <s v="Condizionatori tipo split/VRV /carrellabili"/>
        <s v="Conduzione cogeneratore"/>
        <s v="Controllo Accessi"/>
        <s v="Corpi illuminanti esterni"/>
        <s v="Costituzione anagrafica tecnica"/>
        <s v="Determinazione della carica microbiologica ambientale &quot;at rest&quot; e &quot;in operational&quot;  (nota: n.6 analisi semestrali per locale)"/>
        <s v="Distribuzione elettrica, quadri, ecc."/>
        <s v="Distribuzione idrico sanitaria"/>
        <s v="Distribuzione impianti idronici e sottocentrali"/>
        <s v="Elevatori 1-5 piani (fino a 6 fermate)"/>
        <s v="Elevatori 6-10 piani (fino a 11 fermate)"/>
        <s v="Elevatori oltre i 10 piani (oltre 11 fermate)"/>
        <s v="Erogatori di acqua potabile microfiltrata"/>
        <s v="Estintori"/>
        <s v="Estrattori d'aria ai fini antincendio"/>
        <s v="Evacuatori di fumo e calore e infissi motorizzati ai fini antincendio"/>
        <s v="Filtrazione assoluta ai terminali"/>
        <s v="Filtri a carbone"/>
        <s v="Fosse biologiche &gt; 5 mc/vasche di prima pioggia/disoleatori"/>
        <s v="gas metano"/>
        <s v="gasolio"/>
        <s v="Generatori aria Calda a Gas/GPL (Tipo Monoblocco)"/>
        <s v="Generatori di vapore elettrici e accessori"/>
        <s v="Generatori indiretti di vapore e accessori"/>
        <s v="Governo della commessa (call center, reperibilità, supporto gestionale)"/>
        <s v="Gruppi di continuità rotanti da 1000 a 2000 kVA"/>
        <s v="Gruppi frigoriferi a vite/centrifughi da 101 kW a 350 kW"/>
        <s v="Gruppi frigoriferi a vite/centrifughi da 351 kW a 1000 kW"/>
        <s v="Gruppi frigoriferi a vite/centrifughi fino a 100 kW"/>
        <s v="Gruppi frigoriferi a vite/centrifughi oltre 1000 kW"/>
        <s v="Gruppo elettrogeno da 501 kVA a 800 kVA"/>
        <s v="Gruppo elettrogeno fino a 500 kVA"/>
        <s v="Gruppo elettrogeno fino da 801 kVA a 1000 kVA"/>
        <s v="Gruppo elettrogeno oltre 1000 kVA"/>
        <s v="Gruppo statico di continuità / soccorritore  da 101 kVA a 160 kVA"/>
        <s v="Gruppo statico di continuità / soccorritore  fino a 10 kVA"/>
        <s v="Gruppo statico di continuità / soccorritore da 11 kVA a 60 kVA"/>
        <s v="Gruppo statico di continuità / soccorritore da 61 kVA a 100 kVA"/>
        <s v="Gruppo statico di continuità / soccorritore oltre 160 kVA"/>
        <s v="illuminazione di emergenza, segnaletica antincendio e vie di esodo"/>
        <s v="Impianti addolcimento"/>
        <s v="Impianti allarmi tecnologici - gas – allagamento"/>
        <s v="Impianti antintrusione"/>
        <s v="Impianti comunicazione paziente personale"/>
        <s v="Impianti di irrigazione"/>
        <s v="Impianti di osmosi inversa"/>
        <s v="Impianti di smaltimento liquidi radioattivi"/>
        <s v="Impianti di spegnimento a sprinkler"/>
        <s v="Impianti fotovoltaici"/>
        <s v="Impianti interfonici"/>
        <s v="impianti rivelazione e segnalazione incendi"/>
        <s v="Impianti SOV"/>
        <s v="Impianti spegnimento automatico a gas inerte"/>
        <s v="Impianto declorazione (piazzola rifiuti)"/>
        <s v="Impianto di abbattimento tensioattivi per reflui"/>
        <s v="Impianto di refrigerazione cella frigo (deposito farmaci)"/>
        <s v="Impianto elettrico e illuminazione elisuperficie"/>
        <s v="Impianto smaltimento liquidi autoptici"/>
        <s v="Impianto smaltimento reflui infetti laboratorio"/>
        <s v="Impianto spegnimento a schiuma elisuperficie"/>
        <s v="Implementazione sistema informativo"/>
        <s v="Linee vita e sistemi di ancoraggio"/>
        <s v="Manutenzione cogeneratore di potenza compresa fra 100 e 350 kW termici"/>
        <s v="Manutenzione cogeneratore di potenza inferiore a 100 kW termici"/>
        <s v="Manutenzione cogeneratore di potenza superiore 350 kW termici"/>
        <s v="Manutenzione del verde"/>
        <s v="Manutenzione edile aree esterne"/>
        <s v="Manutenzione edile aree interne"/>
        <s v="n. unità  per servizio telecontrollo e gestione emergenza (h24/365)"/>
        <s v="Numero analisi aria per rilevazione amianto (con metodica SEM)"/>
        <s v="Numero prelievi aria per rilevazione amianto"/>
        <s v="Olio Vegetale"/>
        <s v="Piattaforma elevatrice"/>
        <s v="Piscina ad uso riabilitativo"/>
        <s v="Pompe di sollevamento acque nere e chiare"/>
        <s v="Porte automatiche e portoni sezionali"/>
        <s v="Porte automatiche per bunker radioprotetto"/>
        <s v="Porte tagliafuoco"/>
        <s v="Presidio emergenze"/>
        <s v="Presidio fisso per conduzione centrali termiche con produzione di vapore (1 persona h24/365)"/>
        <s v="Produttore di vapore ad olio diatermico con evaporatore"/>
        <s v="Prove della legionella della rete idrico-sanitaria"/>
        <s v="Rete idrica e terminali"/>
        <s v="Rifasatori"/>
        <s v="Rilievi architettonici"/>
        <s v="Rilievi impiantistici"/>
        <s v="Scale mobili"/>
        <s v="Scambiatori di calore (piastre e fascio tubiero) da 201kW a 1000 kW"/>
        <s v="Scambiatori di calore (piastre e fascio tubiero) fino a 200 kW"/>
        <s v="Scambiatori di calore (piastre e fascio tubiero) superiore a 1000kW"/>
        <s v="Serbatoi di combustibile liquido"/>
        <s v="Servizio di pronta disponibilità mezzi"/>
        <s v="Servoscala"/>
        <s v="Sistema anticaduta perimetrale elisuperficie in quota"/>
        <s v="Sistema di controllo ambientale al servizio delle SO (tipo ETRA)"/>
        <s v="Sistema di controllo e supervisione impianti elettrici e speciali"/>
        <s v="Sistema di supervisione dell'impianto antincendio"/>
        <s v="Sistema di supervisione e software"/>
        <s v="Sistema di supervisione e software, punti di supervisione (sono inclusi punti di supervisione anche di altri impianti che afferiscono al medesimo sistema)"/>
        <s v="Solare termico"/>
        <s v="Stato vegetativo patrimonio arboreo"/>
        <s v="Teleriscaldamento"/>
        <s v="Tinteggiature a smalto per interni e attività propedeutiche e accessorie alla stessa "/>
        <s v="Tinteggiature con idropittura per interni e attività propedeutiche e accessorie alla stessa "/>
        <s v="Torri evaporative"/>
        <s v="Trasformatori"/>
        <s v="Trattamento acqua dialisi – anche MD"/>
        <s v="Ultrafiltri in linea"/>
        <s v="Unità di Trattamento Aria con filtro assoluto"/>
        <s v="Unità di Trattamento Aria senza filtro assoluto"/>
        <s v="Ventilconvettori"/>
        <s v="Verifiche impianti di terra e protezione scariche atmosferiche"/>
        <s v="Verifiche locali uso medico"/>
        <s v="Verifiche per attestazione classe di contaminazione particellare - ISO 5 (nota: analisi semestrali per locale - n. analisi per locale=radice quadrata della superficie del locale)"/>
        <s v="Verifiche per attestazione classe di contaminazione particellare - ISO 7/ ISO 8 (nota: analisi annuale per locale - n. analisi per locale=radice quadrata della superficie del locale)"/>
      </sharedItems>
    </cacheField>
    <cacheField name="Unità di misura" numFmtId="0">
      <sharedItems count="85">
        <s v="% del valore totale servizi manutentivi attivati  (B-C-D-E-F-G-H)"/>
        <s v="euro/annui"/>
        <s v="Feriali 17.00-8.00, sabato domenica e festivi"/>
        <s v="kW"/>
        <s v="Kwh"/>
        <s v="kWp"/>
        <s v="m2 area verde"/>
        <s v="m2 di superficie lorda area grigia"/>
        <s v="m2 di superficie lorda fabbricati"/>
        <s v="m2 di superficie netta dei locali serviti da impianti sprinkler"/>
        <s v="m2 lordi superficie servita"/>
        <s v="m2 superficie lorda"/>
        <s v="m2 superficie lorda climatizzata (presenti ricambi d'aria)"/>
        <s v="m2 superficie lorda servita"/>
        <s v="mc"/>
        <s v="mq"/>
        <s v="mq a consumo"/>
        <s v="n. analisi"/>
        <s v="n. celle frigo"/>
        <s v="n. elisuperficie"/>
        <s v="n. estrattori"/>
        <s v="n. impianto"/>
        <s v="n. piscina"/>
        <s v="n. presidi (h24/365)"/>
        <s v="n. punti supervisionati"/>
        <s v="n. unità (h24/365)"/>
        <s v="n. varchi"/>
        <s v="n.ro"/>
        <s v="n.ro addolcitori"/>
        <s v="n.ro aerotermi - lame d'aria"/>
        <s v="n.ro alberi"/>
        <s v="n.ro analisi annue"/>
        <s v="n.ro analisi effettuate annue"/>
        <s v="n.ro apparecchiature di osmosi"/>
        <s v="n.ro armadi"/>
        <s v="n.ro cabine"/>
        <s v="n.ro caldaie"/>
        <s v="n.ro cancelli e sbarre motorizzate"/>
        <s v="n.ro cartucce"/>
        <s v="n.ro centrali"/>
        <s v="n.ro corpi illuminanti esterni"/>
        <s v="n.ro elevatori"/>
        <s v="n.ro erogatori"/>
        <s v="n.ro estintori"/>
        <s v="n.ro evacuatori di fumo e calore"/>
        <s v="n.ro generatori"/>
        <s v="n.ro generatori di vapore elettrici"/>
        <s v="n.ro generatori indiretti di vapore"/>
        <s v="n.ro gruppi di continuità rot"/>
        <s v="n.ro gruppi elettrogeni"/>
        <s v="n.ro gruppi statici di continuità"/>
        <s v="n.ro gruppo frigorifero"/>
        <s v="n.ro idranti o naspi"/>
        <s v="n.ro impianti"/>
        <s v="n.ro impianti a spegnimento automatico a gas"/>
        <s v="n.ro impianti irrigazione"/>
        <s v="n.ro impianti produttori biossido di cloro"/>
        <s v="n.ro impianti sollevamento acque chiare e nere"/>
        <s v="n.ro impianti trattamento acqua dialisi"/>
        <s v="n.ro impianto"/>
        <s v="n.ro locali gruppo 1 e 2"/>
        <s v="n.ro piattaforme elevatrici"/>
        <s v="n.ro porte automatiche"/>
        <s v="n.ro porte automatiche per bunker radioprotetto"/>
        <s v="n.ro porte tagliafuoco"/>
        <s v="n.ro posti letto"/>
        <s v="n.ro prelievi annui"/>
        <s v="n.ro punti di supervisione"/>
        <s v="n.ro rampe motorizzate+D2"/>
        <s v="n.ro rifasatori"/>
        <s v="n.ro scambiatori"/>
        <s v="n.ro serbatoi"/>
        <s v="n.ro servoscala"/>
        <s v="n.ro sistemi di ancoraggio (linee vita)"/>
        <s v="n.ro terminali con filtro"/>
        <s v="n.ro torri evaporative"/>
        <s v="n.ro trasformatori"/>
        <s v="n.ro U.T.A."/>
        <s v="n.ro ultrafiltri in linea"/>
        <s v="n.ro unità interna"/>
        <s v="n.ro vasche"/>
        <s v="n.ro ventilconvettori"/>
        <s v="Numero di punti di supervisione"/>
        <s v="numero sistemi"/>
        <s v="ore"/>
      </sharedItems>
    </cacheField>
    <cacheField name="ID presidio 1" numFmtId="0">
      <sharedItems containsString="0" containsBlank="1" containsNumber="1" minValue="0" maxValue="7280" count="27">
        <n v="0"/>
        <n v="1"/>
        <n v="2"/>
        <n v="3"/>
        <n v="4"/>
        <n v="5"/>
        <n v="9"/>
        <n v="10"/>
        <n v="13"/>
        <n v="31"/>
        <n v="33"/>
        <n v="42"/>
        <n v="70"/>
        <n v="87"/>
        <n v="138"/>
        <n v="174"/>
        <n v="751"/>
        <n v="1180"/>
        <n v="1275"/>
        <n v="2000"/>
        <n v="2543"/>
        <n v="3500"/>
        <n v="4000"/>
        <n v="6274"/>
        <n v="6274.37"/>
        <n v="7280"/>
        <m/>
      </sharedItems>
    </cacheField>
    <cacheField name="ID presidio 2" numFmtId="0">
      <sharedItems containsString="0" containsBlank="1" containsNumber="1" minValue="0" maxValue="15734" count="27">
        <n v="0"/>
        <n v="1"/>
        <n v="2"/>
        <n v="3"/>
        <n v="4"/>
        <n v="5"/>
        <n v="6"/>
        <n v="10"/>
        <n v="15"/>
        <n v="17"/>
        <n v="25"/>
        <n v="26"/>
        <n v="34"/>
        <n v="37"/>
        <n v="120"/>
        <n v="136"/>
        <n v="277.10000000000002"/>
        <n v="360"/>
        <n v="1050"/>
        <n v="1500"/>
        <n v="2841"/>
        <n v="2915"/>
        <n v="3000"/>
        <n v="3800"/>
        <n v="5948"/>
        <n v="15734"/>
        <m/>
      </sharedItems>
    </cacheField>
    <cacheField name="ID presidio 3" numFmtId="0">
      <sharedItems containsString="0" containsBlank="1" containsNumber="1" minValue="0" maxValue="2149" count="19">
        <n v="0"/>
        <n v="1"/>
        <n v="2"/>
        <n v="3"/>
        <n v="4"/>
        <n v="5"/>
        <n v="6"/>
        <n v="7"/>
        <n v="15"/>
        <n v="22"/>
        <n v="34"/>
        <n v="35"/>
        <n v="200"/>
        <n v="370.68"/>
        <n v="371"/>
        <n v="800"/>
        <n v="1478"/>
        <n v="2149"/>
        <m/>
      </sharedItems>
    </cacheField>
    <cacheField name="ID presidio 4" numFmtId="0">
      <sharedItems containsString="0" containsBlank="1" containsNumber="1" minValue="0" maxValue="3580" count="24">
        <n v="0"/>
        <n v="1"/>
        <n v="2"/>
        <n v="3"/>
        <n v="4"/>
        <n v="7"/>
        <n v="8"/>
        <n v="9"/>
        <n v="10"/>
        <n v="16"/>
        <n v="24"/>
        <n v="25"/>
        <n v="500"/>
        <n v="1510"/>
        <n v="1535"/>
        <n v="1765"/>
        <n v="1765.4"/>
        <n v="1910"/>
        <n v="2000"/>
        <n v="2510"/>
        <n v="3000"/>
        <n v="3123.35"/>
        <n v="3580"/>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53">
  <r>
    <x v="1"/>
    <x v="0"/>
    <x v="30"/>
    <x v="24"/>
    <x v="6"/>
    <x v="33"/>
    <x v="14"/>
    <x v="0"/>
    <x v="25"/>
    <x v="0"/>
    <x v="0"/>
  </r>
  <r>
    <x v="1"/>
    <x v="0"/>
    <x v="31"/>
    <x v="25"/>
    <x v="6"/>
    <x v="34"/>
    <x v="4"/>
    <x v="0"/>
    <x v="0"/>
    <x v="0"/>
    <x v="0"/>
  </r>
  <r>
    <x v="1"/>
    <x v="0"/>
    <x v="32"/>
    <x v="26"/>
    <x v="6"/>
    <x v="3"/>
    <x v="4"/>
    <x v="0"/>
    <x v="0"/>
    <x v="0"/>
    <x v="0"/>
  </r>
  <r>
    <x v="1"/>
    <x v="0"/>
    <x v="33"/>
    <x v="27"/>
    <x v="6"/>
    <x v="115"/>
    <x v="4"/>
    <x v="0"/>
    <x v="0"/>
    <x v="0"/>
    <x v="0"/>
  </r>
  <r>
    <x v="1"/>
    <x v="0"/>
    <x v="127"/>
    <x v="28"/>
    <x v="6"/>
    <x v="85"/>
    <x v="4"/>
    <x v="0"/>
    <x v="0"/>
    <x v="0"/>
    <x v="0"/>
  </r>
  <r>
    <x v="1"/>
    <x v="0"/>
    <x v="2"/>
    <x v="0"/>
    <x v="7"/>
    <x v="7"/>
    <x v="36"/>
    <x v="0"/>
    <x v="0"/>
    <x v="0"/>
    <x v="0"/>
  </r>
  <r>
    <x v="1"/>
    <x v="0"/>
    <x v="1"/>
    <x v="0"/>
    <x v="7"/>
    <x v="6"/>
    <x v="36"/>
    <x v="0"/>
    <x v="2"/>
    <x v="0"/>
    <x v="0"/>
  </r>
  <r>
    <x v="1"/>
    <x v="0"/>
    <x v="0"/>
    <x v="0"/>
    <x v="7"/>
    <x v="5"/>
    <x v="36"/>
    <x v="0"/>
    <x v="0"/>
    <x v="0"/>
    <x v="0"/>
  </r>
  <r>
    <x v="1"/>
    <x v="0"/>
    <x v="3"/>
    <x v="0"/>
    <x v="7"/>
    <x v="8"/>
    <x v="36"/>
    <x v="0"/>
    <x v="0"/>
    <x v="0"/>
    <x v="0"/>
  </r>
  <r>
    <x v="1"/>
    <x v="0"/>
    <x v="64"/>
    <x v="4"/>
    <x v="7"/>
    <x v="94"/>
    <x v="36"/>
    <x v="0"/>
    <x v="0"/>
    <x v="0"/>
    <x v="0"/>
  </r>
  <r>
    <x v="1"/>
    <x v="0"/>
    <x v="76"/>
    <x v="5"/>
    <x v="7"/>
    <x v="113"/>
    <x v="3"/>
    <x v="0"/>
    <x v="0"/>
    <x v="0"/>
    <x v="0"/>
  </r>
  <r>
    <x v="1"/>
    <x v="0"/>
    <x v="45"/>
    <x v="3"/>
    <x v="7"/>
    <x v="104"/>
    <x v="71"/>
    <x v="0"/>
    <x v="0"/>
    <x v="0"/>
    <x v="0"/>
  </r>
  <r>
    <x v="1"/>
    <x v="0"/>
    <x v="88"/>
    <x v="6"/>
    <x v="7"/>
    <x v="102"/>
    <x v="70"/>
    <x v="0"/>
    <x v="0"/>
    <x v="0"/>
    <x v="0"/>
  </r>
  <r>
    <x v="1"/>
    <x v="0"/>
    <x v="87"/>
    <x v="6"/>
    <x v="7"/>
    <x v="101"/>
    <x v="70"/>
    <x v="0"/>
    <x v="2"/>
    <x v="0"/>
    <x v="0"/>
  </r>
  <r>
    <x v="1"/>
    <x v="0"/>
    <x v="89"/>
    <x v="6"/>
    <x v="7"/>
    <x v="103"/>
    <x v="70"/>
    <x v="0"/>
    <x v="0"/>
    <x v="0"/>
    <x v="0"/>
  </r>
  <r>
    <x v="1"/>
    <x v="0"/>
    <x v="102"/>
    <x v="7"/>
    <x v="7"/>
    <x v="37"/>
    <x v="47"/>
    <x v="0"/>
    <x v="0"/>
    <x v="0"/>
    <x v="0"/>
  </r>
  <r>
    <x v="1"/>
    <x v="0"/>
    <x v="113"/>
    <x v="8"/>
    <x v="7"/>
    <x v="36"/>
    <x v="46"/>
    <x v="0"/>
    <x v="0"/>
    <x v="0"/>
    <x v="0"/>
  </r>
  <r>
    <x v="1"/>
    <x v="0"/>
    <x v="4"/>
    <x v="9"/>
    <x v="7"/>
    <x v="35"/>
    <x v="45"/>
    <x v="0"/>
    <x v="0"/>
    <x v="0"/>
    <x v="0"/>
  </r>
  <r>
    <x v="1"/>
    <x v="0"/>
    <x v="5"/>
    <x v="10"/>
    <x v="7"/>
    <x v="15"/>
    <x v="84"/>
    <x v="0"/>
    <x v="0"/>
    <x v="0"/>
    <x v="0"/>
  </r>
  <r>
    <x v="1"/>
    <x v="0"/>
    <x v="7"/>
    <x v="11"/>
    <x v="7"/>
    <x v="77"/>
    <x v="84"/>
    <x v="0"/>
    <x v="0"/>
    <x v="0"/>
    <x v="0"/>
  </r>
  <r>
    <x v="1"/>
    <x v="0"/>
    <x v="6"/>
    <x v="11"/>
    <x v="7"/>
    <x v="76"/>
    <x v="84"/>
    <x v="0"/>
    <x v="0"/>
    <x v="0"/>
    <x v="0"/>
  </r>
  <r>
    <x v="1"/>
    <x v="0"/>
    <x v="8"/>
    <x v="11"/>
    <x v="7"/>
    <x v="78"/>
    <x v="84"/>
    <x v="0"/>
    <x v="0"/>
    <x v="0"/>
    <x v="0"/>
  </r>
  <r>
    <x v="1"/>
    <x v="0"/>
    <x v="11"/>
    <x v="12"/>
    <x v="7"/>
    <x v="42"/>
    <x v="51"/>
    <x v="0"/>
    <x v="0"/>
    <x v="0"/>
    <x v="0"/>
  </r>
  <r>
    <x v="1"/>
    <x v="0"/>
    <x v="9"/>
    <x v="12"/>
    <x v="7"/>
    <x v="40"/>
    <x v="51"/>
    <x v="0"/>
    <x v="1"/>
    <x v="0"/>
    <x v="0"/>
  </r>
  <r>
    <x v="1"/>
    <x v="0"/>
    <x v="10"/>
    <x v="12"/>
    <x v="7"/>
    <x v="41"/>
    <x v="51"/>
    <x v="0"/>
    <x v="0"/>
    <x v="0"/>
    <x v="0"/>
  </r>
  <r>
    <x v="1"/>
    <x v="0"/>
    <x v="12"/>
    <x v="12"/>
    <x v="7"/>
    <x v="43"/>
    <x v="51"/>
    <x v="0"/>
    <x v="0"/>
    <x v="0"/>
    <x v="0"/>
  </r>
  <r>
    <x v="1"/>
    <x v="0"/>
    <x v="13"/>
    <x v="13"/>
    <x v="7"/>
    <x v="118"/>
    <x v="75"/>
    <x v="0"/>
    <x v="0"/>
    <x v="0"/>
    <x v="0"/>
  </r>
  <r>
    <x v="1"/>
    <x v="0"/>
    <x v="34"/>
    <x v="2"/>
    <x v="7"/>
    <x v="22"/>
    <x v="11"/>
    <x v="0"/>
    <x v="0"/>
    <x v="0"/>
    <x v="0"/>
  </r>
  <r>
    <x v="1"/>
    <x v="0"/>
    <x v="14"/>
    <x v="14"/>
    <x v="7"/>
    <x v="124"/>
    <x v="81"/>
    <x v="15"/>
    <x v="14"/>
    <x v="0"/>
    <x v="0"/>
  </r>
  <r>
    <x v="1"/>
    <x v="0"/>
    <x v="15"/>
    <x v="15"/>
    <x v="7"/>
    <x v="0"/>
    <x v="29"/>
    <x v="0"/>
    <x v="0"/>
    <x v="0"/>
    <x v="0"/>
  </r>
  <r>
    <x v="1"/>
    <x v="0"/>
    <x v="16"/>
    <x v="16"/>
    <x v="7"/>
    <x v="14"/>
    <x v="79"/>
    <x v="6"/>
    <x v="1"/>
    <x v="4"/>
    <x v="10"/>
  </r>
  <r>
    <x v="1"/>
    <x v="0"/>
    <x v="17"/>
    <x v="17"/>
    <x v="7"/>
    <x v="2"/>
    <x v="34"/>
    <x v="2"/>
    <x v="0"/>
    <x v="0"/>
    <x v="0"/>
  </r>
  <r>
    <x v="1"/>
    <x v="0"/>
    <x v="21"/>
    <x v="19"/>
    <x v="7"/>
    <x v="123"/>
    <x v="77"/>
    <x v="0"/>
    <x v="1"/>
    <x v="0"/>
    <x v="0"/>
  </r>
  <r>
    <x v="1"/>
    <x v="0"/>
    <x v="20"/>
    <x v="19"/>
    <x v="7"/>
    <x v="122"/>
    <x v="77"/>
    <x v="2"/>
    <x v="0"/>
    <x v="0"/>
    <x v="0"/>
  </r>
  <r>
    <x v="1"/>
    <x v="0"/>
    <x v="18"/>
    <x v="18"/>
    <x v="7"/>
    <x v="31"/>
    <x v="38"/>
    <x v="0"/>
    <x v="2"/>
    <x v="0"/>
    <x v="0"/>
  </r>
  <r>
    <x v="1"/>
    <x v="0"/>
    <x v="19"/>
    <x v="1"/>
    <x v="7"/>
    <x v="9"/>
    <x v="12"/>
    <x v="18"/>
    <x v="23"/>
    <x v="0"/>
    <x v="0"/>
  </r>
  <r>
    <x v="1"/>
    <x v="0"/>
    <x v="22"/>
    <x v="20"/>
    <x v="7"/>
    <x v="111"/>
    <x v="83"/>
    <x v="0"/>
    <x v="1"/>
    <x v="0"/>
    <x v="0"/>
  </r>
  <r>
    <x v="1"/>
    <x v="0"/>
    <x v="23"/>
    <x v="20"/>
    <x v="7"/>
    <x v="112"/>
    <x v="24"/>
    <x v="0"/>
    <x v="14"/>
    <x v="0"/>
    <x v="0"/>
  </r>
  <r>
    <x v="1"/>
    <x v="0"/>
    <x v="25"/>
    <x v="22"/>
    <x v="7"/>
    <x v="19"/>
    <x v="17"/>
    <x v="0"/>
    <x v="0"/>
    <x v="0"/>
    <x v="0"/>
  </r>
  <r>
    <x v="1"/>
    <x v="0"/>
    <x v="26"/>
    <x v="22"/>
    <x v="7"/>
    <x v="127"/>
    <x v="17"/>
    <x v="0"/>
    <x v="0"/>
    <x v="0"/>
    <x v="0"/>
  </r>
  <r>
    <x v="1"/>
    <x v="0"/>
    <x v="27"/>
    <x v="22"/>
    <x v="7"/>
    <x v="128"/>
    <x v="17"/>
    <x v="0"/>
    <x v="0"/>
    <x v="0"/>
    <x v="0"/>
  </r>
  <r>
    <x v="1"/>
    <x v="0"/>
    <x v="29"/>
    <x v="90"/>
    <x v="7"/>
    <x v="93"/>
    <x v="23"/>
    <x v="0"/>
    <x v="0"/>
    <x v="0"/>
    <x v="0"/>
  </r>
  <r>
    <x v="1"/>
    <x v="0"/>
    <x v="24"/>
    <x v="21"/>
    <x v="7"/>
    <x v="108"/>
    <x v="21"/>
    <x v="0"/>
    <x v="0"/>
    <x v="0"/>
    <x v="0"/>
  </r>
  <r>
    <x v="1"/>
    <x v="0"/>
    <x v="28"/>
    <x v="23"/>
    <x v="7"/>
    <x v="69"/>
    <x v="18"/>
    <x v="0"/>
    <x v="0"/>
    <x v="0"/>
    <x v="0"/>
  </r>
  <r>
    <x v="1"/>
    <x v="0"/>
    <x v="35"/>
    <x v="29"/>
    <x v="3"/>
    <x v="20"/>
    <x v="11"/>
    <x v="24"/>
    <x v="23"/>
    <x v="13"/>
    <x v="16"/>
  </r>
  <r>
    <x v="1"/>
    <x v="0"/>
    <x v="36"/>
    <x v="30"/>
    <x v="3"/>
    <x v="17"/>
    <x v="40"/>
    <x v="5"/>
    <x v="8"/>
    <x v="0"/>
    <x v="3"/>
  </r>
  <r>
    <x v="1"/>
    <x v="0"/>
    <x v="37"/>
    <x v="31"/>
    <x v="3"/>
    <x v="109"/>
    <x v="67"/>
    <x v="0"/>
    <x v="0"/>
    <x v="0"/>
    <x v="0"/>
  </r>
  <r>
    <x v="1"/>
    <x v="0"/>
    <x v="38"/>
    <x v="32"/>
    <x v="3"/>
    <x v="57"/>
    <x v="65"/>
    <x v="0"/>
    <x v="0"/>
    <x v="0"/>
    <x v="0"/>
  </r>
  <r>
    <x v="1"/>
    <x v="0"/>
    <x v="39"/>
    <x v="33"/>
    <x v="3"/>
    <x v="63"/>
    <x v="39"/>
    <x v="1"/>
    <x v="1"/>
    <x v="1"/>
    <x v="0"/>
  </r>
  <r>
    <x v="1"/>
    <x v="0"/>
    <x v="40"/>
    <x v="34"/>
    <x v="3"/>
    <x v="56"/>
    <x v="10"/>
    <x v="23"/>
    <x v="23"/>
    <x v="14"/>
    <x v="16"/>
  </r>
  <r>
    <x v="1"/>
    <x v="0"/>
    <x v="41"/>
    <x v="35"/>
    <x v="3"/>
    <x v="55"/>
    <x v="53"/>
    <x v="0"/>
    <x v="1"/>
    <x v="0"/>
    <x v="0"/>
  </r>
  <r>
    <x v="1"/>
    <x v="0"/>
    <x v="42"/>
    <x v="36"/>
    <x v="3"/>
    <x v="65"/>
    <x v="40"/>
    <x v="0"/>
    <x v="0"/>
    <x v="0"/>
    <x v="0"/>
  </r>
  <r>
    <x v="1"/>
    <x v="0"/>
    <x v="44"/>
    <x v="38"/>
    <x v="3"/>
    <x v="119"/>
    <x v="76"/>
    <x v="0"/>
    <x v="1"/>
    <x v="0"/>
    <x v="0"/>
  </r>
  <r>
    <x v="1"/>
    <x v="0"/>
    <x v="46"/>
    <x v="39"/>
    <x v="3"/>
    <x v="97"/>
    <x v="69"/>
    <x v="1"/>
    <x v="1"/>
    <x v="0"/>
    <x v="1"/>
  </r>
  <r>
    <x v="1"/>
    <x v="0"/>
    <x v="48"/>
    <x v="40"/>
    <x v="3"/>
    <x v="45"/>
    <x v="49"/>
    <x v="0"/>
    <x v="0"/>
    <x v="0"/>
    <x v="0"/>
  </r>
  <r>
    <x v="1"/>
    <x v="0"/>
    <x v="47"/>
    <x v="40"/>
    <x v="3"/>
    <x v="44"/>
    <x v="49"/>
    <x v="0"/>
    <x v="0"/>
    <x v="0"/>
    <x v="0"/>
  </r>
  <r>
    <x v="1"/>
    <x v="0"/>
    <x v="49"/>
    <x v="40"/>
    <x v="3"/>
    <x v="46"/>
    <x v="49"/>
    <x v="0"/>
    <x v="0"/>
    <x v="0"/>
    <x v="0"/>
  </r>
  <r>
    <x v="1"/>
    <x v="0"/>
    <x v="50"/>
    <x v="40"/>
    <x v="3"/>
    <x v="47"/>
    <x v="49"/>
    <x v="0"/>
    <x v="0"/>
    <x v="0"/>
    <x v="0"/>
  </r>
  <r>
    <x v="1"/>
    <x v="0"/>
    <x v="127"/>
    <x v="41"/>
    <x v="3"/>
    <x v="39"/>
    <x v="48"/>
    <x v="0"/>
    <x v="0"/>
    <x v="0"/>
    <x v="0"/>
  </r>
  <r>
    <x v="1"/>
    <x v="0"/>
    <x v="54"/>
    <x v="42"/>
    <x v="3"/>
    <x v="49"/>
    <x v="50"/>
    <x v="0"/>
    <x v="3"/>
    <x v="0"/>
    <x v="0"/>
  </r>
  <r>
    <x v="1"/>
    <x v="0"/>
    <x v="52"/>
    <x v="42"/>
    <x v="3"/>
    <x v="50"/>
    <x v="50"/>
    <x v="0"/>
    <x v="0"/>
    <x v="0"/>
    <x v="0"/>
  </r>
  <r>
    <x v="1"/>
    <x v="0"/>
    <x v="53"/>
    <x v="42"/>
    <x v="3"/>
    <x v="51"/>
    <x v="50"/>
    <x v="0"/>
    <x v="0"/>
    <x v="0"/>
    <x v="0"/>
  </r>
  <r>
    <x v="1"/>
    <x v="0"/>
    <x v="51"/>
    <x v="42"/>
    <x v="3"/>
    <x v="48"/>
    <x v="50"/>
    <x v="0"/>
    <x v="0"/>
    <x v="0"/>
    <x v="0"/>
  </r>
  <r>
    <x v="1"/>
    <x v="0"/>
    <x v="55"/>
    <x v="42"/>
    <x v="3"/>
    <x v="52"/>
    <x v="50"/>
    <x v="0"/>
    <x v="0"/>
    <x v="0"/>
    <x v="0"/>
  </r>
  <r>
    <x v="1"/>
    <x v="0"/>
    <x v="56"/>
    <x v="43"/>
    <x v="3"/>
    <x v="62"/>
    <x v="5"/>
    <x v="0"/>
    <x v="0"/>
    <x v="0"/>
    <x v="0"/>
  </r>
  <r>
    <x v="1"/>
    <x v="0"/>
    <x v="59"/>
    <x v="45"/>
    <x v="3"/>
    <x v="126"/>
    <x v="60"/>
    <x v="0"/>
    <x v="0"/>
    <x v="1"/>
    <x v="0"/>
  </r>
  <r>
    <x v="1"/>
    <x v="0"/>
    <x v="58"/>
    <x v="45"/>
    <x v="3"/>
    <x v="125"/>
    <x v="11"/>
    <x v="23"/>
    <x v="23"/>
    <x v="13"/>
    <x v="16"/>
  </r>
  <r>
    <x v="1"/>
    <x v="0"/>
    <x v="57"/>
    <x v="44"/>
    <x v="3"/>
    <x v="4"/>
    <x v="35"/>
    <x v="0"/>
    <x v="1"/>
    <x v="0"/>
    <x v="0"/>
  </r>
  <r>
    <x v="1"/>
    <x v="0"/>
    <x v="43"/>
    <x v="37"/>
    <x v="3"/>
    <x v="16"/>
    <x v="26"/>
    <x v="2"/>
    <x v="2"/>
    <x v="0"/>
    <x v="0"/>
  </r>
  <r>
    <x v="1"/>
    <x v="0"/>
    <x v="60"/>
    <x v="90"/>
    <x v="3"/>
    <x v="70"/>
    <x v="19"/>
    <x v="0"/>
    <x v="0"/>
    <x v="0"/>
    <x v="0"/>
  </r>
  <r>
    <x v="1"/>
    <x v="0"/>
    <x v="61"/>
    <x v="90"/>
    <x v="3"/>
    <x v="82"/>
    <x v="25"/>
    <x v="0"/>
    <x v="0"/>
    <x v="0"/>
    <x v="0"/>
  </r>
  <r>
    <x v="1"/>
    <x v="0"/>
    <x v="62"/>
    <x v="90"/>
    <x v="3"/>
    <x v="92"/>
    <x v="2"/>
    <x v="0"/>
    <x v="0"/>
    <x v="0"/>
    <x v="0"/>
  </r>
  <r>
    <x v="1"/>
    <x v="0"/>
    <x v="63"/>
    <x v="46"/>
    <x v="5"/>
    <x v="12"/>
    <x v="80"/>
    <x v="0"/>
    <x v="0"/>
    <x v="0"/>
    <x v="0"/>
  </r>
  <r>
    <x v="1"/>
    <x v="0"/>
    <x v="65"/>
    <x v="47"/>
    <x v="5"/>
    <x v="54"/>
    <x v="28"/>
    <x v="0"/>
    <x v="0"/>
    <x v="0"/>
    <x v="0"/>
  </r>
  <r>
    <x v="1"/>
    <x v="0"/>
    <x v="66"/>
    <x v="47"/>
    <x v="5"/>
    <x v="59"/>
    <x v="33"/>
    <x v="0"/>
    <x v="0"/>
    <x v="0"/>
    <x v="0"/>
  </r>
  <r>
    <x v="1"/>
    <x v="0"/>
    <x v="67"/>
    <x v="48"/>
    <x v="5"/>
    <x v="21"/>
    <x v="11"/>
    <x v="23"/>
    <x v="23"/>
    <x v="13"/>
    <x v="16"/>
  </r>
  <r>
    <x v="1"/>
    <x v="0"/>
    <x v="68"/>
    <x v="49"/>
    <x v="5"/>
    <x v="1"/>
    <x v="56"/>
    <x v="0"/>
    <x v="0"/>
    <x v="0"/>
    <x v="0"/>
  </r>
  <r>
    <x v="1"/>
    <x v="0"/>
    <x v="69"/>
    <x v="50"/>
    <x v="5"/>
    <x v="95"/>
    <x v="32"/>
    <x v="0"/>
    <x v="0"/>
    <x v="0"/>
    <x v="0"/>
  </r>
  <r>
    <x v="1"/>
    <x v="0"/>
    <x v="70"/>
    <x v="51"/>
    <x v="5"/>
    <x v="120"/>
    <x v="58"/>
    <x v="0"/>
    <x v="0"/>
    <x v="0"/>
    <x v="0"/>
  </r>
  <r>
    <x v="1"/>
    <x v="0"/>
    <x v="73"/>
    <x v="53"/>
    <x v="5"/>
    <x v="30"/>
    <x v="74"/>
    <x v="0"/>
    <x v="0"/>
    <x v="0"/>
    <x v="0"/>
  </r>
  <r>
    <x v="1"/>
    <x v="0"/>
    <x v="72"/>
    <x v="52"/>
    <x v="5"/>
    <x v="121"/>
    <x v="78"/>
    <x v="0"/>
    <x v="0"/>
    <x v="0"/>
    <x v="0"/>
  </r>
  <r>
    <x v="1"/>
    <x v="0"/>
    <x v="71"/>
    <x v="52"/>
    <x v="5"/>
    <x v="26"/>
    <x v="42"/>
    <x v="0"/>
    <x v="0"/>
    <x v="0"/>
    <x v="0"/>
  </r>
  <r>
    <x v="1"/>
    <x v="0"/>
    <x v="74"/>
    <x v="54"/>
    <x v="5"/>
    <x v="87"/>
    <x v="22"/>
    <x v="0"/>
    <x v="0"/>
    <x v="0"/>
    <x v="0"/>
  </r>
  <r>
    <x v="1"/>
    <x v="0"/>
    <x v="78"/>
    <x v="57"/>
    <x v="2"/>
    <x v="13"/>
    <x v="13"/>
    <x v="18"/>
    <x v="26"/>
    <x v="0"/>
    <x v="15"/>
  </r>
  <r>
    <x v="1"/>
    <x v="0"/>
    <x v="81"/>
    <x v="60"/>
    <x v="2"/>
    <x v="64"/>
    <x v="13"/>
    <x v="23"/>
    <x v="23"/>
    <x v="14"/>
    <x v="16"/>
  </r>
  <r>
    <x v="1"/>
    <x v="0"/>
    <x v="79"/>
    <x v="58"/>
    <x v="2"/>
    <x v="53"/>
    <x v="11"/>
    <x v="23"/>
    <x v="23"/>
    <x v="13"/>
    <x v="16"/>
  </r>
  <r>
    <x v="1"/>
    <x v="0"/>
    <x v="75"/>
    <x v="55"/>
    <x v="2"/>
    <x v="91"/>
    <x v="64"/>
    <x v="5"/>
    <x v="13"/>
    <x v="0"/>
    <x v="4"/>
  </r>
  <r>
    <x v="1"/>
    <x v="0"/>
    <x v="77"/>
    <x v="56"/>
    <x v="2"/>
    <x v="27"/>
    <x v="43"/>
    <x v="11"/>
    <x v="12"/>
    <x v="4"/>
    <x v="9"/>
  </r>
  <r>
    <x v="1"/>
    <x v="0"/>
    <x v="80"/>
    <x v="59"/>
    <x v="2"/>
    <x v="29"/>
    <x v="44"/>
    <x v="0"/>
    <x v="5"/>
    <x v="0"/>
    <x v="0"/>
  </r>
  <r>
    <x v="1"/>
    <x v="0"/>
    <x v="82"/>
    <x v="61"/>
    <x v="2"/>
    <x v="110"/>
    <x v="82"/>
    <x v="0"/>
    <x v="0"/>
    <x v="0"/>
    <x v="0"/>
  </r>
  <r>
    <x v="1"/>
    <x v="0"/>
    <x v="83"/>
    <x v="63"/>
    <x v="2"/>
    <x v="11"/>
    <x v="39"/>
    <x v="0"/>
    <x v="0"/>
    <x v="0"/>
    <x v="0"/>
  </r>
  <r>
    <x v="1"/>
    <x v="0"/>
    <x v="84"/>
    <x v="64"/>
    <x v="2"/>
    <x v="96"/>
    <x v="52"/>
    <x v="8"/>
    <x v="0"/>
    <x v="0"/>
    <x v="6"/>
  </r>
  <r>
    <x v="1"/>
    <x v="0"/>
    <x v="85"/>
    <x v="65"/>
    <x v="2"/>
    <x v="66"/>
    <x v="54"/>
    <x v="0"/>
    <x v="0"/>
    <x v="0"/>
    <x v="0"/>
  </r>
  <r>
    <x v="1"/>
    <x v="0"/>
    <x v="91"/>
    <x v="62"/>
    <x v="2"/>
    <x v="61"/>
    <x v="9"/>
    <x v="0"/>
    <x v="0"/>
    <x v="0"/>
    <x v="0"/>
  </r>
  <r>
    <x v="1"/>
    <x v="0"/>
    <x v="86"/>
    <x v="66"/>
    <x v="2"/>
    <x v="73"/>
    <x v="21"/>
    <x v="0"/>
    <x v="0"/>
    <x v="0"/>
    <x v="0"/>
  </r>
  <r>
    <x v="1"/>
    <x v="0"/>
    <x v="90"/>
    <x v="67"/>
    <x v="2"/>
    <x v="28"/>
    <x v="20"/>
    <x v="0"/>
    <x v="1"/>
    <x v="0"/>
    <x v="0"/>
  </r>
  <r>
    <x v="1"/>
    <x v="0"/>
    <x v="92"/>
    <x v="68"/>
    <x v="4"/>
    <x v="23"/>
    <x v="41"/>
    <x v="2"/>
    <x v="0"/>
    <x v="0"/>
    <x v="0"/>
  </r>
  <r>
    <x v="1"/>
    <x v="0"/>
    <x v="93"/>
    <x v="68"/>
    <x v="4"/>
    <x v="24"/>
    <x v="41"/>
    <x v="0"/>
    <x v="0"/>
    <x v="0"/>
    <x v="0"/>
  </r>
  <r>
    <x v="1"/>
    <x v="0"/>
    <x v="94"/>
    <x v="68"/>
    <x v="4"/>
    <x v="25"/>
    <x v="41"/>
    <x v="0"/>
    <x v="0"/>
    <x v="0"/>
    <x v="0"/>
  </r>
  <r>
    <x v="1"/>
    <x v="0"/>
    <x v="95"/>
    <x v="69"/>
    <x v="4"/>
    <x v="106"/>
    <x v="72"/>
    <x v="0"/>
    <x v="0"/>
    <x v="0"/>
    <x v="0"/>
  </r>
  <r>
    <x v="1"/>
    <x v="0"/>
    <x v="96"/>
    <x v="70"/>
    <x v="4"/>
    <x v="100"/>
    <x v="68"/>
    <x v="0"/>
    <x v="0"/>
    <x v="0"/>
    <x v="0"/>
  </r>
  <r>
    <x v="1"/>
    <x v="0"/>
    <x v="97"/>
    <x v="71"/>
    <x v="4"/>
    <x v="86"/>
    <x v="61"/>
    <x v="0"/>
    <x v="0"/>
    <x v="0"/>
    <x v="0"/>
  </r>
  <r>
    <x v="1"/>
    <x v="0"/>
    <x v="99"/>
    <x v="73"/>
    <x v="1"/>
    <x v="81"/>
    <x v="8"/>
    <x v="23"/>
    <x v="23"/>
    <x v="13"/>
    <x v="16"/>
  </r>
  <r>
    <x v="1"/>
    <x v="0"/>
    <x v="101"/>
    <x v="75"/>
    <x v="1"/>
    <x v="80"/>
    <x v="7"/>
    <x v="21"/>
    <x v="0"/>
    <x v="0"/>
    <x v="0"/>
  </r>
  <r>
    <x v="1"/>
    <x v="0"/>
    <x v="100"/>
    <x v="74"/>
    <x v="1"/>
    <x v="32"/>
    <x v="27"/>
    <x v="0"/>
    <x v="0"/>
    <x v="0"/>
    <x v="0"/>
  </r>
  <r>
    <x v="1"/>
    <x v="0"/>
    <x v="109"/>
    <x v="82"/>
    <x v="1"/>
    <x v="60"/>
    <x v="59"/>
    <x v="0"/>
    <x v="0"/>
    <x v="0"/>
    <x v="0"/>
  </r>
  <r>
    <x v="1"/>
    <x v="0"/>
    <x v="110"/>
    <x v="83"/>
    <x v="1"/>
    <x v="71"/>
    <x v="59"/>
    <x v="0"/>
    <x v="0"/>
    <x v="0"/>
    <x v="0"/>
  </r>
  <r>
    <x v="1"/>
    <x v="0"/>
    <x v="98"/>
    <x v="72"/>
    <x v="1"/>
    <x v="88"/>
    <x v="57"/>
    <x v="0"/>
    <x v="0"/>
    <x v="0"/>
    <x v="0"/>
  </r>
  <r>
    <x v="1"/>
    <x v="0"/>
    <x v="103"/>
    <x v="76"/>
    <x v="1"/>
    <x v="10"/>
    <x v="37"/>
    <x v="3"/>
    <x v="0"/>
    <x v="0"/>
    <x v="0"/>
  </r>
  <r>
    <x v="1"/>
    <x v="0"/>
    <x v="104"/>
    <x v="77"/>
    <x v="1"/>
    <x v="89"/>
    <x v="62"/>
    <x v="2"/>
    <x v="2"/>
    <x v="0"/>
    <x v="0"/>
  </r>
  <r>
    <x v="1"/>
    <x v="0"/>
    <x v="105"/>
    <x v="78"/>
    <x v="1"/>
    <x v="90"/>
    <x v="63"/>
    <x v="0"/>
    <x v="0"/>
    <x v="0"/>
    <x v="0"/>
  </r>
  <r>
    <x v="1"/>
    <x v="0"/>
    <x v="106"/>
    <x v="79"/>
    <x v="1"/>
    <x v="75"/>
    <x v="73"/>
    <x v="0"/>
    <x v="0"/>
    <x v="0"/>
    <x v="0"/>
  </r>
  <r>
    <x v="1"/>
    <x v="0"/>
    <x v="114"/>
    <x v="86"/>
    <x v="1"/>
    <x v="79"/>
    <x v="6"/>
    <x v="0"/>
    <x v="0"/>
    <x v="0"/>
    <x v="21"/>
  </r>
  <r>
    <x v="1"/>
    <x v="0"/>
    <x v="115"/>
    <x v="87"/>
    <x v="1"/>
    <x v="58"/>
    <x v="55"/>
    <x v="0"/>
    <x v="0"/>
    <x v="0"/>
    <x v="0"/>
  </r>
  <r>
    <x v="1"/>
    <x v="0"/>
    <x v="116"/>
    <x v="88"/>
    <x v="1"/>
    <x v="114"/>
    <x v="30"/>
    <x v="0"/>
    <x v="0"/>
    <x v="0"/>
    <x v="0"/>
  </r>
  <r>
    <x v="1"/>
    <x v="0"/>
    <x v="118"/>
    <x v="90"/>
    <x v="1"/>
    <x v="84"/>
    <x v="66"/>
    <x v="0"/>
    <x v="0"/>
    <x v="0"/>
    <x v="0"/>
  </r>
  <r>
    <x v="1"/>
    <x v="0"/>
    <x v="117"/>
    <x v="90"/>
    <x v="1"/>
    <x v="83"/>
    <x v="31"/>
    <x v="0"/>
    <x v="0"/>
    <x v="0"/>
    <x v="0"/>
  </r>
  <r>
    <x v="1"/>
    <x v="0"/>
    <x v="111"/>
    <x v="84"/>
    <x v="1"/>
    <x v="67"/>
    <x v="59"/>
    <x v="0"/>
    <x v="0"/>
    <x v="0"/>
    <x v="0"/>
  </r>
  <r>
    <x v="1"/>
    <x v="0"/>
    <x v="108"/>
    <x v="81"/>
    <x v="1"/>
    <x v="72"/>
    <x v="59"/>
    <x v="0"/>
    <x v="0"/>
    <x v="0"/>
    <x v="0"/>
  </r>
  <r>
    <x v="1"/>
    <x v="0"/>
    <x v="112"/>
    <x v="85"/>
    <x v="1"/>
    <x v="68"/>
    <x v="27"/>
    <x v="0"/>
    <x v="0"/>
    <x v="0"/>
    <x v="0"/>
  </r>
  <r>
    <x v="1"/>
    <x v="0"/>
    <x v="107"/>
    <x v="80"/>
    <x v="1"/>
    <x v="107"/>
    <x v="19"/>
    <x v="0"/>
    <x v="0"/>
    <x v="0"/>
    <x v="0"/>
  </r>
  <r>
    <x v="1"/>
    <x v="0"/>
    <x v="119"/>
    <x v="90"/>
    <x v="1"/>
    <x v="116"/>
    <x v="16"/>
    <x v="19"/>
    <x v="19"/>
    <x v="12"/>
    <x v="12"/>
  </r>
  <r>
    <x v="1"/>
    <x v="0"/>
    <x v="120"/>
    <x v="90"/>
    <x v="1"/>
    <x v="117"/>
    <x v="16"/>
    <x v="22"/>
    <x v="22"/>
    <x v="15"/>
    <x v="18"/>
  </r>
  <r>
    <x v="1"/>
    <x v="0"/>
    <x v="121"/>
    <x v="89"/>
    <x v="8"/>
    <x v="105"/>
    <x v="1"/>
    <x v="26"/>
    <x v="26"/>
    <x v="18"/>
    <x v="23"/>
  </r>
  <r>
    <x v="1"/>
    <x v="0"/>
    <x v="123"/>
    <x v="90"/>
    <x v="0"/>
    <x v="38"/>
    <x v="0"/>
    <x v="26"/>
    <x v="26"/>
    <x v="18"/>
    <x v="23"/>
  </r>
  <r>
    <x v="1"/>
    <x v="0"/>
    <x v="125"/>
    <x v="90"/>
    <x v="0"/>
    <x v="98"/>
    <x v="15"/>
    <x v="26"/>
    <x v="26"/>
    <x v="18"/>
    <x v="23"/>
  </r>
  <r>
    <x v="1"/>
    <x v="0"/>
    <x v="126"/>
    <x v="90"/>
    <x v="0"/>
    <x v="99"/>
    <x v="15"/>
    <x v="26"/>
    <x v="26"/>
    <x v="18"/>
    <x v="23"/>
  </r>
  <r>
    <x v="1"/>
    <x v="0"/>
    <x v="122"/>
    <x v="90"/>
    <x v="0"/>
    <x v="18"/>
    <x v="15"/>
    <x v="26"/>
    <x v="26"/>
    <x v="18"/>
    <x v="23"/>
  </r>
  <r>
    <x v="1"/>
    <x v="0"/>
    <x v="124"/>
    <x v="90"/>
    <x v="0"/>
    <x v="74"/>
    <x v="15"/>
    <x v="26"/>
    <x v="26"/>
    <x v="18"/>
    <x v="23"/>
  </r>
  <r>
    <x v="2"/>
    <x v="2"/>
    <x v="30"/>
    <x v="24"/>
    <x v="6"/>
    <x v="33"/>
    <x v="14"/>
    <x v="26"/>
    <x v="26"/>
    <x v="18"/>
    <x v="23"/>
  </r>
  <r>
    <x v="2"/>
    <x v="2"/>
    <x v="31"/>
    <x v="25"/>
    <x v="6"/>
    <x v="34"/>
    <x v="4"/>
    <x v="26"/>
    <x v="26"/>
    <x v="18"/>
    <x v="23"/>
  </r>
  <r>
    <x v="2"/>
    <x v="2"/>
    <x v="32"/>
    <x v="26"/>
    <x v="6"/>
    <x v="3"/>
    <x v="4"/>
    <x v="26"/>
    <x v="26"/>
    <x v="18"/>
    <x v="23"/>
  </r>
  <r>
    <x v="2"/>
    <x v="2"/>
    <x v="33"/>
    <x v="27"/>
    <x v="6"/>
    <x v="115"/>
    <x v="4"/>
    <x v="26"/>
    <x v="26"/>
    <x v="18"/>
    <x v="23"/>
  </r>
  <r>
    <x v="2"/>
    <x v="2"/>
    <x v="127"/>
    <x v="28"/>
    <x v="6"/>
    <x v="85"/>
    <x v="4"/>
    <x v="26"/>
    <x v="26"/>
    <x v="18"/>
    <x v="23"/>
  </r>
  <r>
    <x v="2"/>
    <x v="2"/>
    <x v="2"/>
    <x v="0"/>
    <x v="7"/>
    <x v="7"/>
    <x v="36"/>
    <x v="26"/>
    <x v="26"/>
    <x v="1"/>
    <x v="1"/>
  </r>
  <r>
    <x v="2"/>
    <x v="2"/>
    <x v="1"/>
    <x v="0"/>
    <x v="7"/>
    <x v="6"/>
    <x v="36"/>
    <x v="26"/>
    <x v="26"/>
    <x v="1"/>
    <x v="1"/>
  </r>
  <r>
    <x v="2"/>
    <x v="2"/>
    <x v="0"/>
    <x v="0"/>
    <x v="7"/>
    <x v="5"/>
    <x v="36"/>
    <x v="26"/>
    <x v="26"/>
    <x v="18"/>
    <x v="2"/>
  </r>
  <r>
    <x v="2"/>
    <x v="2"/>
    <x v="3"/>
    <x v="0"/>
    <x v="7"/>
    <x v="8"/>
    <x v="36"/>
    <x v="26"/>
    <x v="26"/>
    <x v="18"/>
    <x v="23"/>
  </r>
  <r>
    <x v="2"/>
    <x v="2"/>
    <x v="64"/>
    <x v="4"/>
    <x v="7"/>
    <x v="94"/>
    <x v="36"/>
    <x v="26"/>
    <x v="26"/>
    <x v="18"/>
    <x v="23"/>
  </r>
  <r>
    <x v="2"/>
    <x v="2"/>
    <x v="76"/>
    <x v="5"/>
    <x v="7"/>
    <x v="113"/>
    <x v="3"/>
    <x v="26"/>
    <x v="26"/>
    <x v="18"/>
    <x v="23"/>
  </r>
  <r>
    <x v="2"/>
    <x v="2"/>
    <x v="45"/>
    <x v="3"/>
    <x v="7"/>
    <x v="104"/>
    <x v="71"/>
    <x v="26"/>
    <x v="26"/>
    <x v="18"/>
    <x v="23"/>
  </r>
  <r>
    <x v="2"/>
    <x v="2"/>
    <x v="88"/>
    <x v="6"/>
    <x v="7"/>
    <x v="102"/>
    <x v="70"/>
    <x v="26"/>
    <x v="26"/>
    <x v="18"/>
    <x v="1"/>
  </r>
  <r>
    <x v="2"/>
    <x v="2"/>
    <x v="87"/>
    <x v="6"/>
    <x v="7"/>
    <x v="101"/>
    <x v="70"/>
    <x v="26"/>
    <x v="26"/>
    <x v="18"/>
    <x v="23"/>
  </r>
  <r>
    <x v="2"/>
    <x v="2"/>
    <x v="89"/>
    <x v="6"/>
    <x v="7"/>
    <x v="103"/>
    <x v="70"/>
    <x v="26"/>
    <x v="26"/>
    <x v="18"/>
    <x v="23"/>
  </r>
  <r>
    <x v="2"/>
    <x v="2"/>
    <x v="102"/>
    <x v="7"/>
    <x v="7"/>
    <x v="37"/>
    <x v="47"/>
    <x v="26"/>
    <x v="26"/>
    <x v="18"/>
    <x v="23"/>
  </r>
  <r>
    <x v="2"/>
    <x v="2"/>
    <x v="113"/>
    <x v="8"/>
    <x v="7"/>
    <x v="36"/>
    <x v="46"/>
    <x v="26"/>
    <x v="26"/>
    <x v="18"/>
    <x v="23"/>
  </r>
  <r>
    <x v="2"/>
    <x v="2"/>
    <x v="4"/>
    <x v="9"/>
    <x v="7"/>
    <x v="35"/>
    <x v="45"/>
    <x v="26"/>
    <x v="26"/>
    <x v="18"/>
    <x v="23"/>
  </r>
  <r>
    <x v="2"/>
    <x v="2"/>
    <x v="5"/>
    <x v="10"/>
    <x v="7"/>
    <x v="15"/>
    <x v="84"/>
    <x v="26"/>
    <x v="26"/>
    <x v="18"/>
    <x v="23"/>
  </r>
  <r>
    <x v="2"/>
    <x v="2"/>
    <x v="7"/>
    <x v="11"/>
    <x v="7"/>
    <x v="77"/>
    <x v="84"/>
    <x v="26"/>
    <x v="26"/>
    <x v="18"/>
    <x v="23"/>
  </r>
  <r>
    <x v="2"/>
    <x v="2"/>
    <x v="6"/>
    <x v="11"/>
    <x v="7"/>
    <x v="76"/>
    <x v="84"/>
    <x v="26"/>
    <x v="26"/>
    <x v="18"/>
    <x v="23"/>
  </r>
  <r>
    <x v="2"/>
    <x v="2"/>
    <x v="8"/>
    <x v="11"/>
    <x v="7"/>
    <x v="78"/>
    <x v="84"/>
    <x v="26"/>
    <x v="26"/>
    <x v="18"/>
    <x v="23"/>
  </r>
  <r>
    <x v="2"/>
    <x v="2"/>
    <x v="11"/>
    <x v="12"/>
    <x v="7"/>
    <x v="42"/>
    <x v="51"/>
    <x v="4"/>
    <x v="3"/>
    <x v="1"/>
    <x v="23"/>
  </r>
  <r>
    <x v="2"/>
    <x v="2"/>
    <x v="9"/>
    <x v="12"/>
    <x v="7"/>
    <x v="40"/>
    <x v="51"/>
    <x v="26"/>
    <x v="1"/>
    <x v="18"/>
    <x v="23"/>
  </r>
  <r>
    <x v="2"/>
    <x v="2"/>
    <x v="10"/>
    <x v="12"/>
    <x v="7"/>
    <x v="41"/>
    <x v="51"/>
    <x v="26"/>
    <x v="26"/>
    <x v="18"/>
    <x v="23"/>
  </r>
  <r>
    <x v="2"/>
    <x v="2"/>
    <x v="12"/>
    <x v="12"/>
    <x v="7"/>
    <x v="43"/>
    <x v="51"/>
    <x v="26"/>
    <x v="26"/>
    <x v="18"/>
    <x v="23"/>
  </r>
  <r>
    <x v="2"/>
    <x v="2"/>
    <x v="13"/>
    <x v="13"/>
    <x v="7"/>
    <x v="118"/>
    <x v="75"/>
    <x v="26"/>
    <x v="26"/>
    <x v="18"/>
    <x v="23"/>
  </r>
  <r>
    <x v="2"/>
    <x v="2"/>
    <x v="34"/>
    <x v="2"/>
    <x v="7"/>
    <x v="22"/>
    <x v="11"/>
    <x v="25"/>
    <x v="24"/>
    <x v="17"/>
    <x v="17"/>
  </r>
  <r>
    <x v="2"/>
    <x v="2"/>
    <x v="14"/>
    <x v="14"/>
    <x v="7"/>
    <x v="124"/>
    <x v="81"/>
    <x v="13"/>
    <x v="15"/>
    <x v="10"/>
    <x v="23"/>
  </r>
  <r>
    <x v="2"/>
    <x v="2"/>
    <x v="15"/>
    <x v="15"/>
    <x v="7"/>
    <x v="0"/>
    <x v="29"/>
    <x v="26"/>
    <x v="26"/>
    <x v="18"/>
    <x v="23"/>
  </r>
  <r>
    <x v="2"/>
    <x v="2"/>
    <x v="16"/>
    <x v="16"/>
    <x v="7"/>
    <x v="14"/>
    <x v="79"/>
    <x v="12"/>
    <x v="7"/>
    <x v="18"/>
    <x v="7"/>
  </r>
  <r>
    <x v="2"/>
    <x v="2"/>
    <x v="17"/>
    <x v="17"/>
    <x v="7"/>
    <x v="2"/>
    <x v="34"/>
    <x v="26"/>
    <x v="26"/>
    <x v="18"/>
    <x v="23"/>
  </r>
  <r>
    <x v="2"/>
    <x v="2"/>
    <x v="21"/>
    <x v="19"/>
    <x v="7"/>
    <x v="123"/>
    <x v="77"/>
    <x v="26"/>
    <x v="3"/>
    <x v="18"/>
    <x v="23"/>
  </r>
  <r>
    <x v="2"/>
    <x v="2"/>
    <x v="20"/>
    <x v="19"/>
    <x v="7"/>
    <x v="122"/>
    <x v="77"/>
    <x v="26"/>
    <x v="26"/>
    <x v="18"/>
    <x v="23"/>
  </r>
  <r>
    <x v="2"/>
    <x v="2"/>
    <x v="18"/>
    <x v="18"/>
    <x v="7"/>
    <x v="31"/>
    <x v="38"/>
    <x v="26"/>
    <x v="26"/>
    <x v="18"/>
    <x v="23"/>
  </r>
  <r>
    <x v="2"/>
    <x v="2"/>
    <x v="19"/>
    <x v="1"/>
    <x v="7"/>
    <x v="9"/>
    <x v="12"/>
    <x v="26"/>
    <x v="17"/>
    <x v="18"/>
    <x v="23"/>
  </r>
  <r>
    <x v="2"/>
    <x v="2"/>
    <x v="22"/>
    <x v="20"/>
    <x v="7"/>
    <x v="111"/>
    <x v="83"/>
    <x v="26"/>
    <x v="26"/>
    <x v="18"/>
    <x v="23"/>
  </r>
  <r>
    <x v="2"/>
    <x v="2"/>
    <x v="23"/>
    <x v="20"/>
    <x v="7"/>
    <x v="112"/>
    <x v="24"/>
    <x v="26"/>
    <x v="26"/>
    <x v="18"/>
    <x v="23"/>
  </r>
  <r>
    <x v="2"/>
    <x v="2"/>
    <x v="25"/>
    <x v="22"/>
    <x v="7"/>
    <x v="19"/>
    <x v="17"/>
    <x v="26"/>
    <x v="26"/>
    <x v="18"/>
    <x v="23"/>
  </r>
  <r>
    <x v="2"/>
    <x v="2"/>
    <x v="26"/>
    <x v="22"/>
    <x v="7"/>
    <x v="127"/>
    <x v="17"/>
    <x v="26"/>
    <x v="26"/>
    <x v="18"/>
    <x v="23"/>
  </r>
  <r>
    <x v="2"/>
    <x v="2"/>
    <x v="27"/>
    <x v="22"/>
    <x v="7"/>
    <x v="128"/>
    <x v="17"/>
    <x v="26"/>
    <x v="26"/>
    <x v="18"/>
    <x v="23"/>
  </r>
  <r>
    <x v="2"/>
    <x v="2"/>
    <x v="29"/>
    <x v="90"/>
    <x v="7"/>
    <x v="93"/>
    <x v="23"/>
    <x v="26"/>
    <x v="26"/>
    <x v="18"/>
    <x v="23"/>
  </r>
  <r>
    <x v="2"/>
    <x v="2"/>
    <x v="24"/>
    <x v="21"/>
    <x v="7"/>
    <x v="108"/>
    <x v="21"/>
    <x v="26"/>
    <x v="26"/>
    <x v="18"/>
    <x v="23"/>
  </r>
  <r>
    <x v="2"/>
    <x v="2"/>
    <x v="28"/>
    <x v="23"/>
    <x v="7"/>
    <x v="69"/>
    <x v="18"/>
    <x v="26"/>
    <x v="26"/>
    <x v="18"/>
    <x v="23"/>
  </r>
  <r>
    <x v="2"/>
    <x v="2"/>
    <x v="35"/>
    <x v="29"/>
    <x v="3"/>
    <x v="20"/>
    <x v="11"/>
    <x v="25"/>
    <x v="24"/>
    <x v="17"/>
    <x v="17"/>
  </r>
  <r>
    <x v="2"/>
    <x v="2"/>
    <x v="36"/>
    <x v="30"/>
    <x v="3"/>
    <x v="17"/>
    <x v="40"/>
    <x v="7"/>
    <x v="10"/>
    <x v="5"/>
    <x v="11"/>
  </r>
  <r>
    <x v="2"/>
    <x v="2"/>
    <x v="37"/>
    <x v="31"/>
    <x v="3"/>
    <x v="109"/>
    <x v="67"/>
    <x v="26"/>
    <x v="26"/>
    <x v="18"/>
    <x v="23"/>
  </r>
  <r>
    <x v="2"/>
    <x v="2"/>
    <x v="38"/>
    <x v="32"/>
    <x v="3"/>
    <x v="57"/>
    <x v="65"/>
    <x v="26"/>
    <x v="26"/>
    <x v="18"/>
    <x v="23"/>
  </r>
  <r>
    <x v="2"/>
    <x v="2"/>
    <x v="39"/>
    <x v="33"/>
    <x v="3"/>
    <x v="63"/>
    <x v="39"/>
    <x v="26"/>
    <x v="26"/>
    <x v="18"/>
    <x v="23"/>
  </r>
  <r>
    <x v="2"/>
    <x v="2"/>
    <x v="40"/>
    <x v="34"/>
    <x v="3"/>
    <x v="56"/>
    <x v="10"/>
    <x v="20"/>
    <x v="20"/>
    <x v="18"/>
    <x v="14"/>
  </r>
  <r>
    <x v="2"/>
    <x v="2"/>
    <x v="41"/>
    <x v="35"/>
    <x v="3"/>
    <x v="55"/>
    <x v="53"/>
    <x v="26"/>
    <x v="26"/>
    <x v="18"/>
    <x v="23"/>
  </r>
  <r>
    <x v="2"/>
    <x v="2"/>
    <x v="42"/>
    <x v="36"/>
    <x v="3"/>
    <x v="65"/>
    <x v="40"/>
    <x v="26"/>
    <x v="26"/>
    <x v="18"/>
    <x v="23"/>
  </r>
  <r>
    <x v="2"/>
    <x v="2"/>
    <x v="44"/>
    <x v="38"/>
    <x v="3"/>
    <x v="119"/>
    <x v="76"/>
    <x v="26"/>
    <x v="26"/>
    <x v="18"/>
    <x v="23"/>
  </r>
  <r>
    <x v="2"/>
    <x v="2"/>
    <x v="46"/>
    <x v="39"/>
    <x v="3"/>
    <x v="97"/>
    <x v="69"/>
    <x v="1"/>
    <x v="2"/>
    <x v="18"/>
    <x v="1"/>
  </r>
  <r>
    <x v="2"/>
    <x v="2"/>
    <x v="48"/>
    <x v="40"/>
    <x v="3"/>
    <x v="45"/>
    <x v="49"/>
    <x v="1"/>
    <x v="26"/>
    <x v="18"/>
    <x v="23"/>
  </r>
  <r>
    <x v="2"/>
    <x v="2"/>
    <x v="47"/>
    <x v="40"/>
    <x v="3"/>
    <x v="44"/>
    <x v="49"/>
    <x v="26"/>
    <x v="26"/>
    <x v="18"/>
    <x v="23"/>
  </r>
  <r>
    <x v="2"/>
    <x v="2"/>
    <x v="49"/>
    <x v="40"/>
    <x v="3"/>
    <x v="46"/>
    <x v="49"/>
    <x v="26"/>
    <x v="26"/>
    <x v="18"/>
    <x v="23"/>
  </r>
  <r>
    <x v="2"/>
    <x v="2"/>
    <x v="50"/>
    <x v="40"/>
    <x v="3"/>
    <x v="47"/>
    <x v="49"/>
    <x v="26"/>
    <x v="26"/>
    <x v="18"/>
    <x v="23"/>
  </r>
  <r>
    <x v="2"/>
    <x v="2"/>
    <x v="127"/>
    <x v="41"/>
    <x v="3"/>
    <x v="39"/>
    <x v="48"/>
    <x v="26"/>
    <x v="26"/>
    <x v="18"/>
    <x v="23"/>
  </r>
  <r>
    <x v="2"/>
    <x v="2"/>
    <x v="54"/>
    <x v="42"/>
    <x v="3"/>
    <x v="49"/>
    <x v="50"/>
    <x v="26"/>
    <x v="2"/>
    <x v="18"/>
    <x v="23"/>
  </r>
  <r>
    <x v="2"/>
    <x v="2"/>
    <x v="52"/>
    <x v="42"/>
    <x v="3"/>
    <x v="50"/>
    <x v="50"/>
    <x v="1"/>
    <x v="1"/>
    <x v="18"/>
    <x v="23"/>
  </r>
  <r>
    <x v="2"/>
    <x v="2"/>
    <x v="53"/>
    <x v="42"/>
    <x v="3"/>
    <x v="51"/>
    <x v="50"/>
    <x v="26"/>
    <x v="26"/>
    <x v="18"/>
    <x v="23"/>
  </r>
  <r>
    <x v="2"/>
    <x v="2"/>
    <x v="51"/>
    <x v="42"/>
    <x v="3"/>
    <x v="48"/>
    <x v="50"/>
    <x v="26"/>
    <x v="26"/>
    <x v="18"/>
    <x v="23"/>
  </r>
  <r>
    <x v="2"/>
    <x v="2"/>
    <x v="55"/>
    <x v="42"/>
    <x v="3"/>
    <x v="52"/>
    <x v="50"/>
    <x v="26"/>
    <x v="26"/>
    <x v="18"/>
    <x v="23"/>
  </r>
  <r>
    <x v="2"/>
    <x v="2"/>
    <x v="56"/>
    <x v="43"/>
    <x v="3"/>
    <x v="62"/>
    <x v="5"/>
    <x v="26"/>
    <x v="26"/>
    <x v="18"/>
    <x v="23"/>
  </r>
  <r>
    <x v="2"/>
    <x v="2"/>
    <x v="59"/>
    <x v="45"/>
    <x v="3"/>
    <x v="126"/>
    <x v="60"/>
    <x v="26"/>
    <x v="26"/>
    <x v="18"/>
    <x v="23"/>
  </r>
  <r>
    <x v="2"/>
    <x v="2"/>
    <x v="58"/>
    <x v="45"/>
    <x v="3"/>
    <x v="125"/>
    <x v="11"/>
    <x v="26"/>
    <x v="26"/>
    <x v="18"/>
    <x v="23"/>
  </r>
  <r>
    <x v="2"/>
    <x v="2"/>
    <x v="57"/>
    <x v="44"/>
    <x v="3"/>
    <x v="4"/>
    <x v="35"/>
    <x v="26"/>
    <x v="26"/>
    <x v="18"/>
    <x v="23"/>
  </r>
  <r>
    <x v="2"/>
    <x v="2"/>
    <x v="43"/>
    <x v="37"/>
    <x v="3"/>
    <x v="16"/>
    <x v="26"/>
    <x v="26"/>
    <x v="26"/>
    <x v="18"/>
    <x v="23"/>
  </r>
  <r>
    <x v="2"/>
    <x v="2"/>
    <x v="60"/>
    <x v="90"/>
    <x v="3"/>
    <x v="70"/>
    <x v="19"/>
    <x v="26"/>
    <x v="26"/>
    <x v="18"/>
    <x v="23"/>
  </r>
  <r>
    <x v="2"/>
    <x v="2"/>
    <x v="61"/>
    <x v="90"/>
    <x v="3"/>
    <x v="82"/>
    <x v="25"/>
    <x v="26"/>
    <x v="26"/>
    <x v="18"/>
    <x v="23"/>
  </r>
  <r>
    <x v="2"/>
    <x v="2"/>
    <x v="62"/>
    <x v="90"/>
    <x v="3"/>
    <x v="92"/>
    <x v="2"/>
    <x v="26"/>
    <x v="26"/>
    <x v="18"/>
    <x v="23"/>
  </r>
  <r>
    <x v="2"/>
    <x v="2"/>
    <x v="63"/>
    <x v="46"/>
    <x v="5"/>
    <x v="12"/>
    <x v="80"/>
    <x v="26"/>
    <x v="26"/>
    <x v="18"/>
    <x v="23"/>
  </r>
  <r>
    <x v="2"/>
    <x v="2"/>
    <x v="65"/>
    <x v="47"/>
    <x v="5"/>
    <x v="54"/>
    <x v="28"/>
    <x v="26"/>
    <x v="26"/>
    <x v="18"/>
    <x v="23"/>
  </r>
  <r>
    <x v="2"/>
    <x v="2"/>
    <x v="66"/>
    <x v="47"/>
    <x v="5"/>
    <x v="59"/>
    <x v="33"/>
    <x v="26"/>
    <x v="26"/>
    <x v="18"/>
    <x v="23"/>
  </r>
  <r>
    <x v="2"/>
    <x v="2"/>
    <x v="67"/>
    <x v="48"/>
    <x v="5"/>
    <x v="21"/>
    <x v="11"/>
    <x v="25"/>
    <x v="24"/>
    <x v="17"/>
    <x v="13"/>
  </r>
  <r>
    <x v="2"/>
    <x v="2"/>
    <x v="68"/>
    <x v="49"/>
    <x v="5"/>
    <x v="1"/>
    <x v="56"/>
    <x v="26"/>
    <x v="26"/>
    <x v="18"/>
    <x v="23"/>
  </r>
  <r>
    <x v="2"/>
    <x v="2"/>
    <x v="69"/>
    <x v="50"/>
    <x v="5"/>
    <x v="95"/>
    <x v="32"/>
    <x v="26"/>
    <x v="26"/>
    <x v="18"/>
    <x v="23"/>
  </r>
  <r>
    <x v="2"/>
    <x v="2"/>
    <x v="70"/>
    <x v="51"/>
    <x v="5"/>
    <x v="120"/>
    <x v="58"/>
    <x v="26"/>
    <x v="26"/>
    <x v="18"/>
    <x v="23"/>
  </r>
  <r>
    <x v="2"/>
    <x v="2"/>
    <x v="73"/>
    <x v="53"/>
    <x v="5"/>
    <x v="30"/>
    <x v="74"/>
    <x v="26"/>
    <x v="26"/>
    <x v="18"/>
    <x v="23"/>
  </r>
  <r>
    <x v="2"/>
    <x v="2"/>
    <x v="72"/>
    <x v="52"/>
    <x v="5"/>
    <x v="121"/>
    <x v="78"/>
    <x v="26"/>
    <x v="26"/>
    <x v="18"/>
    <x v="23"/>
  </r>
  <r>
    <x v="2"/>
    <x v="2"/>
    <x v="71"/>
    <x v="52"/>
    <x v="5"/>
    <x v="26"/>
    <x v="42"/>
    <x v="26"/>
    <x v="26"/>
    <x v="18"/>
    <x v="23"/>
  </r>
  <r>
    <x v="2"/>
    <x v="2"/>
    <x v="74"/>
    <x v="54"/>
    <x v="5"/>
    <x v="87"/>
    <x v="22"/>
    <x v="26"/>
    <x v="26"/>
    <x v="18"/>
    <x v="23"/>
  </r>
  <r>
    <x v="2"/>
    <x v="2"/>
    <x v="78"/>
    <x v="57"/>
    <x v="2"/>
    <x v="13"/>
    <x v="13"/>
    <x v="26"/>
    <x v="26"/>
    <x v="18"/>
    <x v="23"/>
  </r>
  <r>
    <x v="2"/>
    <x v="2"/>
    <x v="81"/>
    <x v="60"/>
    <x v="2"/>
    <x v="64"/>
    <x v="13"/>
    <x v="25"/>
    <x v="21"/>
    <x v="17"/>
    <x v="22"/>
  </r>
  <r>
    <x v="2"/>
    <x v="2"/>
    <x v="79"/>
    <x v="58"/>
    <x v="2"/>
    <x v="53"/>
    <x v="11"/>
    <x v="25"/>
    <x v="24"/>
    <x v="17"/>
    <x v="17"/>
  </r>
  <r>
    <x v="2"/>
    <x v="2"/>
    <x v="75"/>
    <x v="55"/>
    <x v="2"/>
    <x v="91"/>
    <x v="64"/>
    <x v="12"/>
    <x v="8"/>
    <x v="1"/>
    <x v="3"/>
  </r>
  <r>
    <x v="2"/>
    <x v="2"/>
    <x v="77"/>
    <x v="56"/>
    <x v="2"/>
    <x v="27"/>
    <x v="43"/>
    <x v="10"/>
    <x v="11"/>
    <x v="9"/>
    <x v="9"/>
  </r>
  <r>
    <x v="2"/>
    <x v="2"/>
    <x v="80"/>
    <x v="59"/>
    <x v="2"/>
    <x v="29"/>
    <x v="44"/>
    <x v="26"/>
    <x v="26"/>
    <x v="18"/>
    <x v="23"/>
  </r>
  <r>
    <x v="2"/>
    <x v="2"/>
    <x v="82"/>
    <x v="61"/>
    <x v="2"/>
    <x v="110"/>
    <x v="82"/>
    <x v="14"/>
    <x v="26"/>
    <x v="18"/>
    <x v="23"/>
  </r>
  <r>
    <x v="2"/>
    <x v="2"/>
    <x v="83"/>
    <x v="63"/>
    <x v="2"/>
    <x v="11"/>
    <x v="39"/>
    <x v="26"/>
    <x v="26"/>
    <x v="18"/>
    <x v="23"/>
  </r>
  <r>
    <x v="2"/>
    <x v="2"/>
    <x v="84"/>
    <x v="64"/>
    <x v="2"/>
    <x v="96"/>
    <x v="52"/>
    <x v="9"/>
    <x v="9"/>
    <x v="7"/>
    <x v="8"/>
  </r>
  <r>
    <x v="2"/>
    <x v="2"/>
    <x v="85"/>
    <x v="65"/>
    <x v="2"/>
    <x v="66"/>
    <x v="54"/>
    <x v="1"/>
    <x v="26"/>
    <x v="18"/>
    <x v="23"/>
  </r>
  <r>
    <x v="2"/>
    <x v="2"/>
    <x v="91"/>
    <x v="62"/>
    <x v="2"/>
    <x v="61"/>
    <x v="9"/>
    <x v="26"/>
    <x v="26"/>
    <x v="18"/>
    <x v="23"/>
  </r>
  <r>
    <x v="2"/>
    <x v="2"/>
    <x v="86"/>
    <x v="66"/>
    <x v="2"/>
    <x v="73"/>
    <x v="21"/>
    <x v="26"/>
    <x v="26"/>
    <x v="18"/>
    <x v="23"/>
  </r>
  <r>
    <x v="2"/>
    <x v="2"/>
    <x v="90"/>
    <x v="67"/>
    <x v="2"/>
    <x v="28"/>
    <x v="20"/>
    <x v="26"/>
    <x v="26"/>
    <x v="18"/>
    <x v="23"/>
  </r>
  <r>
    <x v="2"/>
    <x v="2"/>
    <x v="92"/>
    <x v="68"/>
    <x v="4"/>
    <x v="23"/>
    <x v="41"/>
    <x v="1"/>
    <x v="6"/>
    <x v="1"/>
    <x v="1"/>
  </r>
  <r>
    <x v="2"/>
    <x v="2"/>
    <x v="93"/>
    <x v="68"/>
    <x v="4"/>
    <x v="24"/>
    <x v="41"/>
    <x v="2"/>
    <x v="26"/>
    <x v="18"/>
    <x v="23"/>
  </r>
  <r>
    <x v="2"/>
    <x v="2"/>
    <x v="94"/>
    <x v="68"/>
    <x v="4"/>
    <x v="25"/>
    <x v="41"/>
    <x v="26"/>
    <x v="26"/>
    <x v="18"/>
    <x v="23"/>
  </r>
  <r>
    <x v="2"/>
    <x v="2"/>
    <x v="95"/>
    <x v="69"/>
    <x v="4"/>
    <x v="106"/>
    <x v="72"/>
    <x v="26"/>
    <x v="26"/>
    <x v="18"/>
    <x v="23"/>
  </r>
  <r>
    <x v="2"/>
    <x v="2"/>
    <x v="96"/>
    <x v="70"/>
    <x v="4"/>
    <x v="100"/>
    <x v="68"/>
    <x v="26"/>
    <x v="26"/>
    <x v="18"/>
    <x v="23"/>
  </r>
  <r>
    <x v="2"/>
    <x v="2"/>
    <x v="97"/>
    <x v="71"/>
    <x v="4"/>
    <x v="86"/>
    <x v="61"/>
    <x v="26"/>
    <x v="26"/>
    <x v="18"/>
    <x v="23"/>
  </r>
  <r>
    <x v="2"/>
    <x v="2"/>
    <x v="99"/>
    <x v="73"/>
    <x v="1"/>
    <x v="81"/>
    <x v="8"/>
    <x v="25"/>
    <x v="24"/>
    <x v="17"/>
    <x v="19"/>
  </r>
  <r>
    <x v="2"/>
    <x v="2"/>
    <x v="101"/>
    <x v="75"/>
    <x v="1"/>
    <x v="80"/>
    <x v="7"/>
    <x v="17"/>
    <x v="18"/>
    <x v="18"/>
    <x v="20"/>
  </r>
  <r>
    <x v="2"/>
    <x v="2"/>
    <x v="100"/>
    <x v="74"/>
    <x v="1"/>
    <x v="32"/>
    <x v="27"/>
    <x v="2"/>
    <x v="26"/>
    <x v="1"/>
    <x v="3"/>
  </r>
  <r>
    <x v="2"/>
    <x v="2"/>
    <x v="109"/>
    <x v="82"/>
    <x v="1"/>
    <x v="60"/>
    <x v="59"/>
    <x v="26"/>
    <x v="26"/>
    <x v="18"/>
    <x v="23"/>
  </r>
  <r>
    <x v="2"/>
    <x v="2"/>
    <x v="110"/>
    <x v="83"/>
    <x v="1"/>
    <x v="71"/>
    <x v="59"/>
    <x v="26"/>
    <x v="26"/>
    <x v="18"/>
    <x v="23"/>
  </r>
  <r>
    <x v="2"/>
    <x v="2"/>
    <x v="98"/>
    <x v="72"/>
    <x v="1"/>
    <x v="88"/>
    <x v="57"/>
    <x v="26"/>
    <x v="26"/>
    <x v="18"/>
    <x v="5"/>
  </r>
  <r>
    <x v="2"/>
    <x v="2"/>
    <x v="103"/>
    <x v="76"/>
    <x v="1"/>
    <x v="10"/>
    <x v="37"/>
    <x v="5"/>
    <x v="26"/>
    <x v="18"/>
    <x v="2"/>
  </r>
  <r>
    <x v="2"/>
    <x v="2"/>
    <x v="104"/>
    <x v="77"/>
    <x v="1"/>
    <x v="89"/>
    <x v="62"/>
    <x v="1"/>
    <x v="26"/>
    <x v="18"/>
    <x v="23"/>
  </r>
  <r>
    <x v="2"/>
    <x v="2"/>
    <x v="105"/>
    <x v="78"/>
    <x v="1"/>
    <x v="90"/>
    <x v="63"/>
    <x v="26"/>
    <x v="26"/>
    <x v="18"/>
    <x v="23"/>
  </r>
  <r>
    <x v="2"/>
    <x v="2"/>
    <x v="106"/>
    <x v="79"/>
    <x v="1"/>
    <x v="75"/>
    <x v="73"/>
    <x v="1"/>
    <x v="2"/>
    <x v="18"/>
    <x v="23"/>
  </r>
  <r>
    <x v="2"/>
    <x v="2"/>
    <x v="114"/>
    <x v="86"/>
    <x v="1"/>
    <x v="79"/>
    <x v="6"/>
    <x v="26"/>
    <x v="26"/>
    <x v="18"/>
    <x v="23"/>
  </r>
  <r>
    <x v="2"/>
    <x v="2"/>
    <x v="115"/>
    <x v="87"/>
    <x v="1"/>
    <x v="58"/>
    <x v="55"/>
    <x v="26"/>
    <x v="26"/>
    <x v="18"/>
    <x v="23"/>
  </r>
  <r>
    <x v="2"/>
    <x v="2"/>
    <x v="116"/>
    <x v="88"/>
    <x v="1"/>
    <x v="114"/>
    <x v="30"/>
    <x v="26"/>
    <x v="26"/>
    <x v="18"/>
    <x v="23"/>
  </r>
  <r>
    <x v="2"/>
    <x v="2"/>
    <x v="118"/>
    <x v="90"/>
    <x v="1"/>
    <x v="84"/>
    <x v="66"/>
    <x v="26"/>
    <x v="26"/>
    <x v="18"/>
    <x v="23"/>
  </r>
  <r>
    <x v="2"/>
    <x v="2"/>
    <x v="117"/>
    <x v="90"/>
    <x v="1"/>
    <x v="83"/>
    <x v="31"/>
    <x v="26"/>
    <x v="26"/>
    <x v="18"/>
    <x v="23"/>
  </r>
  <r>
    <x v="2"/>
    <x v="2"/>
    <x v="111"/>
    <x v="84"/>
    <x v="1"/>
    <x v="67"/>
    <x v="59"/>
    <x v="26"/>
    <x v="26"/>
    <x v="18"/>
    <x v="23"/>
  </r>
  <r>
    <x v="2"/>
    <x v="2"/>
    <x v="108"/>
    <x v="81"/>
    <x v="1"/>
    <x v="72"/>
    <x v="59"/>
    <x v="26"/>
    <x v="26"/>
    <x v="18"/>
    <x v="23"/>
  </r>
  <r>
    <x v="2"/>
    <x v="2"/>
    <x v="112"/>
    <x v="85"/>
    <x v="1"/>
    <x v="68"/>
    <x v="27"/>
    <x v="26"/>
    <x v="26"/>
    <x v="18"/>
    <x v="23"/>
  </r>
  <r>
    <x v="2"/>
    <x v="2"/>
    <x v="107"/>
    <x v="80"/>
    <x v="1"/>
    <x v="107"/>
    <x v="19"/>
    <x v="26"/>
    <x v="26"/>
    <x v="18"/>
    <x v="23"/>
  </r>
  <r>
    <x v="2"/>
    <x v="2"/>
    <x v="119"/>
    <x v="90"/>
    <x v="1"/>
    <x v="116"/>
    <x v="16"/>
    <x v="26"/>
    <x v="26"/>
    <x v="18"/>
    <x v="23"/>
  </r>
  <r>
    <x v="2"/>
    <x v="2"/>
    <x v="120"/>
    <x v="90"/>
    <x v="1"/>
    <x v="117"/>
    <x v="16"/>
    <x v="26"/>
    <x v="26"/>
    <x v="18"/>
    <x v="23"/>
  </r>
  <r>
    <x v="2"/>
    <x v="2"/>
    <x v="121"/>
    <x v="89"/>
    <x v="8"/>
    <x v="105"/>
    <x v="1"/>
    <x v="26"/>
    <x v="26"/>
    <x v="18"/>
    <x v="23"/>
  </r>
  <r>
    <x v="2"/>
    <x v="2"/>
    <x v="123"/>
    <x v="90"/>
    <x v="0"/>
    <x v="38"/>
    <x v="0"/>
    <x v="26"/>
    <x v="26"/>
    <x v="18"/>
    <x v="23"/>
  </r>
  <r>
    <x v="2"/>
    <x v="2"/>
    <x v="125"/>
    <x v="90"/>
    <x v="0"/>
    <x v="98"/>
    <x v="15"/>
    <x v="25"/>
    <x v="24"/>
    <x v="17"/>
    <x v="19"/>
  </r>
  <r>
    <x v="2"/>
    <x v="2"/>
    <x v="126"/>
    <x v="90"/>
    <x v="0"/>
    <x v="99"/>
    <x v="15"/>
    <x v="25"/>
    <x v="24"/>
    <x v="17"/>
    <x v="19"/>
  </r>
  <r>
    <x v="2"/>
    <x v="2"/>
    <x v="122"/>
    <x v="90"/>
    <x v="0"/>
    <x v="18"/>
    <x v="15"/>
    <x v="25"/>
    <x v="24"/>
    <x v="17"/>
    <x v="19"/>
  </r>
  <r>
    <x v="2"/>
    <x v="2"/>
    <x v="124"/>
    <x v="90"/>
    <x v="0"/>
    <x v="74"/>
    <x v="15"/>
    <x v="25"/>
    <x v="24"/>
    <x v="17"/>
    <x v="19"/>
  </r>
  <r>
    <x v="0"/>
    <x v="1"/>
    <x v="30"/>
    <x v="24"/>
    <x v="6"/>
    <x v="33"/>
    <x v="14"/>
    <x v="26"/>
    <x v="26"/>
    <x v="18"/>
    <x v="23"/>
  </r>
  <r>
    <x v="0"/>
    <x v="1"/>
    <x v="31"/>
    <x v="25"/>
    <x v="6"/>
    <x v="34"/>
    <x v="4"/>
    <x v="26"/>
    <x v="26"/>
    <x v="18"/>
    <x v="23"/>
  </r>
  <r>
    <x v="0"/>
    <x v="1"/>
    <x v="32"/>
    <x v="26"/>
    <x v="6"/>
    <x v="3"/>
    <x v="4"/>
    <x v="26"/>
    <x v="26"/>
    <x v="18"/>
    <x v="23"/>
  </r>
  <r>
    <x v="0"/>
    <x v="1"/>
    <x v="33"/>
    <x v="27"/>
    <x v="6"/>
    <x v="115"/>
    <x v="4"/>
    <x v="26"/>
    <x v="26"/>
    <x v="18"/>
    <x v="23"/>
  </r>
  <r>
    <x v="0"/>
    <x v="1"/>
    <x v="127"/>
    <x v="28"/>
    <x v="6"/>
    <x v="85"/>
    <x v="4"/>
    <x v="26"/>
    <x v="26"/>
    <x v="18"/>
    <x v="23"/>
  </r>
  <r>
    <x v="0"/>
    <x v="1"/>
    <x v="2"/>
    <x v="0"/>
    <x v="7"/>
    <x v="7"/>
    <x v="36"/>
    <x v="26"/>
    <x v="26"/>
    <x v="18"/>
    <x v="23"/>
  </r>
  <r>
    <x v="0"/>
    <x v="1"/>
    <x v="1"/>
    <x v="0"/>
    <x v="7"/>
    <x v="6"/>
    <x v="36"/>
    <x v="26"/>
    <x v="26"/>
    <x v="1"/>
    <x v="23"/>
  </r>
  <r>
    <x v="0"/>
    <x v="1"/>
    <x v="0"/>
    <x v="0"/>
    <x v="7"/>
    <x v="5"/>
    <x v="36"/>
    <x v="26"/>
    <x v="26"/>
    <x v="18"/>
    <x v="23"/>
  </r>
  <r>
    <x v="0"/>
    <x v="1"/>
    <x v="3"/>
    <x v="0"/>
    <x v="7"/>
    <x v="8"/>
    <x v="36"/>
    <x v="26"/>
    <x v="26"/>
    <x v="18"/>
    <x v="23"/>
  </r>
  <r>
    <x v="0"/>
    <x v="1"/>
    <x v="64"/>
    <x v="4"/>
    <x v="7"/>
    <x v="94"/>
    <x v="36"/>
    <x v="26"/>
    <x v="26"/>
    <x v="18"/>
    <x v="23"/>
  </r>
  <r>
    <x v="0"/>
    <x v="1"/>
    <x v="76"/>
    <x v="5"/>
    <x v="7"/>
    <x v="113"/>
    <x v="3"/>
    <x v="26"/>
    <x v="26"/>
    <x v="18"/>
    <x v="23"/>
  </r>
  <r>
    <x v="0"/>
    <x v="1"/>
    <x v="45"/>
    <x v="3"/>
    <x v="7"/>
    <x v="104"/>
    <x v="71"/>
    <x v="26"/>
    <x v="26"/>
    <x v="18"/>
    <x v="23"/>
  </r>
  <r>
    <x v="0"/>
    <x v="1"/>
    <x v="88"/>
    <x v="6"/>
    <x v="7"/>
    <x v="102"/>
    <x v="70"/>
    <x v="26"/>
    <x v="26"/>
    <x v="18"/>
    <x v="23"/>
  </r>
  <r>
    <x v="0"/>
    <x v="1"/>
    <x v="87"/>
    <x v="6"/>
    <x v="7"/>
    <x v="101"/>
    <x v="70"/>
    <x v="26"/>
    <x v="26"/>
    <x v="18"/>
    <x v="23"/>
  </r>
  <r>
    <x v="0"/>
    <x v="1"/>
    <x v="89"/>
    <x v="6"/>
    <x v="7"/>
    <x v="103"/>
    <x v="70"/>
    <x v="26"/>
    <x v="26"/>
    <x v="18"/>
    <x v="23"/>
  </r>
  <r>
    <x v="0"/>
    <x v="1"/>
    <x v="102"/>
    <x v="7"/>
    <x v="7"/>
    <x v="37"/>
    <x v="47"/>
    <x v="26"/>
    <x v="26"/>
    <x v="18"/>
    <x v="23"/>
  </r>
  <r>
    <x v="0"/>
    <x v="1"/>
    <x v="113"/>
    <x v="8"/>
    <x v="7"/>
    <x v="36"/>
    <x v="46"/>
    <x v="26"/>
    <x v="26"/>
    <x v="18"/>
    <x v="23"/>
  </r>
  <r>
    <x v="0"/>
    <x v="1"/>
    <x v="4"/>
    <x v="9"/>
    <x v="7"/>
    <x v="35"/>
    <x v="45"/>
    <x v="26"/>
    <x v="26"/>
    <x v="18"/>
    <x v="23"/>
  </r>
  <r>
    <x v="0"/>
    <x v="1"/>
    <x v="5"/>
    <x v="10"/>
    <x v="7"/>
    <x v="15"/>
    <x v="84"/>
    <x v="26"/>
    <x v="26"/>
    <x v="18"/>
    <x v="23"/>
  </r>
  <r>
    <x v="0"/>
    <x v="1"/>
    <x v="7"/>
    <x v="11"/>
    <x v="7"/>
    <x v="77"/>
    <x v="84"/>
    <x v="26"/>
    <x v="26"/>
    <x v="18"/>
    <x v="23"/>
  </r>
  <r>
    <x v="0"/>
    <x v="1"/>
    <x v="6"/>
    <x v="11"/>
    <x v="7"/>
    <x v="76"/>
    <x v="84"/>
    <x v="26"/>
    <x v="26"/>
    <x v="18"/>
    <x v="23"/>
  </r>
  <r>
    <x v="0"/>
    <x v="1"/>
    <x v="8"/>
    <x v="11"/>
    <x v="7"/>
    <x v="78"/>
    <x v="84"/>
    <x v="26"/>
    <x v="26"/>
    <x v="18"/>
    <x v="23"/>
  </r>
  <r>
    <x v="0"/>
    <x v="1"/>
    <x v="11"/>
    <x v="12"/>
    <x v="7"/>
    <x v="42"/>
    <x v="51"/>
    <x v="26"/>
    <x v="26"/>
    <x v="18"/>
    <x v="23"/>
  </r>
  <r>
    <x v="0"/>
    <x v="1"/>
    <x v="9"/>
    <x v="12"/>
    <x v="7"/>
    <x v="40"/>
    <x v="51"/>
    <x v="26"/>
    <x v="26"/>
    <x v="18"/>
    <x v="23"/>
  </r>
  <r>
    <x v="0"/>
    <x v="1"/>
    <x v="10"/>
    <x v="12"/>
    <x v="7"/>
    <x v="41"/>
    <x v="51"/>
    <x v="26"/>
    <x v="26"/>
    <x v="18"/>
    <x v="23"/>
  </r>
  <r>
    <x v="0"/>
    <x v="1"/>
    <x v="12"/>
    <x v="12"/>
    <x v="7"/>
    <x v="43"/>
    <x v="51"/>
    <x v="26"/>
    <x v="26"/>
    <x v="18"/>
    <x v="23"/>
  </r>
  <r>
    <x v="0"/>
    <x v="1"/>
    <x v="13"/>
    <x v="13"/>
    <x v="7"/>
    <x v="118"/>
    <x v="75"/>
    <x v="26"/>
    <x v="26"/>
    <x v="18"/>
    <x v="23"/>
  </r>
  <r>
    <x v="0"/>
    <x v="1"/>
    <x v="34"/>
    <x v="2"/>
    <x v="7"/>
    <x v="22"/>
    <x v="11"/>
    <x v="26"/>
    <x v="26"/>
    <x v="18"/>
    <x v="23"/>
  </r>
  <r>
    <x v="0"/>
    <x v="1"/>
    <x v="14"/>
    <x v="14"/>
    <x v="7"/>
    <x v="124"/>
    <x v="81"/>
    <x v="26"/>
    <x v="26"/>
    <x v="18"/>
    <x v="23"/>
  </r>
  <r>
    <x v="0"/>
    <x v="1"/>
    <x v="15"/>
    <x v="15"/>
    <x v="7"/>
    <x v="0"/>
    <x v="29"/>
    <x v="26"/>
    <x v="26"/>
    <x v="18"/>
    <x v="23"/>
  </r>
  <r>
    <x v="0"/>
    <x v="1"/>
    <x v="16"/>
    <x v="16"/>
    <x v="7"/>
    <x v="14"/>
    <x v="79"/>
    <x v="26"/>
    <x v="5"/>
    <x v="11"/>
    <x v="23"/>
  </r>
  <r>
    <x v="0"/>
    <x v="1"/>
    <x v="17"/>
    <x v="17"/>
    <x v="7"/>
    <x v="2"/>
    <x v="34"/>
    <x v="26"/>
    <x v="26"/>
    <x v="18"/>
    <x v="23"/>
  </r>
  <r>
    <x v="0"/>
    <x v="1"/>
    <x v="21"/>
    <x v="19"/>
    <x v="7"/>
    <x v="123"/>
    <x v="77"/>
    <x v="26"/>
    <x v="26"/>
    <x v="18"/>
    <x v="23"/>
  </r>
  <r>
    <x v="0"/>
    <x v="1"/>
    <x v="20"/>
    <x v="19"/>
    <x v="7"/>
    <x v="122"/>
    <x v="77"/>
    <x v="26"/>
    <x v="26"/>
    <x v="18"/>
    <x v="23"/>
  </r>
  <r>
    <x v="0"/>
    <x v="1"/>
    <x v="18"/>
    <x v="18"/>
    <x v="7"/>
    <x v="31"/>
    <x v="38"/>
    <x v="26"/>
    <x v="26"/>
    <x v="18"/>
    <x v="23"/>
  </r>
  <r>
    <x v="0"/>
    <x v="1"/>
    <x v="19"/>
    <x v="1"/>
    <x v="7"/>
    <x v="9"/>
    <x v="12"/>
    <x v="26"/>
    <x v="26"/>
    <x v="18"/>
    <x v="23"/>
  </r>
  <r>
    <x v="0"/>
    <x v="1"/>
    <x v="22"/>
    <x v="20"/>
    <x v="7"/>
    <x v="111"/>
    <x v="83"/>
    <x v="26"/>
    <x v="26"/>
    <x v="18"/>
    <x v="23"/>
  </r>
  <r>
    <x v="0"/>
    <x v="1"/>
    <x v="23"/>
    <x v="20"/>
    <x v="7"/>
    <x v="112"/>
    <x v="24"/>
    <x v="26"/>
    <x v="26"/>
    <x v="18"/>
    <x v="23"/>
  </r>
  <r>
    <x v="0"/>
    <x v="1"/>
    <x v="25"/>
    <x v="22"/>
    <x v="7"/>
    <x v="19"/>
    <x v="17"/>
    <x v="26"/>
    <x v="26"/>
    <x v="18"/>
    <x v="23"/>
  </r>
  <r>
    <x v="0"/>
    <x v="1"/>
    <x v="26"/>
    <x v="22"/>
    <x v="7"/>
    <x v="127"/>
    <x v="17"/>
    <x v="26"/>
    <x v="26"/>
    <x v="18"/>
    <x v="23"/>
  </r>
  <r>
    <x v="0"/>
    <x v="1"/>
    <x v="27"/>
    <x v="22"/>
    <x v="7"/>
    <x v="128"/>
    <x v="17"/>
    <x v="26"/>
    <x v="26"/>
    <x v="18"/>
    <x v="23"/>
  </r>
  <r>
    <x v="0"/>
    <x v="1"/>
    <x v="29"/>
    <x v="90"/>
    <x v="7"/>
    <x v="93"/>
    <x v="23"/>
    <x v="26"/>
    <x v="26"/>
    <x v="18"/>
    <x v="23"/>
  </r>
  <r>
    <x v="0"/>
    <x v="1"/>
    <x v="24"/>
    <x v="21"/>
    <x v="7"/>
    <x v="108"/>
    <x v="21"/>
    <x v="26"/>
    <x v="26"/>
    <x v="18"/>
    <x v="23"/>
  </r>
  <r>
    <x v="0"/>
    <x v="1"/>
    <x v="28"/>
    <x v="23"/>
    <x v="7"/>
    <x v="69"/>
    <x v="18"/>
    <x v="26"/>
    <x v="26"/>
    <x v="18"/>
    <x v="23"/>
  </r>
  <r>
    <x v="0"/>
    <x v="1"/>
    <x v="35"/>
    <x v="29"/>
    <x v="3"/>
    <x v="20"/>
    <x v="11"/>
    <x v="16"/>
    <x v="16"/>
    <x v="16"/>
    <x v="23"/>
  </r>
  <r>
    <x v="0"/>
    <x v="1"/>
    <x v="36"/>
    <x v="30"/>
    <x v="3"/>
    <x v="17"/>
    <x v="40"/>
    <x v="26"/>
    <x v="26"/>
    <x v="3"/>
    <x v="23"/>
  </r>
  <r>
    <x v="0"/>
    <x v="1"/>
    <x v="37"/>
    <x v="31"/>
    <x v="3"/>
    <x v="109"/>
    <x v="67"/>
    <x v="26"/>
    <x v="26"/>
    <x v="18"/>
    <x v="23"/>
  </r>
  <r>
    <x v="0"/>
    <x v="1"/>
    <x v="38"/>
    <x v="32"/>
    <x v="3"/>
    <x v="57"/>
    <x v="65"/>
    <x v="26"/>
    <x v="26"/>
    <x v="18"/>
    <x v="23"/>
  </r>
  <r>
    <x v="0"/>
    <x v="1"/>
    <x v="39"/>
    <x v="33"/>
    <x v="3"/>
    <x v="63"/>
    <x v="39"/>
    <x v="26"/>
    <x v="26"/>
    <x v="18"/>
    <x v="23"/>
  </r>
  <r>
    <x v="0"/>
    <x v="1"/>
    <x v="40"/>
    <x v="34"/>
    <x v="3"/>
    <x v="56"/>
    <x v="10"/>
    <x v="26"/>
    <x v="26"/>
    <x v="16"/>
    <x v="23"/>
  </r>
  <r>
    <x v="0"/>
    <x v="1"/>
    <x v="41"/>
    <x v="35"/>
    <x v="3"/>
    <x v="55"/>
    <x v="53"/>
    <x v="26"/>
    <x v="26"/>
    <x v="18"/>
    <x v="23"/>
  </r>
  <r>
    <x v="0"/>
    <x v="1"/>
    <x v="42"/>
    <x v="36"/>
    <x v="3"/>
    <x v="65"/>
    <x v="40"/>
    <x v="26"/>
    <x v="26"/>
    <x v="18"/>
    <x v="23"/>
  </r>
  <r>
    <x v="0"/>
    <x v="1"/>
    <x v="44"/>
    <x v="38"/>
    <x v="3"/>
    <x v="119"/>
    <x v="76"/>
    <x v="26"/>
    <x v="26"/>
    <x v="18"/>
    <x v="23"/>
  </r>
  <r>
    <x v="0"/>
    <x v="1"/>
    <x v="46"/>
    <x v="39"/>
    <x v="3"/>
    <x v="97"/>
    <x v="69"/>
    <x v="26"/>
    <x v="26"/>
    <x v="18"/>
    <x v="23"/>
  </r>
  <r>
    <x v="0"/>
    <x v="1"/>
    <x v="48"/>
    <x v="40"/>
    <x v="3"/>
    <x v="45"/>
    <x v="49"/>
    <x v="26"/>
    <x v="26"/>
    <x v="18"/>
    <x v="23"/>
  </r>
  <r>
    <x v="0"/>
    <x v="1"/>
    <x v="47"/>
    <x v="40"/>
    <x v="3"/>
    <x v="44"/>
    <x v="49"/>
    <x v="26"/>
    <x v="26"/>
    <x v="18"/>
    <x v="23"/>
  </r>
  <r>
    <x v="0"/>
    <x v="1"/>
    <x v="49"/>
    <x v="40"/>
    <x v="3"/>
    <x v="46"/>
    <x v="49"/>
    <x v="26"/>
    <x v="26"/>
    <x v="18"/>
    <x v="23"/>
  </r>
  <r>
    <x v="0"/>
    <x v="1"/>
    <x v="50"/>
    <x v="40"/>
    <x v="3"/>
    <x v="47"/>
    <x v="49"/>
    <x v="26"/>
    <x v="26"/>
    <x v="18"/>
    <x v="23"/>
  </r>
  <r>
    <x v="0"/>
    <x v="1"/>
    <x v="127"/>
    <x v="41"/>
    <x v="3"/>
    <x v="39"/>
    <x v="48"/>
    <x v="26"/>
    <x v="26"/>
    <x v="18"/>
    <x v="23"/>
  </r>
  <r>
    <x v="0"/>
    <x v="1"/>
    <x v="54"/>
    <x v="42"/>
    <x v="3"/>
    <x v="49"/>
    <x v="50"/>
    <x v="26"/>
    <x v="26"/>
    <x v="1"/>
    <x v="23"/>
  </r>
  <r>
    <x v="0"/>
    <x v="1"/>
    <x v="52"/>
    <x v="42"/>
    <x v="3"/>
    <x v="50"/>
    <x v="50"/>
    <x v="26"/>
    <x v="26"/>
    <x v="1"/>
    <x v="23"/>
  </r>
  <r>
    <x v="0"/>
    <x v="1"/>
    <x v="53"/>
    <x v="42"/>
    <x v="3"/>
    <x v="51"/>
    <x v="50"/>
    <x v="26"/>
    <x v="26"/>
    <x v="18"/>
    <x v="23"/>
  </r>
  <r>
    <x v="0"/>
    <x v="1"/>
    <x v="51"/>
    <x v="42"/>
    <x v="3"/>
    <x v="48"/>
    <x v="50"/>
    <x v="26"/>
    <x v="26"/>
    <x v="18"/>
    <x v="23"/>
  </r>
  <r>
    <x v="0"/>
    <x v="1"/>
    <x v="55"/>
    <x v="42"/>
    <x v="3"/>
    <x v="52"/>
    <x v="50"/>
    <x v="26"/>
    <x v="26"/>
    <x v="18"/>
    <x v="23"/>
  </r>
  <r>
    <x v="0"/>
    <x v="1"/>
    <x v="56"/>
    <x v="43"/>
    <x v="3"/>
    <x v="62"/>
    <x v="5"/>
    <x v="26"/>
    <x v="26"/>
    <x v="18"/>
    <x v="23"/>
  </r>
  <r>
    <x v="0"/>
    <x v="1"/>
    <x v="59"/>
    <x v="45"/>
    <x v="3"/>
    <x v="126"/>
    <x v="60"/>
    <x v="26"/>
    <x v="26"/>
    <x v="18"/>
    <x v="23"/>
  </r>
  <r>
    <x v="0"/>
    <x v="1"/>
    <x v="58"/>
    <x v="45"/>
    <x v="3"/>
    <x v="125"/>
    <x v="11"/>
    <x v="26"/>
    <x v="26"/>
    <x v="18"/>
    <x v="23"/>
  </r>
  <r>
    <x v="0"/>
    <x v="1"/>
    <x v="57"/>
    <x v="44"/>
    <x v="3"/>
    <x v="4"/>
    <x v="35"/>
    <x v="26"/>
    <x v="26"/>
    <x v="18"/>
    <x v="23"/>
  </r>
  <r>
    <x v="0"/>
    <x v="1"/>
    <x v="43"/>
    <x v="37"/>
    <x v="3"/>
    <x v="16"/>
    <x v="26"/>
    <x v="26"/>
    <x v="26"/>
    <x v="18"/>
    <x v="23"/>
  </r>
  <r>
    <x v="0"/>
    <x v="1"/>
    <x v="60"/>
    <x v="90"/>
    <x v="3"/>
    <x v="70"/>
    <x v="19"/>
    <x v="26"/>
    <x v="26"/>
    <x v="18"/>
    <x v="23"/>
  </r>
  <r>
    <x v="0"/>
    <x v="1"/>
    <x v="61"/>
    <x v="90"/>
    <x v="3"/>
    <x v="82"/>
    <x v="25"/>
    <x v="26"/>
    <x v="26"/>
    <x v="18"/>
    <x v="23"/>
  </r>
  <r>
    <x v="0"/>
    <x v="1"/>
    <x v="62"/>
    <x v="90"/>
    <x v="3"/>
    <x v="92"/>
    <x v="2"/>
    <x v="26"/>
    <x v="26"/>
    <x v="18"/>
    <x v="23"/>
  </r>
  <r>
    <x v="0"/>
    <x v="1"/>
    <x v="63"/>
    <x v="46"/>
    <x v="5"/>
    <x v="12"/>
    <x v="80"/>
    <x v="26"/>
    <x v="26"/>
    <x v="18"/>
    <x v="23"/>
  </r>
  <r>
    <x v="0"/>
    <x v="1"/>
    <x v="65"/>
    <x v="47"/>
    <x v="5"/>
    <x v="54"/>
    <x v="28"/>
    <x v="26"/>
    <x v="26"/>
    <x v="1"/>
    <x v="23"/>
  </r>
  <r>
    <x v="0"/>
    <x v="1"/>
    <x v="66"/>
    <x v="47"/>
    <x v="5"/>
    <x v="59"/>
    <x v="33"/>
    <x v="26"/>
    <x v="26"/>
    <x v="18"/>
    <x v="23"/>
  </r>
  <r>
    <x v="0"/>
    <x v="1"/>
    <x v="67"/>
    <x v="48"/>
    <x v="5"/>
    <x v="21"/>
    <x v="11"/>
    <x v="16"/>
    <x v="16"/>
    <x v="16"/>
    <x v="23"/>
  </r>
  <r>
    <x v="0"/>
    <x v="1"/>
    <x v="68"/>
    <x v="49"/>
    <x v="5"/>
    <x v="1"/>
    <x v="56"/>
    <x v="26"/>
    <x v="26"/>
    <x v="1"/>
    <x v="23"/>
  </r>
  <r>
    <x v="0"/>
    <x v="1"/>
    <x v="69"/>
    <x v="50"/>
    <x v="5"/>
    <x v="95"/>
    <x v="32"/>
    <x v="26"/>
    <x v="2"/>
    <x v="2"/>
    <x v="23"/>
  </r>
  <r>
    <x v="0"/>
    <x v="1"/>
    <x v="70"/>
    <x v="51"/>
    <x v="5"/>
    <x v="120"/>
    <x v="58"/>
    <x v="26"/>
    <x v="26"/>
    <x v="18"/>
    <x v="23"/>
  </r>
  <r>
    <x v="0"/>
    <x v="1"/>
    <x v="73"/>
    <x v="53"/>
    <x v="5"/>
    <x v="30"/>
    <x v="74"/>
    <x v="26"/>
    <x v="26"/>
    <x v="18"/>
    <x v="23"/>
  </r>
  <r>
    <x v="0"/>
    <x v="1"/>
    <x v="72"/>
    <x v="52"/>
    <x v="5"/>
    <x v="121"/>
    <x v="78"/>
    <x v="26"/>
    <x v="26"/>
    <x v="18"/>
    <x v="23"/>
  </r>
  <r>
    <x v="0"/>
    <x v="1"/>
    <x v="71"/>
    <x v="52"/>
    <x v="5"/>
    <x v="26"/>
    <x v="42"/>
    <x v="26"/>
    <x v="26"/>
    <x v="18"/>
    <x v="23"/>
  </r>
  <r>
    <x v="0"/>
    <x v="1"/>
    <x v="74"/>
    <x v="54"/>
    <x v="5"/>
    <x v="87"/>
    <x v="22"/>
    <x v="26"/>
    <x v="26"/>
    <x v="18"/>
    <x v="23"/>
  </r>
  <r>
    <x v="0"/>
    <x v="1"/>
    <x v="78"/>
    <x v="57"/>
    <x v="2"/>
    <x v="13"/>
    <x v="13"/>
    <x v="26"/>
    <x v="26"/>
    <x v="18"/>
    <x v="23"/>
  </r>
  <r>
    <x v="0"/>
    <x v="1"/>
    <x v="81"/>
    <x v="60"/>
    <x v="2"/>
    <x v="64"/>
    <x v="13"/>
    <x v="26"/>
    <x v="26"/>
    <x v="16"/>
    <x v="23"/>
  </r>
  <r>
    <x v="0"/>
    <x v="1"/>
    <x v="79"/>
    <x v="58"/>
    <x v="2"/>
    <x v="53"/>
    <x v="11"/>
    <x v="16"/>
    <x v="16"/>
    <x v="16"/>
    <x v="23"/>
  </r>
  <r>
    <x v="0"/>
    <x v="1"/>
    <x v="75"/>
    <x v="55"/>
    <x v="2"/>
    <x v="91"/>
    <x v="64"/>
    <x v="26"/>
    <x v="1"/>
    <x v="6"/>
    <x v="23"/>
  </r>
  <r>
    <x v="0"/>
    <x v="1"/>
    <x v="77"/>
    <x v="56"/>
    <x v="2"/>
    <x v="27"/>
    <x v="43"/>
    <x v="26"/>
    <x v="4"/>
    <x v="8"/>
    <x v="23"/>
  </r>
  <r>
    <x v="0"/>
    <x v="1"/>
    <x v="80"/>
    <x v="59"/>
    <x v="2"/>
    <x v="29"/>
    <x v="44"/>
    <x v="26"/>
    <x v="26"/>
    <x v="18"/>
    <x v="23"/>
  </r>
  <r>
    <x v="0"/>
    <x v="1"/>
    <x v="82"/>
    <x v="61"/>
    <x v="2"/>
    <x v="110"/>
    <x v="82"/>
    <x v="26"/>
    <x v="26"/>
    <x v="18"/>
    <x v="23"/>
  </r>
  <r>
    <x v="0"/>
    <x v="1"/>
    <x v="83"/>
    <x v="63"/>
    <x v="2"/>
    <x v="11"/>
    <x v="39"/>
    <x v="26"/>
    <x v="26"/>
    <x v="18"/>
    <x v="23"/>
  </r>
  <r>
    <x v="0"/>
    <x v="1"/>
    <x v="84"/>
    <x v="64"/>
    <x v="2"/>
    <x v="96"/>
    <x v="52"/>
    <x v="26"/>
    <x v="26"/>
    <x v="2"/>
    <x v="23"/>
  </r>
  <r>
    <x v="0"/>
    <x v="1"/>
    <x v="85"/>
    <x v="65"/>
    <x v="2"/>
    <x v="66"/>
    <x v="54"/>
    <x v="26"/>
    <x v="26"/>
    <x v="18"/>
    <x v="23"/>
  </r>
  <r>
    <x v="0"/>
    <x v="1"/>
    <x v="91"/>
    <x v="62"/>
    <x v="2"/>
    <x v="61"/>
    <x v="9"/>
    <x v="26"/>
    <x v="26"/>
    <x v="18"/>
    <x v="23"/>
  </r>
  <r>
    <x v="0"/>
    <x v="1"/>
    <x v="86"/>
    <x v="66"/>
    <x v="2"/>
    <x v="73"/>
    <x v="21"/>
    <x v="26"/>
    <x v="26"/>
    <x v="18"/>
    <x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39" applyNumberFormats="0" applyBorderFormats="0" applyFontFormats="0" applyPatternFormats="0" applyAlignmentFormats="0" applyWidthHeightFormats="0" dataCaption="Values" itemPrintTitles="1" indent="0" compact="0" outline="1" outlineData="1" compactData="0">
  <location ref="A3:D5" firstHeaderRow="1" firstDataRow="2" firstDataCol="0"/>
  <pivotFields count="11">
    <pivotField axis="axisCol" compact="0" showAll="0">
      <items count="4">
        <item x="1"/>
        <item x="0"/>
        <item x="2"/>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colFields count="1">
    <field x="0"/>
  </col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8" Type="http://schemas.openxmlformats.org/officeDocument/2006/relationships/hyperlink" Target="https://www.questionari.eproc.ariaspa.it/questionari/upload/File_compilati/94583/3351_2865_36656_286536656ARIAFOLFacilityMgmtPeriodicit&#224;20210730.xls" TargetMode="External"/><Relationship Id="rId3" Type="http://schemas.openxmlformats.org/officeDocument/2006/relationships/hyperlink" Target="https://www.questionari.eproc.ariaspa.it/questionari/upload/File_compilati/94583/3369_2865_36655_ATSdellaBrianza286536655ARIAFOLFacilityMgmt20210730.xls" TargetMode="External"/><Relationship Id="rId7" Type="http://schemas.openxmlformats.org/officeDocument/2006/relationships/hyperlink" Target="https://www.questionari.eproc.ariaspa.it/questionari/upload/File_compilati/94583/3351_2865_36655_286536655ARIAFOLFacilityMgmt20210730.xls" TargetMode="External"/><Relationship Id="rId12" Type="http://schemas.openxmlformats.org/officeDocument/2006/relationships/hyperlink" Target="https://www.questionari.eproc.ariaspa.it/questionari/upload/File_compilati/94583/3347_2865_36656_286536656ARIAFOLFacilityMgmtPeriodicit&#224;20210730ASSTGarda.xls" TargetMode="External"/><Relationship Id="rId2" Type="http://schemas.openxmlformats.org/officeDocument/2006/relationships/hyperlink" Target="https://www.questionari.eproc.ariaspa.it/questionari/upload/File_compilati/94583/3373_2865_36656_ARIAFOLFacilityMgmtPeriodicit&#224;20210514.xlsx" TargetMode="External"/><Relationship Id="rId1" Type="http://schemas.openxmlformats.org/officeDocument/2006/relationships/hyperlink" Target="https://www.questionari.eproc.ariaspa.it/questionari/upload/File_compilati/94583/3373_2865_36655_ARIAFOLFacilityMgmt20210514.xlsx" TargetMode="External"/><Relationship Id="rId6" Type="http://schemas.openxmlformats.org/officeDocument/2006/relationships/hyperlink" Target="https://www.questionari.eproc.ariaspa.it/questionari/upload/File_compilati/94583/3374_2865_36656_286536656ARIAFOLFacilityMgmtPeriodicit&#224;20210730.xls" TargetMode="External"/><Relationship Id="rId11" Type="http://schemas.openxmlformats.org/officeDocument/2006/relationships/hyperlink" Target="https://www.questionari.eproc.ariaspa.it/questionari/upload/File_compilati/94583/3347_2865_36655_286536655ARIAFOLFacilityMgmt20210730ASSTGarda.xls" TargetMode="External"/><Relationship Id="rId5" Type="http://schemas.openxmlformats.org/officeDocument/2006/relationships/hyperlink" Target="https://www.questionari.eproc.ariaspa.it/questionari/upload/File_compilati/94583/3374_2865_36655_286536655ARIAFOLFacilityMgmt20210730.xls" TargetMode="External"/><Relationship Id="rId10" Type="http://schemas.openxmlformats.org/officeDocument/2006/relationships/hyperlink" Target="https://www.questionari.eproc.ariaspa.it/questionari/upload/File_compilati/94583/3350_2865_36656_286536656ARIAFOLFacilityMgmtPeriodicit&#224;20210730.xls" TargetMode="External"/><Relationship Id="rId4" Type="http://schemas.openxmlformats.org/officeDocument/2006/relationships/hyperlink" Target="https://www.questionari.eproc.ariaspa.it/questionari/upload/File_compilati/94583/3369_2865_36656_ATSdellaBrianza286536656ARIAFOLFacilityMgmtPeriodicit&#224;20210730.xls" TargetMode="External"/><Relationship Id="rId9" Type="http://schemas.openxmlformats.org/officeDocument/2006/relationships/hyperlink" Target="https://www.questionari.eproc.ariaspa.it/questionari/upload/File_compilati/94583/3350_2865_36655_286536655ARIAFOLFacilityMgmt20210730.x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MK14"/>
  <sheetViews>
    <sheetView showGridLines="0" topLeftCell="D6" zoomScale="80" zoomScaleNormal="80" workbookViewId="0">
      <selection activeCell="H6" sqref="H6"/>
    </sheetView>
  </sheetViews>
  <sheetFormatPr defaultRowHeight="15"/>
  <cols>
    <col min="1" max="1" width="8.85546875" style="1" customWidth="1"/>
    <col min="2" max="4" width="30.85546875" style="1" customWidth="1"/>
    <col min="5" max="5" width="76.140625" style="1" customWidth="1"/>
    <col min="6" max="6" width="30.85546875" style="1" customWidth="1"/>
    <col min="7" max="7" width="49.42578125" style="1" customWidth="1"/>
    <col min="8" max="8" width="44.42578125" style="1" customWidth="1"/>
    <col min="9" max="1025" width="8.85546875" style="1" customWidth="1"/>
  </cols>
  <sheetData>
    <row r="2" spans="2:8" ht="39.950000000000003" customHeight="1">
      <c r="B2" s="2" t="s">
        <v>0</v>
      </c>
      <c r="C2" s="2" t="s">
        <v>1</v>
      </c>
      <c r="D2" s="2" t="s">
        <v>2</v>
      </c>
      <c r="E2" s="2" t="s">
        <v>3</v>
      </c>
      <c r="F2" s="2" t="s">
        <v>4</v>
      </c>
      <c r="G2" s="2" t="s">
        <v>5</v>
      </c>
      <c r="H2" s="2" t="s">
        <v>6</v>
      </c>
    </row>
    <row r="3" spans="2:8" ht="39.950000000000003" customHeight="1">
      <c r="B3" s="3" t="s">
        <v>7</v>
      </c>
      <c r="C3" s="4" t="s">
        <v>8</v>
      </c>
      <c r="D3" s="4" t="s">
        <v>8</v>
      </c>
      <c r="E3" s="5" t="s">
        <v>9</v>
      </c>
      <c r="F3" s="6" t="s">
        <v>10</v>
      </c>
      <c r="G3" s="7">
        <v>90.25</v>
      </c>
      <c r="H3" s="7">
        <v>103.29</v>
      </c>
    </row>
    <row r="4" spans="2:8" ht="72.75">
      <c r="B4" s="3" t="s">
        <v>11</v>
      </c>
      <c r="C4" s="4" t="s">
        <v>8</v>
      </c>
      <c r="D4" s="4" t="s">
        <v>8</v>
      </c>
      <c r="E4" s="5" t="s">
        <v>9</v>
      </c>
      <c r="F4" s="6" t="s">
        <v>12</v>
      </c>
      <c r="G4" s="8"/>
      <c r="H4" s="9" t="s">
        <v>13</v>
      </c>
    </row>
    <row r="5" spans="2:8" ht="39.950000000000003" customHeight="1">
      <c r="B5" s="3" t="s">
        <v>14</v>
      </c>
      <c r="C5" s="4" t="s">
        <v>8</v>
      </c>
      <c r="D5" s="4" t="s">
        <v>8</v>
      </c>
      <c r="E5" s="5" t="s">
        <v>9</v>
      </c>
      <c r="F5" s="6" t="s">
        <v>15</v>
      </c>
      <c r="G5" s="8"/>
      <c r="H5" s="8"/>
    </row>
    <row r="6" spans="2:8" ht="62.45" customHeight="1">
      <c r="B6" s="3" t="s">
        <v>16</v>
      </c>
      <c r="C6" s="4" t="s">
        <v>8</v>
      </c>
      <c r="D6" s="4" t="s">
        <v>8</v>
      </c>
      <c r="E6" s="5" t="s">
        <v>17</v>
      </c>
      <c r="F6" s="6" t="s">
        <v>18</v>
      </c>
      <c r="G6" s="8"/>
      <c r="H6" s="8"/>
    </row>
    <row r="7" spans="2:8" ht="39.950000000000003" customHeight="1">
      <c r="B7" s="3" t="s">
        <v>19</v>
      </c>
      <c r="C7" s="4" t="s">
        <v>8</v>
      </c>
      <c r="D7" s="4" t="s">
        <v>8</v>
      </c>
      <c r="E7" s="5" t="s">
        <v>9</v>
      </c>
      <c r="F7" s="6" t="s">
        <v>20</v>
      </c>
      <c r="G7" s="7" t="s">
        <v>21</v>
      </c>
      <c r="H7" s="7"/>
    </row>
    <row r="8" spans="2:8" ht="39.950000000000003" customHeight="1">
      <c r="B8" s="3" t="s">
        <v>22</v>
      </c>
      <c r="C8" s="4" t="s">
        <v>8</v>
      </c>
      <c r="D8" s="4" t="s">
        <v>8</v>
      </c>
      <c r="E8" s="5" t="s">
        <v>23</v>
      </c>
      <c r="F8" s="6"/>
      <c r="G8" s="10">
        <v>115</v>
      </c>
      <c r="H8" s="8"/>
    </row>
    <row r="9" spans="2:8" ht="39.950000000000003" customHeight="1">
      <c r="B9" s="3" t="s">
        <v>24</v>
      </c>
      <c r="C9" s="4" t="s">
        <v>8</v>
      </c>
      <c r="D9" s="4" t="s">
        <v>8</v>
      </c>
      <c r="E9" s="5" t="s">
        <v>9</v>
      </c>
      <c r="F9" s="6" t="s">
        <v>25</v>
      </c>
      <c r="G9" s="8"/>
      <c r="H9" s="8"/>
    </row>
    <row r="10" spans="2:8" ht="39.950000000000003" customHeight="1">
      <c r="B10" s="3" t="s">
        <v>26</v>
      </c>
      <c r="C10" s="4" t="s">
        <v>8</v>
      </c>
      <c r="D10" s="4" t="s">
        <v>8</v>
      </c>
      <c r="E10" s="5" t="s">
        <v>9</v>
      </c>
      <c r="F10" s="6" t="s">
        <v>27</v>
      </c>
      <c r="G10" s="10">
        <v>52.5</v>
      </c>
      <c r="H10" s="8"/>
    </row>
    <row r="11" spans="2:8" ht="39.950000000000003" customHeight="1">
      <c r="B11" s="3" t="s">
        <v>28</v>
      </c>
      <c r="C11" s="4" t="s">
        <v>8</v>
      </c>
      <c r="D11" s="4" t="s">
        <v>8</v>
      </c>
      <c r="E11" s="5" t="s">
        <v>9</v>
      </c>
      <c r="F11" s="6" t="s">
        <v>10</v>
      </c>
      <c r="G11" s="9" t="s">
        <v>29</v>
      </c>
      <c r="H11" s="8"/>
    </row>
    <row r="12" spans="2:8" ht="39.950000000000003" customHeight="1">
      <c r="B12" s="11" t="s">
        <v>30</v>
      </c>
      <c r="C12" s="12" t="s">
        <v>31</v>
      </c>
      <c r="D12" s="12" t="s">
        <v>31</v>
      </c>
      <c r="E12" s="13" t="s">
        <v>32</v>
      </c>
      <c r="F12" s="14"/>
      <c r="G12" s="14"/>
      <c r="H12" s="14"/>
    </row>
    <row r="13" spans="2:8" ht="39.950000000000003" customHeight="1">
      <c r="B13" s="11" t="s">
        <v>33</v>
      </c>
      <c r="C13" s="12" t="s">
        <v>31</v>
      </c>
      <c r="D13" s="12" t="s">
        <v>31</v>
      </c>
      <c r="E13" s="13" t="s">
        <v>32</v>
      </c>
      <c r="F13" s="14"/>
      <c r="G13" s="14"/>
      <c r="H13" s="14"/>
    </row>
    <row r="14" spans="2:8" ht="39.950000000000003" customHeight="1">
      <c r="B14" s="11" t="s">
        <v>34</v>
      </c>
      <c r="C14" s="15" t="s">
        <v>8</v>
      </c>
      <c r="D14" s="15" t="s">
        <v>8</v>
      </c>
      <c r="E14" s="16" t="s">
        <v>35</v>
      </c>
      <c r="F14" s="17"/>
      <c r="G14" s="18"/>
      <c r="H14" s="17"/>
    </row>
  </sheetData>
  <pageMargins left="0.7" right="0.7" top="0.75" bottom="0.75"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D5"/>
  <sheetViews>
    <sheetView topLeftCell="T128" zoomScaleNormal="100" workbookViewId="0">
      <selection activeCell="U145" sqref="U145"/>
    </sheetView>
  </sheetViews>
  <sheetFormatPr defaultRowHeight="15"/>
  <cols>
    <col min="1" max="1" width="22.28515625" customWidth="1"/>
    <col min="2" max="2" width="62" customWidth="1"/>
    <col min="3" max="3" width="13.42578125" customWidth="1"/>
    <col min="4" max="4" width="20.28515625" customWidth="1"/>
    <col min="5" max="5" width="31.42578125" customWidth="1"/>
    <col min="6" max="6" width="17.85546875" customWidth="1"/>
    <col min="7" max="7" width="12.7109375" customWidth="1"/>
    <col min="8" max="8" width="11.85546875" customWidth="1"/>
    <col min="9" max="9" width="14.85546875" customWidth="1"/>
    <col min="10" max="10" width="13.42578125" customWidth="1"/>
    <col min="11" max="11" width="30.5703125" customWidth="1"/>
    <col min="12" max="12" width="15.85546875" customWidth="1"/>
    <col min="13" max="13" width="18.28515625" customWidth="1"/>
    <col min="14" max="14" width="15.140625" customWidth="1"/>
    <col min="15" max="15" width="14.7109375" customWidth="1"/>
    <col min="16" max="16" width="13.85546875" customWidth="1"/>
    <col min="17" max="17" width="12.28515625" customWidth="1"/>
    <col min="18" max="18" width="54.28515625" customWidth="1"/>
    <col min="19" max="19" width="49.140625" customWidth="1"/>
    <col min="20" max="20" width="54.5703125" customWidth="1"/>
    <col min="21" max="22" width="11.85546875" customWidth="1"/>
    <col min="23" max="1025" width="8.7109375" customWidth="1"/>
  </cols>
  <sheetData>
    <row r="3" spans="1:4">
      <c r="A3" s="19" t="s">
        <v>0</v>
      </c>
      <c r="B3" s="20"/>
      <c r="C3" s="20"/>
      <c r="D3" s="21"/>
    </row>
    <row r="4" spans="1:4">
      <c r="A4" s="22" t="s">
        <v>26</v>
      </c>
      <c r="B4" s="23" t="s">
        <v>19</v>
      </c>
      <c r="C4" s="23" t="s">
        <v>24</v>
      </c>
      <c r="D4" s="24" t="s">
        <v>36</v>
      </c>
    </row>
    <row r="5" spans="1:4">
      <c r="A5" s="25"/>
      <c r="B5" s="26"/>
      <c r="C5" s="27"/>
      <c r="D5" s="28"/>
    </row>
  </sheetData>
  <pageMargins left="0.7" right="0.7" top="0.75" bottom="0.75" header="0.51180555555555496" footer="0.51180555555555496"/>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16"/>
  <sheetViews>
    <sheetView showGridLines="0" zoomScale="80" zoomScaleNormal="80" workbookViewId="0">
      <pane xSplit="3" ySplit="3" topLeftCell="D4" activePane="bottomRight" state="frozen"/>
      <selection pane="bottomRight" activeCell="B18" sqref="B18"/>
      <selection pane="bottomLeft" activeCell="A4" sqref="A4"/>
      <selection pane="topRight" activeCell="D1" sqref="D1"/>
    </sheetView>
  </sheetViews>
  <sheetFormatPr defaultRowHeight="15"/>
  <cols>
    <col min="1" max="1" width="3" customWidth="1"/>
    <col min="2" max="2" width="31.7109375" customWidth="1"/>
    <col min="3" max="3" width="61.42578125" customWidth="1"/>
    <col min="4" max="10" width="20.5703125" style="29" customWidth="1"/>
    <col min="11" max="1025" width="8.7109375" customWidth="1"/>
  </cols>
  <sheetData>
    <row r="1" spans="2:10">
      <c r="B1" s="30" t="s">
        <v>37</v>
      </c>
    </row>
    <row r="3" spans="2:10" ht="30">
      <c r="B3" s="31" t="s">
        <v>38</v>
      </c>
      <c r="C3" s="31" t="s">
        <v>39</v>
      </c>
      <c r="D3" s="32" t="s">
        <v>40</v>
      </c>
      <c r="E3" s="32" t="s">
        <v>41</v>
      </c>
      <c r="F3" s="32" t="s">
        <v>42</v>
      </c>
      <c r="G3" s="32" t="s">
        <v>43</v>
      </c>
      <c r="H3" s="32" t="s">
        <v>44</v>
      </c>
      <c r="I3" s="32" t="s">
        <v>45</v>
      </c>
      <c r="J3" s="32" t="s">
        <v>46</v>
      </c>
    </row>
    <row r="4" spans="2:10">
      <c r="B4" s="33" t="s">
        <v>47</v>
      </c>
      <c r="C4" s="33" t="s">
        <v>7</v>
      </c>
      <c r="D4" s="34">
        <v>6992002.7400000002</v>
      </c>
      <c r="E4" s="34">
        <v>650000</v>
      </c>
      <c r="F4" s="34">
        <f t="shared" ref="F4:F15" si="0">SUM(D4:E4)</f>
        <v>7642002.7400000002</v>
      </c>
      <c r="G4" s="35">
        <v>729999.6</v>
      </c>
      <c r="H4" s="36">
        <f t="shared" ref="H4:H16" si="1">G4/F4</f>
        <v>9.5524645153424792E-2</v>
      </c>
      <c r="I4" s="34">
        <v>20000</v>
      </c>
      <c r="J4" s="34">
        <f t="shared" ref="J4:J15" si="2">SUM(I4+F4)</f>
        <v>7662002.7400000002</v>
      </c>
    </row>
    <row r="5" spans="2:10">
      <c r="B5" s="33" t="s">
        <v>48</v>
      </c>
      <c r="C5" s="33" t="s">
        <v>49</v>
      </c>
      <c r="D5" s="34">
        <v>1802780.128364</v>
      </c>
      <c r="E5" s="34">
        <v>700000</v>
      </c>
      <c r="F5" s="34">
        <f t="shared" si="0"/>
        <v>2502780.128364</v>
      </c>
      <c r="G5" s="35">
        <v>371659.2</v>
      </c>
      <c r="H5" s="36">
        <f t="shared" si="1"/>
        <v>0.1484985419965531</v>
      </c>
      <c r="I5" s="34">
        <v>3500</v>
      </c>
      <c r="J5" s="34">
        <f t="shared" si="2"/>
        <v>2506280.128364</v>
      </c>
    </row>
    <row r="6" spans="2:10">
      <c r="B6" s="33" t="s">
        <v>50</v>
      </c>
      <c r="C6" s="33" t="s">
        <v>28</v>
      </c>
      <c r="D6" s="34">
        <v>408648.39363800001</v>
      </c>
      <c r="E6" s="34">
        <v>300000</v>
      </c>
      <c r="F6" s="34">
        <f t="shared" si="0"/>
        <v>708648.39363800001</v>
      </c>
      <c r="G6" s="35">
        <v>178353</v>
      </c>
      <c r="H6" s="36">
        <f t="shared" si="1"/>
        <v>0.25168052535106478</v>
      </c>
      <c r="I6" s="34">
        <v>4600</v>
      </c>
      <c r="J6" s="34">
        <f t="shared" si="2"/>
        <v>713248.39363800001</v>
      </c>
    </row>
    <row r="7" spans="2:10">
      <c r="B7" s="33" t="s">
        <v>51</v>
      </c>
      <c r="C7" s="33" t="s">
        <v>52</v>
      </c>
      <c r="D7" s="34">
        <v>4109973.1873300001</v>
      </c>
      <c r="E7" s="34">
        <v>92000</v>
      </c>
      <c r="F7" s="34">
        <f t="shared" si="0"/>
        <v>4201973.1873300001</v>
      </c>
      <c r="G7" s="35">
        <v>258103.2</v>
      </c>
      <c r="H7" s="36">
        <f t="shared" si="1"/>
        <v>6.1424285328199074E-2</v>
      </c>
      <c r="I7" s="34">
        <v>105049.32968325001</v>
      </c>
      <c r="J7" s="34">
        <f t="shared" si="2"/>
        <v>4307022.5170132499</v>
      </c>
    </row>
    <row r="8" spans="2:10">
      <c r="B8" s="33" t="s">
        <v>53</v>
      </c>
      <c r="C8" s="33" t="s">
        <v>33</v>
      </c>
      <c r="D8" s="34">
        <v>2819838.8629200002</v>
      </c>
      <c r="E8" s="34">
        <v>2000000</v>
      </c>
      <c r="F8" s="34">
        <f t="shared" si="0"/>
        <v>4819838.8629200002</v>
      </c>
      <c r="G8" s="35">
        <v>704481.26</v>
      </c>
      <c r="H8" s="36">
        <f t="shared" si="1"/>
        <v>0.14616282411839895</v>
      </c>
      <c r="I8" s="34">
        <v>20000</v>
      </c>
      <c r="J8" s="34">
        <f t="shared" si="2"/>
        <v>4839838.8629200002</v>
      </c>
    </row>
    <row r="9" spans="2:10">
      <c r="B9" s="33" t="s">
        <v>54</v>
      </c>
      <c r="C9" s="33" t="s">
        <v>16</v>
      </c>
      <c r="D9" s="34">
        <v>3927641.9331</v>
      </c>
      <c r="E9" s="34">
        <v>1000000</v>
      </c>
      <c r="F9" s="34">
        <f t="shared" si="0"/>
        <v>4927641.9331</v>
      </c>
      <c r="G9" s="35">
        <v>1330240.0266666701</v>
      </c>
      <c r="H9" s="36">
        <f t="shared" si="1"/>
        <v>0.26995468516719329</v>
      </c>
      <c r="I9" s="34">
        <v>6000</v>
      </c>
      <c r="J9" s="34">
        <f t="shared" si="2"/>
        <v>4933641.9331</v>
      </c>
    </row>
    <row r="10" spans="2:10">
      <c r="B10" s="33" t="s">
        <v>55</v>
      </c>
      <c r="C10" s="33" t="s">
        <v>24</v>
      </c>
      <c r="D10" s="34">
        <v>264204.5466</v>
      </c>
      <c r="E10" s="34">
        <v>200000</v>
      </c>
      <c r="F10" s="34">
        <f t="shared" si="0"/>
        <v>464204.5466</v>
      </c>
      <c r="G10" s="35">
        <v>81566</v>
      </c>
      <c r="H10" s="36">
        <f t="shared" si="1"/>
        <v>0.17571133371574779</v>
      </c>
      <c r="I10" s="34">
        <v>6000</v>
      </c>
      <c r="J10" s="34">
        <f t="shared" si="2"/>
        <v>470204.5466</v>
      </c>
    </row>
    <row r="11" spans="2:10">
      <c r="B11" s="33" t="s">
        <v>56</v>
      </c>
      <c r="C11" s="33" t="s">
        <v>57</v>
      </c>
      <c r="D11" s="34">
        <v>2581771.6524800002</v>
      </c>
      <c r="E11" s="34">
        <v>590000</v>
      </c>
      <c r="F11" s="34">
        <f t="shared" si="0"/>
        <v>3171771.6524800002</v>
      </c>
      <c r="G11" s="35">
        <v>410347.6</v>
      </c>
      <c r="H11" s="36">
        <f t="shared" si="1"/>
        <v>0.12937488727448276</v>
      </c>
      <c r="I11" s="34">
        <v>27800</v>
      </c>
      <c r="J11" s="34">
        <f t="shared" si="2"/>
        <v>3199571.6524800002</v>
      </c>
    </row>
    <row r="12" spans="2:10">
      <c r="B12" s="33" t="s">
        <v>58</v>
      </c>
      <c r="C12" s="33" t="s">
        <v>59</v>
      </c>
      <c r="D12" s="34">
        <v>985214.00187000004</v>
      </c>
      <c r="E12" s="34">
        <v>60000</v>
      </c>
      <c r="F12" s="34">
        <f t="shared" si="0"/>
        <v>1045214.00187</v>
      </c>
      <c r="G12" s="35">
        <v>239900</v>
      </c>
      <c r="H12" s="36">
        <f t="shared" si="1"/>
        <v>0.22952237491154265</v>
      </c>
      <c r="I12" s="34">
        <v>880</v>
      </c>
      <c r="J12" s="34">
        <f t="shared" si="2"/>
        <v>1046094.00187</v>
      </c>
    </row>
    <row r="13" spans="2:10">
      <c r="B13" s="33" t="s">
        <v>60</v>
      </c>
      <c r="C13" s="33" t="s">
        <v>14</v>
      </c>
      <c r="D13" s="34">
        <v>5690724.4800000004</v>
      </c>
      <c r="E13" s="34">
        <v>450000</v>
      </c>
      <c r="F13" s="34">
        <f t="shared" si="0"/>
        <v>6140724.4800000004</v>
      </c>
      <c r="G13" s="35">
        <v>1322688</v>
      </c>
      <c r="H13" s="36">
        <f t="shared" si="1"/>
        <v>0.21539608303676896</v>
      </c>
      <c r="I13" s="34">
        <v>20000</v>
      </c>
      <c r="J13" s="34">
        <f t="shared" si="2"/>
        <v>6160724.4800000004</v>
      </c>
    </row>
    <row r="14" spans="2:10">
      <c r="B14" s="33" t="s">
        <v>61</v>
      </c>
      <c r="C14" s="33" t="s">
        <v>19</v>
      </c>
      <c r="D14" s="34">
        <v>363683.98723999999</v>
      </c>
      <c r="E14" s="34">
        <v>200000</v>
      </c>
      <c r="F14" s="34">
        <f t="shared" si="0"/>
        <v>563683.98723999993</v>
      </c>
      <c r="G14" s="35">
        <v>102179.404920122</v>
      </c>
      <c r="H14" s="36">
        <f t="shared" si="1"/>
        <v>0.18127072479108236</v>
      </c>
      <c r="I14" s="34">
        <v>4000</v>
      </c>
      <c r="J14" s="34">
        <f t="shared" si="2"/>
        <v>567683.98723999993</v>
      </c>
    </row>
    <row r="15" spans="2:10">
      <c r="B15" s="33" t="s">
        <v>62</v>
      </c>
      <c r="C15" s="33" t="s">
        <v>26</v>
      </c>
      <c r="D15" s="34">
        <v>565310.51331199997</v>
      </c>
      <c r="E15" s="34">
        <v>120000</v>
      </c>
      <c r="F15" s="34">
        <f t="shared" si="0"/>
        <v>685310.51331199997</v>
      </c>
      <c r="G15" s="35">
        <v>31360.57</v>
      </c>
      <c r="H15" s="36">
        <f t="shared" si="1"/>
        <v>4.5761110315438183E-2</v>
      </c>
      <c r="I15" s="34">
        <v>5000</v>
      </c>
      <c r="J15" s="34">
        <f t="shared" si="2"/>
        <v>690310.51331199997</v>
      </c>
    </row>
    <row r="16" spans="2:10">
      <c r="B16" s="37" t="s">
        <v>63</v>
      </c>
      <c r="C16" s="37"/>
      <c r="D16" s="38">
        <f>SUM(D4:D15)</f>
        <v>30511794.426853999</v>
      </c>
      <c r="E16" s="38">
        <f>SUM(E4:E15)</f>
        <v>6362000</v>
      </c>
      <c r="F16" s="38">
        <f>SUM(F4:F15)</f>
        <v>36873794.426853999</v>
      </c>
      <c r="G16" s="38">
        <f>SUM(G4:G15)</f>
        <v>5760877.8615867924</v>
      </c>
      <c r="H16" s="39">
        <f t="shared" si="1"/>
        <v>0.15623230402866622</v>
      </c>
      <c r="I16" s="38">
        <f>SUM(I4:I15)</f>
        <v>222829.32968324999</v>
      </c>
      <c r="J16" s="38">
        <f>SUM(J4:J15)</f>
        <v>37096623.756537244</v>
      </c>
    </row>
  </sheetData>
  <pageMargins left="0.7" right="0.7" top="0.75" bottom="0.75" header="0.51180555555555496" footer="0.51180555555555496"/>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MJ34"/>
  <sheetViews>
    <sheetView tabSelected="1" topLeftCell="A7" zoomScale="55" zoomScaleNormal="55" workbookViewId="0">
      <selection activeCell="I15" sqref="I15"/>
    </sheetView>
  </sheetViews>
  <sheetFormatPr defaultRowHeight="15"/>
  <cols>
    <col min="1" max="1025" width="12" customWidth="1"/>
  </cols>
  <sheetData>
    <row r="2" spans="1:1024" s="44" customFormat="1" ht="21">
      <c r="A2"/>
      <c r="B2" s="40" t="s">
        <v>64</v>
      </c>
      <c r="C2" s="41"/>
      <c r="D2" s="42"/>
      <c r="E2" s="42"/>
      <c r="F2" s="43"/>
    </row>
    <row r="3" spans="1:1024" s="44" customFormat="1" ht="57">
      <c r="A3"/>
      <c r="D3" s="45"/>
      <c r="E3" s="45"/>
      <c r="F3" s="46"/>
      <c r="H3" s="47" t="s">
        <v>65</v>
      </c>
      <c r="I3" s="47" t="s">
        <v>66</v>
      </c>
      <c r="J3" s="47" t="s">
        <v>67</v>
      </c>
      <c r="K3" s="47" t="s">
        <v>68</v>
      </c>
      <c r="L3" s="47" t="s">
        <v>69</v>
      </c>
      <c r="M3" s="48" t="s">
        <v>70</v>
      </c>
      <c r="N3" s="47" t="s">
        <v>71</v>
      </c>
      <c r="O3" s="47" t="s">
        <v>72</v>
      </c>
      <c r="P3" s="47" t="s">
        <v>73</v>
      </c>
      <c r="Q3" s="47" t="s">
        <v>74</v>
      </c>
      <c r="R3" s="47" t="s">
        <v>75</v>
      </c>
      <c r="S3" s="47" t="s">
        <v>76</v>
      </c>
      <c r="T3" s="47" t="s">
        <v>77</v>
      </c>
      <c r="U3" s="47" t="s">
        <v>78</v>
      </c>
      <c r="V3" s="47" t="s">
        <v>79</v>
      </c>
      <c r="W3" s="47" t="s">
        <v>80</v>
      </c>
      <c r="X3" s="47" t="s">
        <v>81</v>
      </c>
      <c r="Y3" s="47" t="s">
        <v>82</v>
      </c>
      <c r="Z3" s="47" t="s">
        <v>83</v>
      </c>
      <c r="AA3" s="47" t="s">
        <v>84</v>
      </c>
      <c r="AB3" s="47" t="s">
        <v>85</v>
      </c>
      <c r="AC3" s="47" t="s">
        <v>86</v>
      </c>
      <c r="AD3" s="47" t="s">
        <v>87</v>
      </c>
      <c r="AE3" s="47" t="s">
        <v>88</v>
      </c>
      <c r="AF3" s="47" t="s">
        <v>89</v>
      </c>
      <c r="AG3" s="47" t="s">
        <v>90</v>
      </c>
      <c r="AH3" s="47" t="s">
        <v>91</v>
      </c>
      <c r="AI3" s="47" t="s">
        <v>92</v>
      </c>
      <c r="AJ3" s="47" t="s">
        <v>93</v>
      </c>
      <c r="AK3" s="47" t="s">
        <v>94</v>
      </c>
      <c r="AL3" s="47" t="s">
        <v>95</v>
      </c>
      <c r="AM3" s="47" t="s">
        <v>96</v>
      </c>
      <c r="AN3" s="47" t="s">
        <v>97</v>
      </c>
      <c r="AO3" s="49"/>
    </row>
    <row r="4" spans="1:1024" s="44" customFormat="1" ht="30">
      <c r="A4"/>
      <c r="B4" s="50" t="s">
        <v>0</v>
      </c>
      <c r="C4" s="50" t="s">
        <v>98</v>
      </c>
      <c r="D4" s="50" t="s">
        <v>99</v>
      </c>
      <c r="E4" s="50" t="s">
        <v>100</v>
      </c>
      <c r="F4" s="50" t="s">
        <v>101</v>
      </c>
      <c r="G4" s="50" t="s">
        <v>102</v>
      </c>
      <c r="H4" s="51" t="s">
        <v>103</v>
      </c>
      <c r="I4" s="51" t="s">
        <v>104</v>
      </c>
      <c r="J4" s="51" t="s">
        <v>105</v>
      </c>
      <c r="K4" s="51" t="s">
        <v>106</v>
      </c>
      <c r="L4" s="51" t="s">
        <v>107</v>
      </c>
      <c r="M4" s="52" t="s">
        <v>108</v>
      </c>
      <c r="N4" s="51" t="s">
        <v>109</v>
      </c>
      <c r="O4" s="51" t="s">
        <v>110</v>
      </c>
      <c r="P4" s="51" t="s">
        <v>111</v>
      </c>
      <c r="Q4" s="51" t="s">
        <v>112</v>
      </c>
      <c r="R4" s="51" t="s">
        <v>113</v>
      </c>
      <c r="S4" s="51" t="s">
        <v>114</v>
      </c>
      <c r="T4" s="51" t="s">
        <v>112</v>
      </c>
      <c r="U4" s="51" t="s">
        <v>115</v>
      </c>
      <c r="V4" s="51" t="s">
        <v>116</v>
      </c>
      <c r="W4" s="51" t="s">
        <v>117</v>
      </c>
      <c r="X4" s="51" t="s">
        <v>118</v>
      </c>
      <c r="Y4" s="51" t="s">
        <v>119</v>
      </c>
      <c r="Z4" s="51" t="s">
        <v>120</v>
      </c>
      <c r="AA4" s="51" t="s">
        <v>121</v>
      </c>
      <c r="AB4" s="51" t="s">
        <v>122</v>
      </c>
      <c r="AC4" s="51" t="s">
        <v>123</v>
      </c>
      <c r="AD4" s="51" t="s">
        <v>124</v>
      </c>
      <c r="AE4" s="51" t="s">
        <v>125</v>
      </c>
      <c r="AF4" s="51" t="s">
        <v>126</v>
      </c>
      <c r="AG4" s="51" t="s">
        <v>127</v>
      </c>
      <c r="AH4" s="51" t="s">
        <v>128</v>
      </c>
      <c r="AI4" s="51" t="s">
        <v>129</v>
      </c>
      <c r="AJ4" s="51" t="s">
        <v>130</v>
      </c>
      <c r="AK4" s="51" t="s">
        <v>131</v>
      </c>
      <c r="AL4" s="51" t="s">
        <v>132</v>
      </c>
      <c r="AM4" s="51" t="s">
        <v>133</v>
      </c>
      <c r="AN4" s="51" t="s">
        <v>134</v>
      </c>
      <c r="AO4" s="53" t="s">
        <v>135</v>
      </c>
    </row>
    <row r="5" spans="1:1024" s="61" customFormat="1" ht="105">
      <c r="A5"/>
      <c r="B5" s="54" t="s">
        <v>52</v>
      </c>
      <c r="C5" s="55" t="s">
        <v>136</v>
      </c>
      <c r="D5" s="54" t="s">
        <v>137</v>
      </c>
      <c r="E5" s="54" t="s">
        <v>138</v>
      </c>
      <c r="F5" s="54" t="s">
        <v>139</v>
      </c>
      <c r="G5" s="55" t="s">
        <v>140</v>
      </c>
      <c r="H5" s="56">
        <v>2</v>
      </c>
      <c r="I5" s="56">
        <v>1</v>
      </c>
      <c r="J5" s="57">
        <v>1</v>
      </c>
      <c r="K5" s="57" t="s">
        <v>21</v>
      </c>
      <c r="L5" s="58">
        <v>1</v>
      </c>
      <c r="M5" s="56" t="s">
        <v>21</v>
      </c>
      <c r="N5" s="59">
        <v>2</v>
      </c>
      <c r="O5" s="57">
        <v>2</v>
      </c>
      <c r="P5" s="57" t="s">
        <v>21</v>
      </c>
      <c r="Q5" s="57" t="s">
        <v>21</v>
      </c>
      <c r="R5" s="57" t="s">
        <v>21</v>
      </c>
      <c r="S5" s="57" t="s">
        <v>21</v>
      </c>
      <c r="T5" s="57" t="s">
        <v>21</v>
      </c>
      <c r="U5" s="57" t="s">
        <v>21</v>
      </c>
      <c r="V5" s="57" t="s">
        <v>21</v>
      </c>
      <c r="W5" s="57">
        <v>1</v>
      </c>
      <c r="X5" s="57" t="s">
        <v>21</v>
      </c>
      <c r="Y5" s="57">
        <v>1</v>
      </c>
      <c r="Z5" s="57" t="s">
        <v>21</v>
      </c>
      <c r="AA5" s="57" t="s">
        <v>21</v>
      </c>
      <c r="AB5" s="57" t="s">
        <v>141</v>
      </c>
      <c r="AC5" s="57" t="s">
        <v>142</v>
      </c>
      <c r="AD5" s="57" t="s">
        <v>21</v>
      </c>
      <c r="AE5" s="57" t="s">
        <v>21</v>
      </c>
      <c r="AF5" s="57" t="s">
        <v>21</v>
      </c>
      <c r="AG5" s="57" t="s">
        <v>21</v>
      </c>
      <c r="AH5" s="57" t="s">
        <v>21</v>
      </c>
      <c r="AI5" s="57" t="s">
        <v>21</v>
      </c>
      <c r="AJ5" s="57" t="s">
        <v>21</v>
      </c>
      <c r="AK5" s="57" t="s">
        <v>21</v>
      </c>
      <c r="AL5" s="57" t="s">
        <v>21</v>
      </c>
      <c r="AM5" s="57" t="s">
        <v>21</v>
      </c>
      <c r="AN5" s="57" t="s">
        <v>21</v>
      </c>
      <c r="AO5" s="60">
        <v>11</v>
      </c>
      <c r="AMJ5" s="44"/>
    </row>
    <row r="6" spans="1:1024" s="61" customFormat="1" ht="105">
      <c r="A6"/>
      <c r="B6" s="54" t="s">
        <v>52</v>
      </c>
      <c r="C6" s="55" t="s">
        <v>143</v>
      </c>
      <c r="D6" s="54" t="s">
        <v>137</v>
      </c>
      <c r="E6" s="54" t="s">
        <v>138</v>
      </c>
      <c r="F6" s="54" t="s">
        <v>144</v>
      </c>
      <c r="G6" s="55" t="s">
        <v>140</v>
      </c>
      <c r="H6" s="56" t="s">
        <v>21</v>
      </c>
      <c r="I6" s="56">
        <v>1</v>
      </c>
      <c r="J6" s="57">
        <v>2</v>
      </c>
      <c r="K6" s="57">
        <v>1</v>
      </c>
      <c r="L6" s="58" t="s">
        <v>21</v>
      </c>
      <c r="M6" s="56" t="s">
        <v>21</v>
      </c>
      <c r="N6" s="59" t="s">
        <v>21</v>
      </c>
      <c r="O6" s="57" t="s">
        <v>21</v>
      </c>
      <c r="P6" s="57" t="s">
        <v>21</v>
      </c>
      <c r="Q6" s="57" t="s">
        <v>21</v>
      </c>
      <c r="R6" s="57" t="s">
        <v>21</v>
      </c>
      <c r="S6" s="57" t="s">
        <v>21</v>
      </c>
      <c r="T6" s="57" t="s">
        <v>21</v>
      </c>
      <c r="U6" s="57" t="s">
        <v>21</v>
      </c>
      <c r="V6" s="57" t="s">
        <v>21</v>
      </c>
      <c r="W6" s="57" t="s">
        <v>21</v>
      </c>
      <c r="X6" s="57" t="s">
        <v>21</v>
      </c>
      <c r="Y6" s="57" t="s">
        <v>21</v>
      </c>
      <c r="Z6" s="57" t="s">
        <v>21</v>
      </c>
      <c r="AA6" s="57" t="s">
        <v>21</v>
      </c>
      <c r="AB6" s="57" t="s">
        <v>21</v>
      </c>
      <c r="AC6" s="57" t="s">
        <v>21</v>
      </c>
      <c r="AD6" s="57" t="s">
        <v>21</v>
      </c>
      <c r="AE6" s="57" t="s">
        <v>21</v>
      </c>
      <c r="AF6" s="57" t="s">
        <v>21</v>
      </c>
      <c r="AG6" s="57" t="s">
        <v>21</v>
      </c>
      <c r="AH6" s="57" t="s">
        <v>21</v>
      </c>
      <c r="AI6" s="57" t="s">
        <v>21</v>
      </c>
      <c r="AJ6" s="57" t="s">
        <v>21</v>
      </c>
      <c r="AK6" s="57" t="s">
        <v>21</v>
      </c>
      <c r="AL6" s="57" t="s">
        <v>21</v>
      </c>
      <c r="AM6" s="57" t="s">
        <v>21</v>
      </c>
      <c r="AN6" s="57" t="s">
        <v>21</v>
      </c>
      <c r="AO6" s="60">
        <v>4</v>
      </c>
      <c r="AMJ6" s="44"/>
    </row>
    <row r="7" spans="1:1024" s="61" customFormat="1" ht="105">
      <c r="A7"/>
      <c r="B7" s="54" t="s">
        <v>52</v>
      </c>
      <c r="C7" s="55" t="s">
        <v>145</v>
      </c>
      <c r="D7" s="54" t="s">
        <v>146</v>
      </c>
      <c r="E7" s="54" t="s">
        <v>138</v>
      </c>
      <c r="F7" s="54" t="s">
        <v>147</v>
      </c>
      <c r="G7" s="55" t="s">
        <v>148</v>
      </c>
      <c r="H7" s="56">
        <v>1</v>
      </c>
      <c r="I7" s="56">
        <v>2</v>
      </c>
      <c r="J7" s="56">
        <v>1</v>
      </c>
      <c r="K7" s="56">
        <v>1</v>
      </c>
      <c r="L7" s="62" t="s">
        <v>21</v>
      </c>
      <c r="M7" s="56">
        <v>1</v>
      </c>
      <c r="N7" s="63">
        <v>1</v>
      </c>
      <c r="O7" s="56">
        <v>1</v>
      </c>
      <c r="P7" s="56" t="s">
        <v>21</v>
      </c>
      <c r="Q7" s="56" t="s">
        <v>21</v>
      </c>
      <c r="R7" s="57" t="s">
        <v>21</v>
      </c>
      <c r="S7" s="57" t="s">
        <v>21</v>
      </c>
      <c r="T7" s="57" t="s">
        <v>21</v>
      </c>
      <c r="U7" s="57" t="s">
        <v>21</v>
      </c>
      <c r="V7" s="57">
        <v>1</v>
      </c>
      <c r="W7" s="57">
        <v>1</v>
      </c>
      <c r="X7" s="57" t="s">
        <v>21</v>
      </c>
      <c r="Y7" s="57" t="s">
        <v>141</v>
      </c>
      <c r="Z7" s="57" t="s">
        <v>21</v>
      </c>
      <c r="AA7" s="57" t="s">
        <v>21</v>
      </c>
      <c r="AB7" s="57" t="s">
        <v>141</v>
      </c>
      <c r="AC7" s="57">
        <v>1</v>
      </c>
      <c r="AD7" s="57" t="s">
        <v>21</v>
      </c>
      <c r="AE7" s="57" t="s">
        <v>21</v>
      </c>
      <c r="AF7" s="57" t="s">
        <v>21</v>
      </c>
      <c r="AG7" s="57" t="s">
        <v>21</v>
      </c>
      <c r="AH7" s="57" t="s">
        <v>21</v>
      </c>
      <c r="AI7" s="57" t="s">
        <v>21</v>
      </c>
      <c r="AJ7" s="57" t="s">
        <v>21</v>
      </c>
      <c r="AK7" s="57" t="s">
        <v>21</v>
      </c>
      <c r="AL7" s="57" t="s">
        <v>21</v>
      </c>
      <c r="AM7" s="57" t="s">
        <v>21</v>
      </c>
      <c r="AN7" s="57" t="s">
        <v>21</v>
      </c>
      <c r="AO7" s="60">
        <v>11</v>
      </c>
      <c r="AMJ7" s="44"/>
    </row>
    <row r="8" spans="1:1024" s="61" customFormat="1" ht="105">
      <c r="A8"/>
      <c r="B8" s="54" t="s">
        <v>52</v>
      </c>
      <c r="C8" s="55" t="s">
        <v>149</v>
      </c>
      <c r="D8" s="54" t="s">
        <v>150</v>
      </c>
      <c r="E8" s="54" t="s">
        <v>138</v>
      </c>
      <c r="F8" s="54" t="s">
        <v>151</v>
      </c>
      <c r="G8" s="55" t="s">
        <v>152</v>
      </c>
      <c r="H8" s="57">
        <v>4075</v>
      </c>
      <c r="I8" s="56">
        <v>2967</v>
      </c>
      <c r="J8" s="56">
        <v>5958</v>
      </c>
      <c r="K8" s="56">
        <v>4088</v>
      </c>
      <c r="L8" s="62">
        <v>523</v>
      </c>
      <c r="M8" s="56">
        <v>4650</v>
      </c>
      <c r="N8" s="63">
        <v>295</v>
      </c>
      <c r="O8" s="56">
        <v>446</v>
      </c>
      <c r="P8" s="56">
        <v>6</v>
      </c>
      <c r="Q8" s="56">
        <v>82</v>
      </c>
      <c r="R8" s="57" t="s">
        <v>21</v>
      </c>
      <c r="S8" s="57">
        <v>1831</v>
      </c>
      <c r="T8" s="57" t="s">
        <v>21</v>
      </c>
      <c r="U8" s="57">
        <v>95</v>
      </c>
      <c r="V8" s="57">
        <v>564</v>
      </c>
      <c r="W8" s="57">
        <v>311</v>
      </c>
      <c r="X8" s="57" t="s">
        <v>21</v>
      </c>
      <c r="Y8" s="57">
        <v>9</v>
      </c>
      <c r="Z8" s="57">
        <v>641</v>
      </c>
      <c r="AA8" s="57">
        <v>5508</v>
      </c>
      <c r="AB8" s="57">
        <v>184</v>
      </c>
      <c r="AC8" s="57">
        <v>405</v>
      </c>
      <c r="AD8" s="57">
        <v>303</v>
      </c>
      <c r="AE8" s="57" t="s">
        <v>21</v>
      </c>
      <c r="AF8" s="57" t="s">
        <v>21</v>
      </c>
      <c r="AG8" s="57" t="s">
        <v>21</v>
      </c>
      <c r="AH8" s="57" t="s">
        <v>21</v>
      </c>
      <c r="AI8" s="57" t="s">
        <v>21</v>
      </c>
      <c r="AJ8" s="57" t="s">
        <v>21</v>
      </c>
      <c r="AK8" s="57" t="s">
        <v>21</v>
      </c>
      <c r="AL8" s="57" t="s">
        <v>21</v>
      </c>
      <c r="AM8" s="57" t="s">
        <v>21</v>
      </c>
      <c r="AN8" s="57" t="s">
        <v>21</v>
      </c>
      <c r="AO8" s="60">
        <v>34141</v>
      </c>
      <c r="AMJ8" s="44"/>
    </row>
    <row r="9" spans="1:1024" s="61" customFormat="1" ht="105">
      <c r="A9"/>
      <c r="B9" s="54" t="s">
        <v>52</v>
      </c>
      <c r="C9" s="55" t="s">
        <v>153</v>
      </c>
      <c r="D9" s="54" t="s">
        <v>154</v>
      </c>
      <c r="E9" s="54" t="s">
        <v>138</v>
      </c>
      <c r="F9" s="54" t="s">
        <v>155</v>
      </c>
      <c r="G9" s="55" t="s">
        <v>156</v>
      </c>
      <c r="H9" s="56" t="s">
        <v>21</v>
      </c>
      <c r="I9" s="56" t="s">
        <v>21</v>
      </c>
      <c r="J9" s="56" t="s">
        <v>21</v>
      </c>
      <c r="K9" s="57" t="s">
        <v>157</v>
      </c>
      <c r="L9" s="58" t="s">
        <v>21</v>
      </c>
      <c r="M9" s="56" t="s">
        <v>21</v>
      </c>
      <c r="N9" s="63" t="s">
        <v>21</v>
      </c>
      <c r="O9" s="56" t="s">
        <v>21</v>
      </c>
      <c r="P9" s="56" t="s">
        <v>21</v>
      </c>
      <c r="Q9" s="56" t="s">
        <v>21</v>
      </c>
      <c r="R9" s="57" t="s">
        <v>21</v>
      </c>
      <c r="S9" s="57" t="s">
        <v>21</v>
      </c>
      <c r="T9" s="57" t="s">
        <v>21</v>
      </c>
      <c r="U9" s="57" t="s">
        <v>141</v>
      </c>
      <c r="V9" s="57" t="s">
        <v>141</v>
      </c>
      <c r="W9" s="57" t="s">
        <v>141</v>
      </c>
      <c r="X9" s="57" t="s">
        <v>141</v>
      </c>
      <c r="Y9" s="57" t="s">
        <v>141</v>
      </c>
      <c r="Z9" s="57" t="s">
        <v>141</v>
      </c>
      <c r="AA9" s="57" t="s">
        <v>141</v>
      </c>
      <c r="AB9" s="57" t="s">
        <v>141</v>
      </c>
      <c r="AC9" s="57" t="s">
        <v>141</v>
      </c>
      <c r="AD9" s="57" t="s">
        <v>141</v>
      </c>
      <c r="AE9" s="57" t="s">
        <v>21</v>
      </c>
      <c r="AF9" s="57" t="s">
        <v>21</v>
      </c>
      <c r="AG9" s="57" t="s">
        <v>21</v>
      </c>
      <c r="AH9" s="57" t="s">
        <v>21</v>
      </c>
      <c r="AI9" s="57" t="s">
        <v>21</v>
      </c>
      <c r="AJ9" s="57" t="s">
        <v>21</v>
      </c>
      <c r="AK9" s="57" t="s">
        <v>141</v>
      </c>
      <c r="AL9" s="57" t="s">
        <v>141</v>
      </c>
      <c r="AM9" s="57" t="s">
        <v>141</v>
      </c>
      <c r="AN9" s="57" t="s">
        <v>141</v>
      </c>
      <c r="AO9" s="60" t="s">
        <v>157</v>
      </c>
      <c r="AMJ9" s="44"/>
    </row>
    <row r="10" spans="1:1024" s="61" customFormat="1" ht="105">
      <c r="A10"/>
      <c r="B10" s="64" t="s">
        <v>52</v>
      </c>
      <c r="C10" s="65" t="s">
        <v>158</v>
      </c>
      <c r="D10" s="64" t="s">
        <v>159</v>
      </c>
      <c r="E10" s="64" t="s">
        <v>138</v>
      </c>
      <c r="F10" s="64" t="s">
        <v>160</v>
      </c>
      <c r="G10" s="65" t="s">
        <v>161</v>
      </c>
      <c r="H10" s="57">
        <v>4</v>
      </c>
      <c r="I10" s="57" t="s">
        <v>21</v>
      </c>
      <c r="J10" s="57">
        <v>11</v>
      </c>
      <c r="K10" s="57">
        <v>5</v>
      </c>
      <c r="L10" s="58">
        <v>6</v>
      </c>
      <c r="M10" s="56"/>
      <c r="N10" s="59" t="s">
        <v>21</v>
      </c>
      <c r="O10" s="57" t="s">
        <v>21</v>
      </c>
      <c r="P10" s="57">
        <v>4</v>
      </c>
      <c r="Q10" s="57">
        <v>2</v>
      </c>
      <c r="R10" s="57" t="s">
        <v>21</v>
      </c>
      <c r="S10" s="57">
        <v>26</v>
      </c>
      <c r="T10" s="57" t="s">
        <v>21</v>
      </c>
      <c r="U10" s="57" t="s">
        <v>21</v>
      </c>
      <c r="V10" s="57" t="s">
        <v>141</v>
      </c>
      <c r="W10" s="57" t="s">
        <v>141</v>
      </c>
      <c r="X10" s="57" t="s">
        <v>21</v>
      </c>
      <c r="Y10" s="57" t="s">
        <v>141</v>
      </c>
      <c r="Z10" s="57" t="s">
        <v>21</v>
      </c>
      <c r="AA10" s="57" t="s">
        <v>141</v>
      </c>
      <c r="AB10" s="57" t="s">
        <v>141</v>
      </c>
      <c r="AC10" s="57" t="s">
        <v>21</v>
      </c>
      <c r="AD10" s="57" t="s">
        <v>21</v>
      </c>
      <c r="AE10" s="57" t="s">
        <v>21</v>
      </c>
      <c r="AF10" s="57" t="s">
        <v>21</v>
      </c>
      <c r="AG10" s="57" t="s">
        <v>21</v>
      </c>
      <c r="AH10" s="57" t="s">
        <v>21</v>
      </c>
      <c r="AI10" s="57" t="s">
        <v>21</v>
      </c>
      <c r="AJ10" s="57" t="s">
        <v>21</v>
      </c>
      <c r="AK10" s="57" t="s">
        <v>21</v>
      </c>
      <c r="AL10" s="57" t="s">
        <v>21</v>
      </c>
      <c r="AM10" s="57" t="s">
        <v>21</v>
      </c>
      <c r="AN10" s="57" t="s">
        <v>21</v>
      </c>
      <c r="AO10" s="60">
        <v>58</v>
      </c>
      <c r="AMJ10" s="44"/>
    </row>
    <row r="11" spans="1:1024" s="61" customFormat="1" ht="105">
      <c r="A11"/>
      <c r="B11" s="54" t="s">
        <v>52</v>
      </c>
      <c r="C11" s="55" t="s">
        <v>162</v>
      </c>
      <c r="D11" s="54" t="s">
        <v>163</v>
      </c>
      <c r="E11" s="54" t="s">
        <v>138</v>
      </c>
      <c r="F11" s="54" t="s">
        <v>164</v>
      </c>
      <c r="G11" s="55" t="s">
        <v>165</v>
      </c>
      <c r="H11" s="56">
        <v>1</v>
      </c>
      <c r="I11" s="56">
        <v>2</v>
      </c>
      <c r="J11" s="56">
        <v>1</v>
      </c>
      <c r="K11" s="56">
        <v>3</v>
      </c>
      <c r="L11" s="62" t="s">
        <v>21</v>
      </c>
      <c r="M11" s="56">
        <v>2</v>
      </c>
      <c r="N11" s="63">
        <v>1</v>
      </c>
      <c r="O11" s="56">
        <v>1</v>
      </c>
      <c r="P11" s="56" t="s">
        <v>21</v>
      </c>
      <c r="Q11" s="56" t="s">
        <v>21</v>
      </c>
      <c r="R11" s="57" t="s">
        <v>21</v>
      </c>
      <c r="S11" s="57" t="s">
        <v>21</v>
      </c>
      <c r="T11" s="57" t="s">
        <v>21</v>
      </c>
      <c r="U11" s="57" t="s">
        <v>21</v>
      </c>
      <c r="V11" s="57" t="s">
        <v>141</v>
      </c>
      <c r="W11" s="57" t="s">
        <v>141</v>
      </c>
      <c r="X11" s="57" t="s">
        <v>21</v>
      </c>
      <c r="Y11" s="57" t="s">
        <v>141</v>
      </c>
      <c r="Z11" s="57" t="s">
        <v>21</v>
      </c>
      <c r="AA11" s="57" t="s">
        <v>21</v>
      </c>
      <c r="AB11" s="57" t="s">
        <v>141</v>
      </c>
      <c r="AC11" s="57">
        <v>1</v>
      </c>
      <c r="AD11" s="57" t="s">
        <v>21</v>
      </c>
      <c r="AE11" s="57" t="s">
        <v>21</v>
      </c>
      <c r="AF11" s="57" t="s">
        <v>21</v>
      </c>
      <c r="AG11" s="57" t="s">
        <v>21</v>
      </c>
      <c r="AH11" s="57" t="s">
        <v>21</v>
      </c>
      <c r="AI11" s="57" t="s">
        <v>21</v>
      </c>
      <c r="AJ11" s="57" t="s">
        <v>21</v>
      </c>
      <c r="AK11" s="57" t="s">
        <v>21</v>
      </c>
      <c r="AL11" s="57" t="s">
        <v>21</v>
      </c>
      <c r="AM11" s="57" t="s">
        <v>21</v>
      </c>
      <c r="AN11" s="57" t="s">
        <v>21</v>
      </c>
      <c r="AO11" s="60">
        <v>12</v>
      </c>
      <c r="AMJ11" s="44"/>
    </row>
    <row r="12" spans="1:1024" s="61" customFormat="1" ht="120">
      <c r="A12"/>
      <c r="B12" s="54" t="s">
        <v>52</v>
      </c>
      <c r="C12" s="55" t="s">
        <v>166</v>
      </c>
      <c r="D12" s="54" t="s">
        <v>167</v>
      </c>
      <c r="E12" s="54" t="s">
        <v>138</v>
      </c>
      <c r="F12" s="54" t="s">
        <v>168</v>
      </c>
      <c r="G12" s="55" t="s">
        <v>169</v>
      </c>
      <c r="H12" s="57">
        <v>3715</v>
      </c>
      <c r="I12" s="57">
        <v>2412</v>
      </c>
      <c r="J12" s="56">
        <v>24</v>
      </c>
      <c r="K12" s="56">
        <v>3312</v>
      </c>
      <c r="L12" s="62" t="s">
        <v>21</v>
      </c>
      <c r="M12" s="56">
        <v>4650</v>
      </c>
      <c r="N12" s="63">
        <v>295</v>
      </c>
      <c r="O12" s="56">
        <v>446</v>
      </c>
      <c r="P12" s="56" t="s">
        <v>21</v>
      </c>
      <c r="Q12" s="56" t="s">
        <v>21</v>
      </c>
      <c r="R12" s="57" t="s">
        <v>21</v>
      </c>
      <c r="S12" s="57" t="s">
        <v>21</v>
      </c>
      <c r="T12" s="57" t="s">
        <v>21</v>
      </c>
      <c r="U12" s="57" t="s">
        <v>21</v>
      </c>
      <c r="V12" s="57">
        <v>564</v>
      </c>
      <c r="W12" s="57">
        <v>311</v>
      </c>
      <c r="X12" s="57" t="s">
        <v>21</v>
      </c>
      <c r="Y12" s="57">
        <v>9</v>
      </c>
      <c r="Z12" s="57">
        <v>641</v>
      </c>
      <c r="AA12" s="57" t="s">
        <v>21</v>
      </c>
      <c r="AB12" s="57">
        <v>184</v>
      </c>
      <c r="AC12" s="57">
        <v>405</v>
      </c>
      <c r="AD12" s="57">
        <v>303</v>
      </c>
      <c r="AE12" s="57" t="s">
        <v>21</v>
      </c>
      <c r="AF12" s="57" t="s">
        <v>21</v>
      </c>
      <c r="AG12" s="57" t="s">
        <v>21</v>
      </c>
      <c r="AH12" s="57" t="s">
        <v>21</v>
      </c>
      <c r="AI12" s="57" t="s">
        <v>21</v>
      </c>
      <c r="AJ12" s="57" t="s">
        <v>21</v>
      </c>
      <c r="AK12" s="57" t="s">
        <v>21</v>
      </c>
      <c r="AL12" s="57" t="s">
        <v>21</v>
      </c>
      <c r="AM12" s="57" t="s">
        <v>21</v>
      </c>
      <c r="AN12" s="57" t="s">
        <v>21</v>
      </c>
      <c r="AO12" s="60">
        <v>19757</v>
      </c>
      <c r="AMJ12" s="44"/>
    </row>
    <row r="13" spans="1:1024" s="44" customFormat="1" ht="45">
      <c r="A13"/>
      <c r="B13" s="66" t="s">
        <v>52</v>
      </c>
      <c r="C13" s="67" t="s">
        <v>170</v>
      </c>
      <c r="D13" s="66" t="s">
        <v>171</v>
      </c>
      <c r="E13" s="66" t="s">
        <v>172</v>
      </c>
      <c r="F13" s="66" t="s">
        <v>173</v>
      </c>
      <c r="G13" s="67" t="s">
        <v>152</v>
      </c>
      <c r="H13" s="68">
        <v>4075</v>
      </c>
      <c r="I13" s="68">
        <v>2967</v>
      </c>
      <c r="J13" s="68">
        <v>5958</v>
      </c>
      <c r="K13" s="68">
        <v>4088</v>
      </c>
      <c r="L13" s="69">
        <v>523</v>
      </c>
      <c r="M13" s="70">
        <v>4650</v>
      </c>
      <c r="N13" s="71">
        <v>295</v>
      </c>
      <c r="O13" s="68">
        <v>446</v>
      </c>
      <c r="P13" s="68">
        <v>6</v>
      </c>
      <c r="Q13" s="68">
        <v>82</v>
      </c>
      <c r="R13" s="68">
        <v>575</v>
      </c>
      <c r="S13" s="68">
        <v>1831</v>
      </c>
      <c r="T13" s="68">
        <v>4854.6400000000003</v>
      </c>
      <c r="U13" s="57" t="s">
        <v>21</v>
      </c>
      <c r="V13" s="68">
        <v>564</v>
      </c>
      <c r="W13" s="68">
        <v>311</v>
      </c>
      <c r="X13" s="68">
        <v>1154</v>
      </c>
      <c r="Y13" s="68">
        <v>9</v>
      </c>
      <c r="Z13" s="68">
        <v>641</v>
      </c>
      <c r="AA13" s="68">
        <v>5508</v>
      </c>
      <c r="AB13" s="68">
        <v>184</v>
      </c>
      <c r="AC13" s="68">
        <v>405</v>
      </c>
      <c r="AD13" s="68">
        <v>303</v>
      </c>
      <c r="AE13" s="68">
        <v>638</v>
      </c>
      <c r="AF13" s="68">
        <v>861</v>
      </c>
      <c r="AG13" s="68">
        <v>275</v>
      </c>
      <c r="AH13" s="68">
        <v>677</v>
      </c>
      <c r="AI13" s="68">
        <v>276</v>
      </c>
      <c r="AJ13" s="68">
        <v>437</v>
      </c>
      <c r="AK13" s="68">
        <v>601</v>
      </c>
      <c r="AL13" s="68">
        <v>370</v>
      </c>
      <c r="AM13" s="68">
        <v>395</v>
      </c>
      <c r="AN13" s="68">
        <v>98</v>
      </c>
      <c r="AO13" s="60">
        <v>45557.64</v>
      </c>
    </row>
    <row r="14" spans="1:1024" s="44" customFormat="1" ht="45">
      <c r="A14"/>
      <c r="B14" s="66" t="s">
        <v>52</v>
      </c>
      <c r="C14" s="67" t="s">
        <v>174</v>
      </c>
      <c r="D14" s="66" t="s">
        <v>175</v>
      </c>
      <c r="E14" s="66" t="s">
        <v>172</v>
      </c>
      <c r="F14" s="66" t="s">
        <v>176</v>
      </c>
      <c r="G14" s="67" t="s">
        <v>177</v>
      </c>
      <c r="H14" s="68" t="s">
        <v>21</v>
      </c>
      <c r="I14" s="68" t="s">
        <v>21</v>
      </c>
      <c r="J14" s="68" t="s">
        <v>21</v>
      </c>
      <c r="K14" s="68">
        <v>1</v>
      </c>
      <c r="L14" s="69" t="s">
        <v>21</v>
      </c>
      <c r="M14" s="70" t="s">
        <v>21</v>
      </c>
      <c r="N14" s="71" t="s">
        <v>21</v>
      </c>
      <c r="O14" s="68" t="s">
        <v>21</v>
      </c>
      <c r="P14" s="68" t="s">
        <v>21</v>
      </c>
      <c r="Q14" s="68" t="s">
        <v>21</v>
      </c>
      <c r="R14" s="68" t="s">
        <v>21</v>
      </c>
      <c r="S14" s="68" t="s">
        <v>141</v>
      </c>
      <c r="T14" s="68" t="s">
        <v>21</v>
      </c>
      <c r="U14" s="57" t="s">
        <v>21</v>
      </c>
      <c r="V14" s="68" t="s">
        <v>21</v>
      </c>
      <c r="W14" s="68" t="s">
        <v>21</v>
      </c>
      <c r="X14" s="68" t="s">
        <v>21</v>
      </c>
      <c r="Y14" s="68" t="s">
        <v>21</v>
      </c>
      <c r="Z14" s="68" t="s">
        <v>21</v>
      </c>
      <c r="AA14" s="68" t="s">
        <v>21</v>
      </c>
      <c r="AB14" s="68" t="s">
        <v>21</v>
      </c>
      <c r="AC14" s="68" t="s">
        <v>21</v>
      </c>
      <c r="AD14" s="68" t="s">
        <v>21</v>
      </c>
      <c r="AE14" s="68" t="s">
        <v>21</v>
      </c>
      <c r="AF14" s="68" t="s">
        <v>21</v>
      </c>
      <c r="AG14" s="68" t="s">
        <v>21</v>
      </c>
      <c r="AH14" s="68" t="s">
        <v>21</v>
      </c>
      <c r="AI14" s="68" t="s">
        <v>21</v>
      </c>
      <c r="AJ14" s="68" t="s">
        <v>21</v>
      </c>
      <c r="AK14" s="68" t="s">
        <v>21</v>
      </c>
      <c r="AL14" s="68" t="s">
        <v>21</v>
      </c>
      <c r="AM14" s="68" t="s">
        <v>21</v>
      </c>
      <c r="AN14" s="68" t="s">
        <v>21</v>
      </c>
      <c r="AO14" s="60">
        <v>1</v>
      </c>
    </row>
    <row r="15" spans="1:1024" s="44" customFormat="1" ht="45">
      <c r="A15"/>
      <c r="B15" s="66" t="s">
        <v>52</v>
      </c>
      <c r="C15" s="67" t="s">
        <v>178</v>
      </c>
      <c r="D15" s="66" t="s">
        <v>179</v>
      </c>
      <c r="E15" s="66" t="s">
        <v>172</v>
      </c>
      <c r="F15" s="66" t="s">
        <v>180</v>
      </c>
      <c r="G15" s="67" t="s">
        <v>181</v>
      </c>
      <c r="H15" s="68">
        <v>43</v>
      </c>
      <c r="I15" s="68">
        <v>23</v>
      </c>
      <c r="J15" s="68">
        <v>32</v>
      </c>
      <c r="K15" s="68">
        <v>22</v>
      </c>
      <c r="L15" s="69">
        <v>8</v>
      </c>
      <c r="M15" s="70">
        <v>34</v>
      </c>
      <c r="N15" s="71" t="s">
        <v>21</v>
      </c>
      <c r="O15" s="68" t="s">
        <v>21</v>
      </c>
      <c r="P15" s="68">
        <v>2</v>
      </c>
      <c r="Q15" s="68">
        <v>1</v>
      </c>
      <c r="R15" s="68" t="s">
        <v>21</v>
      </c>
      <c r="S15" s="68">
        <v>5</v>
      </c>
      <c r="T15" s="68" t="s">
        <v>21</v>
      </c>
      <c r="U15" s="57" t="s">
        <v>21</v>
      </c>
      <c r="V15" s="68">
        <v>9</v>
      </c>
      <c r="W15" s="68">
        <v>4</v>
      </c>
      <c r="X15" s="68">
        <v>11</v>
      </c>
      <c r="Y15" s="68">
        <v>3</v>
      </c>
      <c r="Z15" s="68">
        <v>4</v>
      </c>
      <c r="AA15" s="68" t="s">
        <v>141</v>
      </c>
      <c r="AB15" s="68" t="s">
        <v>21</v>
      </c>
      <c r="AC15" s="68" t="s">
        <v>21</v>
      </c>
      <c r="AD15" s="68" t="s">
        <v>21</v>
      </c>
      <c r="AE15" s="68" t="s">
        <v>21</v>
      </c>
      <c r="AF15" s="68">
        <v>2</v>
      </c>
      <c r="AG15" s="68" t="s">
        <v>21</v>
      </c>
      <c r="AH15" s="68">
        <v>1</v>
      </c>
      <c r="AI15" s="68" t="s">
        <v>21</v>
      </c>
      <c r="AJ15" s="68" t="s">
        <v>21</v>
      </c>
      <c r="AK15" s="68" t="s">
        <v>21</v>
      </c>
      <c r="AL15" s="68" t="s">
        <v>21</v>
      </c>
      <c r="AM15" s="68" t="s">
        <v>21</v>
      </c>
      <c r="AN15" s="68" t="s">
        <v>21</v>
      </c>
      <c r="AO15" s="60">
        <v>204</v>
      </c>
    </row>
    <row r="16" spans="1:1024" s="44" customFormat="1" ht="105">
      <c r="A16"/>
      <c r="B16" s="66" t="s">
        <v>52</v>
      </c>
      <c r="C16" s="67" t="s">
        <v>182</v>
      </c>
      <c r="D16" s="66" t="s">
        <v>179</v>
      </c>
      <c r="E16" s="66" t="s">
        <v>172</v>
      </c>
      <c r="F16" s="66" t="s">
        <v>183</v>
      </c>
      <c r="G16" s="67" t="s">
        <v>152</v>
      </c>
      <c r="H16" s="68">
        <v>4075</v>
      </c>
      <c r="I16" s="68">
        <v>2967</v>
      </c>
      <c r="J16" s="68">
        <v>5958</v>
      </c>
      <c r="K16" s="68">
        <v>4088</v>
      </c>
      <c r="L16" s="69">
        <v>523</v>
      </c>
      <c r="M16" s="70">
        <v>4650</v>
      </c>
      <c r="N16" s="71">
        <v>295</v>
      </c>
      <c r="O16" s="68">
        <v>446</v>
      </c>
      <c r="P16" s="68">
        <v>6</v>
      </c>
      <c r="Q16" s="68">
        <v>82</v>
      </c>
      <c r="R16" s="68" t="s">
        <v>21</v>
      </c>
      <c r="S16" s="68">
        <v>1831</v>
      </c>
      <c r="T16" s="68" t="s">
        <v>21</v>
      </c>
      <c r="U16" s="57" t="s">
        <v>21</v>
      </c>
      <c r="V16" s="68">
        <v>564</v>
      </c>
      <c r="W16" s="68">
        <v>311</v>
      </c>
      <c r="X16" s="68">
        <v>1154</v>
      </c>
      <c r="Y16" s="68">
        <v>9</v>
      </c>
      <c r="Z16" s="68">
        <v>641</v>
      </c>
      <c r="AA16" s="68">
        <v>5508</v>
      </c>
      <c r="AB16" s="68">
        <v>184</v>
      </c>
      <c r="AC16" s="68">
        <v>405</v>
      </c>
      <c r="AD16" s="68">
        <v>303</v>
      </c>
      <c r="AE16" s="68">
        <v>638</v>
      </c>
      <c r="AF16" s="68">
        <v>861</v>
      </c>
      <c r="AG16" s="68">
        <v>275</v>
      </c>
      <c r="AH16" s="68">
        <v>677</v>
      </c>
      <c r="AI16" s="68">
        <v>276</v>
      </c>
      <c r="AJ16" s="68">
        <v>437</v>
      </c>
      <c r="AK16" s="68">
        <v>601</v>
      </c>
      <c r="AL16" s="68">
        <v>370</v>
      </c>
      <c r="AM16" s="68">
        <v>395</v>
      </c>
      <c r="AN16" s="68">
        <v>98</v>
      </c>
      <c r="AO16" s="60">
        <v>40128</v>
      </c>
    </row>
    <row r="17" spans="1:1024" s="61" customFormat="1" ht="45">
      <c r="A17"/>
      <c r="B17" s="64" t="s">
        <v>52</v>
      </c>
      <c r="C17" s="65" t="s">
        <v>184</v>
      </c>
      <c r="D17" s="64" t="s">
        <v>185</v>
      </c>
      <c r="E17" s="64" t="s">
        <v>186</v>
      </c>
      <c r="F17" s="64" t="s">
        <v>187</v>
      </c>
      <c r="G17" s="65" t="s">
        <v>188</v>
      </c>
      <c r="H17" s="57">
        <v>1</v>
      </c>
      <c r="I17" s="57" t="s">
        <v>21</v>
      </c>
      <c r="J17" s="57">
        <v>1</v>
      </c>
      <c r="K17" s="57">
        <v>1</v>
      </c>
      <c r="L17" s="58" t="s">
        <v>21</v>
      </c>
      <c r="M17" s="56" t="s">
        <v>21</v>
      </c>
      <c r="N17" s="59" t="s">
        <v>21</v>
      </c>
      <c r="O17" s="57" t="s">
        <v>21</v>
      </c>
      <c r="P17" s="57" t="s">
        <v>21</v>
      </c>
      <c r="Q17" s="57" t="s">
        <v>21</v>
      </c>
      <c r="R17" s="57" t="s">
        <v>21</v>
      </c>
      <c r="S17" s="57" t="s">
        <v>21</v>
      </c>
      <c r="T17" s="68" t="s">
        <v>21</v>
      </c>
      <c r="U17" s="57" t="s">
        <v>141</v>
      </c>
      <c r="V17" s="57" t="s">
        <v>21</v>
      </c>
      <c r="W17" s="57" t="s">
        <v>21</v>
      </c>
      <c r="X17" s="57" t="s">
        <v>21</v>
      </c>
      <c r="Y17" s="57" t="s">
        <v>21</v>
      </c>
      <c r="Z17" s="57" t="s">
        <v>21</v>
      </c>
      <c r="AA17" s="57" t="s">
        <v>141</v>
      </c>
      <c r="AB17" s="57" t="s">
        <v>21</v>
      </c>
      <c r="AC17" s="57" t="s">
        <v>21</v>
      </c>
      <c r="AD17" s="57" t="s">
        <v>21</v>
      </c>
      <c r="AE17" s="57" t="s">
        <v>21</v>
      </c>
      <c r="AF17" s="57" t="s">
        <v>21</v>
      </c>
      <c r="AG17" s="57" t="s">
        <v>21</v>
      </c>
      <c r="AH17" s="57" t="s">
        <v>21</v>
      </c>
      <c r="AI17" s="57" t="s">
        <v>21</v>
      </c>
      <c r="AJ17" s="57" t="s">
        <v>21</v>
      </c>
      <c r="AK17" s="57" t="s">
        <v>21</v>
      </c>
      <c r="AL17" s="57" t="s">
        <v>21</v>
      </c>
      <c r="AM17" s="57" t="s">
        <v>21</v>
      </c>
      <c r="AN17" s="57" t="s">
        <v>21</v>
      </c>
      <c r="AO17" s="60">
        <v>3</v>
      </c>
      <c r="AMJ17" s="44"/>
    </row>
    <row r="18" spans="1:1024" s="61" customFormat="1" ht="45">
      <c r="A18"/>
      <c r="B18" s="64" t="s">
        <v>52</v>
      </c>
      <c r="C18" s="65" t="s">
        <v>189</v>
      </c>
      <c r="D18" s="64" t="s">
        <v>190</v>
      </c>
      <c r="E18" s="64" t="s">
        <v>186</v>
      </c>
      <c r="F18" s="64" t="s">
        <v>191</v>
      </c>
      <c r="G18" s="65" t="s">
        <v>192</v>
      </c>
      <c r="H18" s="57">
        <v>1</v>
      </c>
      <c r="I18" s="57" t="s">
        <v>21</v>
      </c>
      <c r="J18" s="57" t="s">
        <v>21</v>
      </c>
      <c r="K18" s="57" t="s">
        <v>21</v>
      </c>
      <c r="L18" s="58" t="s">
        <v>21</v>
      </c>
      <c r="M18" s="56" t="s">
        <v>21</v>
      </c>
      <c r="N18" s="59" t="s">
        <v>21</v>
      </c>
      <c r="O18" s="57" t="s">
        <v>21</v>
      </c>
      <c r="P18" s="57" t="s">
        <v>21</v>
      </c>
      <c r="Q18" s="57" t="s">
        <v>21</v>
      </c>
      <c r="R18" s="57" t="s">
        <v>21</v>
      </c>
      <c r="S18" s="57" t="s">
        <v>21</v>
      </c>
      <c r="T18" s="68" t="s">
        <v>21</v>
      </c>
      <c r="U18" s="57" t="s">
        <v>141</v>
      </c>
      <c r="V18" s="57" t="s">
        <v>141</v>
      </c>
      <c r="W18" s="57" t="s">
        <v>141</v>
      </c>
      <c r="X18" s="57" t="s">
        <v>21</v>
      </c>
      <c r="Y18" s="57" t="s">
        <v>141</v>
      </c>
      <c r="Z18" s="57" t="s">
        <v>141</v>
      </c>
      <c r="AA18" s="57" t="s">
        <v>141</v>
      </c>
      <c r="AB18" s="57" t="s">
        <v>141</v>
      </c>
      <c r="AC18" s="57" t="s">
        <v>21</v>
      </c>
      <c r="AD18" s="57" t="s">
        <v>21</v>
      </c>
      <c r="AE18" s="57" t="s">
        <v>21</v>
      </c>
      <c r="AF18" s="57" t="s">
        <v>21</v>
      </c>
      <c r="AG18" s="57" t="s">
        <v>21</v>
      </c>
      <c r="AH18" s="57" t="s">
        <v>21</v>
      </c>
      <c r="AI18" s="57" t="s">
        <v>21</v>
      </c>
      <c r="AJ18" s="57" t="s">
        <v>21</v>
      </c>
      <c r="AK18" s="57" t="s">
        <v>21</v>
      </c>
      <c r="AL18" s="57" t="s">
        <v>21</v>
      </c>
      <c r="AM18" s="57" t="s">
        <v>21</v>
      </c>
      <c r="AN18" s="57" t="s">
        <v>21</v>
      </c>
      <c r="AO18" s="60">
        <v>1</v>
      </c>
      <c r="AMJ18" s="44"/>
    </row>
    <row r="19" spans="1:1024" s="61" customFormat="1" ht="45">
      <c r="A19"/>
      <c r="B19" s="64" t="s">
        <v>52</v>
      </c>
      <c r="C19" s="65" t="s">
        <v>193</v>
      </c>
      <c r="D19" s="64" t="s">
        <v>194</v>
      </c>
      <c r="E19" s="64" t="s">
        <v>186</v>
      </c>
      <c r="F19" s="64" t="s">
        <v>195</v>
      </c>
      <c r="G19" s="65" t="s">
        <v>152</v>
      </c>
      <c r="H19" s="57">
        <v>4075</v>
      </c>
      <c r="I19" s="57">
        <v>2967</v>
      </c>
      <c r="J19" s="57">
        <v>5958</v>
      </c>
      <c r="K19" s="57">
        <v>4088</v>
      </c>
      <c r="L19" s="58">
        <v>523</v>
      </c>
      <c r="M19" s="56">
        <v>4650</v>
      </c>
      <c r="N19" s="59">
        <v>295</v>
      </c>
      <c r="O19" s="57">
        <v>446</v>
      </c>
      <c r="P19" s="57">
        <v>6</v>
      </c>
      <c r="Q19" s="57">
        <v>82</v>
      </c>
      <c r="R19" s="57" t="s">
        <v>21</v>
      </c>
      <c r="S19" s="57">
        <v>1831</v>
      </c>
      <c r="T19" s="68" t="s">
        <v>21</v>
      </c>
      <c r="U19" s="57">
        <v>95</v>
      </c>
      <c r="V19" s="57">
        <v>564</v>
      </c>
      <c r="W19" s="57">
        <v>311</v>
      </c>
      <c r="X19" s="57">
        <v>1154</v>
      </c>
      <c r="Y19" s="57">
        <v>9</v>
      </c>
      <c r="Z19" s="57">
        <v>590</v>
      </c>
      <c r="AA19" s="57">
        <v>5508</v>
      </c>
      <c r="AB19" s="57">
        <v>184</v>
      </c>
      <c r="AC19" s="57">
        <v>405</v>
      </c>
      <c r="AD19" s="57">
        <v>303</v>
      </c>
      <c r="AE19" s="57">
        <v>638</v>
      </c>
      <c r="AF19" s="57">
        <v>861</v>
      </c>
      <c r="AG19" s="57">
        <v>275</v>
      </c>
      <c r="AH19" s="57">
        <v>644</v>
      </c>
      <c r="AI19" s="57">
        <v>276</v>
      </c>
      <c r="AJ19" s="57">
        <v>437</v>
      </c>
      <c r="AK19" s="57">
        <v>601</v>
      </c>
      <c r="AL19" s="57">
        <v>370</v>
      </c>
      <c r="AM19" s="57">
        <v>395</v>
      </c>
      <c r="AN19" s="57">
        <v>98</v>
      </c>
      <c r="AO19" s="60" t="s">
        <v>196</v>
      </c>
      <c r="AMJ19" s="44"/>
    </row>
    <row r="20" spans="1:1024" s="61" customFormat="1" ht="75">
      <c r="A20"/>
      <c r="B20" s="64" t="s">
        <v>52</v>
      </c>
      <c r="C20" s="65" t="s">
        <v>197</v>
      </c>
      <c r="D20" s="64" t="s">
        <v>198</v>
      </c>
      <c r="E20" s="64" t="s">
        <v>186</v>
      </c>
      <c r="F20" s="64" t="s">
        <v>199</v>
      </c>
      <c r="G20" s="65" t="s">
        <v>200</v>
      </c>
      <c r="H20" s="57">
        <v>1</v>
      </c>
      <c r="I20" s="57">
        <v>1</v>
      </c>
      <c r="J20" s="57">
        <v>1</v>
      </c>
      <c r="K20" s="57">
        <v>1</v>
      </c>
      <c r="L20" s="58" t="s">
        <v>21</v>
      </c>
      <c r="M20" s="56" t="s">
        <v>21</v>
      </c>
      <c r="N20" s="59" t="s">
        <v>21</v>
      </c>
      <c r="O20" s="57" t="s">
        <v>21</v>
      </c>
      <c r="P20" s="57" t="s">
        <v>21</v>
      </c>
      <c r="Q20" s="57" t="s">
        <v>21</v>
      </c>
      <c r="R20" s="57" t="s">
        <v>21</v>
      </c>
      <c r="S20" s="57" t="s">
        <v>21</v>
      </c>
      <c r="T20" s="68" t="s">
        <v>21</v>
      </c>
      <c r="U20" s="57" t="s">
        <v>141</v>
      </c>
      <c r="V20" s="57" t="s">
        <v>141</v>
      </c>
      <c r="W20" s="57" t="s">
        <v>21</v>
      </c>
      <c r="X20" s="57" t="s">
        <v>141</v>
      </c>
      <c r="Y20" s="57" t="s">
        <v>141</v>
      </c>
      <c r="Z20" s="57" t="s">
        <v>141</v>
      </c>
      <c r="AA20" s="57" t="s">
        <v>21</v>
      </c>
      <c r="AB20" s="57" t="s">
        <v>21</v>
      </c>
      <c r="AC20" s="57" t="s">
        <v>21</v>
      </c>
      <c r="AD20" s="57" t="s">
        <v>21</v>
      </c>
      <c r="AE20" s="57" t="s">
        <v>21</v>
      </c>
      <c r="AF20" s="57" t="s">
        <v>21</v>
      </c>
      <c r="AG20" s="57" t="s">
        <v>21</v>
      </c>
      <c r="AH20" s="57" t="s">
        <v>21</v>
      </c>
      <c r="AI20" s="57" t="s">
        <v>21</v>
      </c>
      <c r="AJ20" s="57" t="s">
        <v>21</v>
      </c>
      <c r="AK20" s="57" t="s">
        <v>21</v>
      </c>
      <c r="AL20" s="57" t="s">
        <v>21</v>
      </c>
      <c r="AM20" s="57" t="s">
        <v>21</v>
      </c>
      <c r="AN20" s="57" t="s">
        <v>21</v>
      </c>
      <c r="AO20" s="60">
        <v>4</v>
      </c>
      <c r="AMJ20" s="44"/>
    </row>
    <row r="21" spans="1:1024" s="61" customFormat="1" ht="75">
      <c r="A21"/>
      <c r="B21" s="64" t="s">
        <v>52</v>
      </c>
      <c r="C21" s="65" t="s">
        <v>201</v>
      </c>
      <c r="D21" s="64" t="s">
        <v>202</v>
      </c>
      <c r="E21" s="64" t="s">
        <v>186</v>
      </c>
      <c r="F21" s="64" t="s">
        <v>203</v>
      </c>
      <c r="G21" s="65" t="s">
        <v>204</v>
      </c>
      <c r="H21" s="57">
        <v>3</v>
      </c>
      <c r="I21" s="57">
        <v>3</v>
      </c>
      <c r="J21" s="57">
        <v>3</v>
      </c>
      <c r="K21" s="57">
        <v>3</v>
      </c>
      <c r="L21" s="58">
        <v>3</v>
      </c>
      <c r="M21" s="56" t="s">
        <v>157</v>
      </c>
      <c r="N21" s="59">
        <v>3</v>
      </c>
      <c r="O21" s="57">
        <v>3</v>
      </c>
      <c r="P21" s="57">
        <v>3</v>
      </c>
      <c r="Q21" s="57">
        <v>3</v>
      </c>
      <c r="R21" s="57" t="s">
        <v>21</v>
      </c>
      <c r="S21" s="57">
        <v>2</v>
      </c>
      <c r="T21" s="57" t="s">
        <v>21</v>
      </c>
      <c r="U21" s="57">
        <v>2</v>
      </c>
      <c r="V21" s="57">
        <v>2</v>
      </c>
      <c r="W21" s="57">
        <v>2</v>
      </c>
      <c r="X21" s="57">
        <v>2</v>
      </c>
      <c r="Y21" s="57">
        <v>2</v>
      </c>
      <c r="Z21" s="57">
        <v>2</v>
      </c>
      <c r="AA21" s="57">
        <v>2</v>
      </c>
      <c r="AB21" s="57">
        <v>2</v>
      </c>
      <c r="AC21" s="57">
        <v>2</v>
      </c>
      <c r="AD21" s="57">
        <v>2</v>
      </c>
      <c r="AE21" s="57">
        <v>2</v>
      </c>
      <c r="AF21" s="57">
        <v>2</v>
      </c>
      <c r="AG21" s="57">
        <v>2</v>
      </c>
      <c r="AH21" s="57">
        <v>2</v>
      </c>
      <c r="AI21" s="57">
        <v>2</v>
      </c>
      <c r="AJ21" s="57">
        <v>2</v>
      </c>
      <c r="AK21" s="57">
        <v>2</v>
      </c>
      <c r="AL21" s="57">
        <v>2</v>
      </c>
      <c r="AM21" s="57">
        <v>2</v>
      </c>
      <c r="AN21" s="57">
        <v>2</v>
      </c>
      <c r="AO21" s="60">
        <v>79</v>
      </c>
      <c r="AMJ21" s="44"/>
    </row>
    <row r="22" spans="1:1024" s="44" customFormat="1" ht="105">
      <c r="A22"/>
      <c r="B22" s="66" t="s">
        <v>52</v>
      </c>
      <c r="C22" s="67" t="s">
        <v>205</v>
      </c>
      <c r="D22" s="66" t="s">
        <v>206</v>
      </c>
      <c r="E22" s="66" t="s">
        <v>207</v>
      </c>
      <c r="F22" s="66" t="s">
        <v>208</v>
      </c>
      <c r="G22" s="67" t="s">
        <v>209</v>
      </c>
      <c r="H22" s="68">
        <v>4075</v>
      </c>
      <c r="I22" s="68">
        <v>2967</v>
      </c>
      <c r="J22" s="68">
        <v>5958</v>
      </c>
      <c r="K22" s="68">
        <v>4088</v>
      </c>
      <c r="L22" s="69">
        <v>523</v>
      </c>
      <c r="M22" s="70">
        <v>4650</v>
      </c>
      <c r="N22" s="71">
        <v>295</v>
      </c>
      <c r="O22" s="68">
        <v>446</v>
      </c>
      <c r="P22" s="68" t="s">
        <v>21</v>
      </c>
      <c r="Q22" s="68" t="s">
        <v>21</v>
      </c>
      <c r="R22" s="68" t="s">
        <v>21</v>
      </c>
      <c r="S22" s="68">
        <v>1831</v>
      </c>
      <c r="T22" s="68">
        <v>4854.6400000000003</v>
      </c>
      <c r="U22" s="68" t="s">
        <v>21</v>
      </c>
      <c r="V22" s="68">
        <v>564</v>
      </c>
      <c r="W22" s="68">
        <v>311</v>
      </c>
      <c r="X22" s="68">
        <v>1154</v>
      </c>
      <c r="Y22" s="68">
        <v>9</v>
      </c>
      <c r="Z22" s="68">
        <v>641</v>
      </c>
      <c r="AA22" s="68">
        <v>5508</v>
      </c>
      <c r="AB22" s="68">
        <v>184</v>
      </c>
      <c r="AC22" s="68">
        <v>405</v>
      </c>
      <c r="AD22" s="68">
        <v>303</v>
      </c>
      <c r="AE22" s="68" t="s">
        <v>21</v>
      </c>
      <c r="AF22" s="68" t="s">
        <v>21</v>
      </c>
      <c r="AG22" s="68" t="s">
        <v>21</v>
      </c>
      <c r="AH22" s="68" t="s">
        <v>21</v>
      </c>
      <c r="AI22" s="68" t="s">
        <v>21</v>
      </c>
      <c r="AJ22" s="68" t="s">
        <v>21</v>
      </c>
      <c r="AK22" s="68" t="s">
        <v>21</v>
      </c>
      <c r="AL22" s="68" t="s">
        <v>21</v>
      </c>
      <c r="AM22" s="68" t="s">
        <v>21</v>
      </c>
      <c r="AN22" s="68" t="s">
        <v>21</v>
      </c>
      <c r="AO22" s="60">
        <v>38866.639999999999</v>
      </c>
    </row>
    <row r="23" spans="1:1024" s="44" customFormat="1" ht="105">
      <c r="A23"/>
      <c r="B23" s="66" t="s">
        <v>52</v>
      </c>
      <c r="C23" s="67" t="s">
        <v>210</v>
      </c>
      <c r="D23" s="66" t="s">
        <v>211</v>
      </c>
      <c r="E23" s="66" t="s">
        <v>207</v>
      </c>
      <c r="F23" s="66" t="s">
        <v>212</v>
      </c>
      <c r="G23" s="67" t="s">
        <v>209</v>
      </c>
      <c r="H23" s="68">
        <v>4055</v>
      </c>
      <c r="I23" s="68">
        <v>2882</v>
      </c>
      <c r="J23" s="68">
        <v>5580</v>
      </c>
      <c r="K23" s="68">
        <v>4068</v>
      </c>
      <c r="L23" s="69">
        <v>520</v>
      </c>
      <c r="M23" s="70">
        <v>4650</v>
      </c>
      <c r="N23" s="71">
        <v>295</v>
      </c>
      <c r="O23" s="68">
        <v>446</v>
      </c>
      <c r="P23" s="68">
        <v>6</v>
      </c>
      <c r="Q23" s="68">
        <v>82</v>
      </c>
      <c r="R23" s="68" t="s">
        <v>21</v>
      </c>
      <c r="S23" s="68">
        <v>1831</v>
      </c>
      <c r="T23" s="68">
        <v>4854.6400000000003</v>
      </c>
      <c r="U23" s="68" t="s">
        <v>21</v>
      </c>
      <c r="V23" s="68">
        <v>564</v>
      </c>
      <c r="W23" s="68">
        <v>311</v>
      </c>
      <c r="X23" s="68">
        <v>1154</v>
      </c>
      <c r="Y23" s="68">
        <v>9</v>
      </c>
      <c r="Z23" s="68">
        <v>641</v>
      </c>
      <c r="AA23" s="68">
        <v>5508</v>
      </c>
      <c r="AB23" s="68">
        <v>184</v>
      </c>
      <c r="AC23" s="68">
        <v>405</v>
      </c>
      <c r="AD23" s="68">
        <v>303</v>
      </c>
      <c r="AE23" s="68" t="s">
        <v>21</v>
      </c>
      <c r="AF23" s="68" t="s">
        <v>21</v>
      </c>
      <c r="AG23" s="68" t="s">
        <v>21</v>
      </c>
      <c r="AH23" s="68" t="s">
        <v>21</v>
      </c>
      <c r="AI23" s="68" t="s">
        <v>21</v>
      </c>
      <c r="AJ23" s="68" t="s">
        <v>21</v>
      </c>
      <c r="AK23" s="68" t="s">
        <v>21</v>
      </c>
      <c r="AL23" s="68" t="s">
        <v>21</v>
      </c>
      <c r="AM23" s="68" t="s">
        <v>21</v>
      </c>
      <c r="AN23" s="68" t="s">
        <v>21</v>
      </c>
      <c r="AO23" s="60">
        <v>38548.639999999999</v>
      </c>
    </row>
    <row r="24" spans="1:1024" s="44" customFormat="1" ht="105">
      <c r="A24"/>
      <c r="B24" s="66" t="s">
        <v>52</v>
      </c>
      <c r="C24" s="67" t="s">
        <v>213</v>
      </c>
      <c r="D24" s="66" t="s">
        <v>214</v>
      </c>
      <c r="E24" s="66" t="s">
        <v>207</v>
      </c>
      <c r="F24" s="66" t="s">
        <v>215</v>
      </c>
      <c r="G24" s="67" t="s">
        <v>152</v>
      </c>
      <c r="H24" s="68">
        <v>74</v>
      </c>
      <c r="I24" s="68" t="s">
        <v>216</v>
      </c>
      <c r="J24" s="68">
        <v>99</v>
      </c>
      <c r="K24" s="68">
        <v>1470</v>
      </c>
      <c r="L24" s="69">
        <v>158</v>
      </c>
      <c r="M24" s="70">
        <v>4650</v>
      </c>
      <c r="N24" s="72">
        <v>295</v>
      </c>
      <c r="O24" s="73">
        <v>446</v>
      </c>
      <c r="P24" s="68">
        <v>6</v>
      </c>
      <c r="Q24" s="68">
        <v>82</v>
      </c>
      <c r="R24" s="68" t="s">
        <v>21</v>
      </c>
      <c r="S24" s="68">
        <v>1831</v>
      </c>
      <c r="T24" s="68">
        <v>4854.6400000000003</v>
      </c>
      <c r="U24" s="68" t="s">
        <v>21</v>
      </c>
      <c r="V24" s="68">
        <v>564</v>
      </c>
      <c r="W24" s="68">
        <v>311</v>
      </c>
      <c r="X24" s="68">
        <v>1154</v>
      </c>
      <c r="Y24" s="68">
        <v>9</v>
      </c>
      <c r="Z24" s="68">
        <v>641</v>
      </c>
      <c r="AA24" s="68">
        <v>5508</v>
      </c>
      <c r="AB24" s="68">
        <v>184</v>
      </c>
      <c r="AC24" s="68">
        <v>405</v>
      </c>
      <c r="AD24" s="68">
        <v>303</v>
      </c>
      <c r="AE24" s="68" t="s">
        <v>21</v>
      </c>
      <c r="AF24" s="68" t="s">
        <v>21</v>
      </c>
      <c r="AG24" s="68" t="s">
        <v>21</v>
      </c>
      <c r="AH24" s="68" t="s">
        <v>21</v>
      </c>
      <c r="AI24" s="68" t="s">
        <v>21</v>
      </c>
      <c r="AJ24" s="68" t="s">
        <v>21</v>
      </c>
      <c r="AK24" s="68" t="s">
        <v>21</v>
      </c>
      <c r="AL24" s="68" t="s">
        <v>21</v>
      </c>
      <c r="AM24" s="68" t="s">
        <v>21</v>
      </c>
      <c r="AN24" s="68" t="s">
        <v>21</v>
      </c>
      <c r="AO24" s="60">
        <v>26977.64</v>
      </c>
    </row>
    <row r="25" spans="1:1024" s="44" customFormat="1" ht="105">
      <c r="A25"/>
      <c r="B25" s="66" t="s">
        <v>52</v>
      </c>
      <c r="C25" s="67" t="s">
        <v>217</v>
      </c>
      <c r="D25" s="66" t="s">
        <v>218</v>
      </c>
      <c r="E25" s="66" t="s">
        <v>207</v>
      </c>
      <c r="F25" s="66" t="s">
        <v>219</v>
      </c>
      <c r="G25" s="67" t="s">
        <v>220</v>
      </c>
      <c r="H25" s="68">
        <v>49</v>
      </c>
      <c r="I25" s="68">
        <v>36</v>
      </c>
      <c r="J25" s="68">
        <v>43</v>
      </c>
      <c r="K25" s="68">
        <v>67</v>
      </c>
      <c r="L25" s="69">
        <v>5</v>
      </c>
      <c r="M25" s="70">
        <v>31</v>
      </c>
      <c r="N25" s="71" t="s">
        <v>157</v>
      </c>
      <c r="O25" s="68">
        <v>5</v>
      </c>
      <c r="P25" s="68">
        <v>4</v>
      </c>
      <c r="Q25" s="68">
        <v>1</v>
      </c>
      <c r="R25" s="68">
        <v>6</v>
      </c>
      <c r="S25" s="68">
        <v>24</v>
      </c>
      <c r="T25" s="68">
        <v>21</v>
      </c>
      <c r="U25" s="68" t="s">
        <v>21</v>
      </c>
      <c r="V25" s="68" t="s">
        <v>141</v>
      </c>
      <c r="W25" s="68">
        <v>6</v>
      </c>
      <c r="X25" s="68">
        <v>8</v>
      </c>
      <c r="Y25" s="68">
        <v>2</v>
      </c>
      <c r="Z25" s="68">
        <v>6</v>
      </c>
      <c r="AA25" s="68" t="s">
        <v>141</v>
      </c>
      <c r="AB25" s="68">
        <v>4</v>
      </c>
      <c r="AC25" s="68">
        <v>6</v>
      </c>
      <c r="AD25" s="68">
        <v>1</v>
      </c>
      <c r="AE25" s="68" t="s">
        <v>141</v>
      </c>
      <c r="AF25" s="68" t="s">
        <v>21</v>
      </c>
      <c r="AG25" s="68" t="s">
        <v>21</v>
      </c>
      <c r="AH25" s="68" t="s">
        <v>21</v>
      </c>
      <c r="AI25" s="68" t="s">
        <v>21</v>
      </c>
      <c r="AJ25" s="68" t="s">
        <v>21</v>
      </c>
      <c r="AK25" s="68" t="s">
        <v>21</v>
      </c>
      <c r="AL25" s="68" t="s">
        <v>21</v>
      </c>
      <c r="AM25" s="68" t="s">
        <v>21</v>
      </c>
      <c r="AN25" s="68" t="s">
        <v>21</v>
      </c>
      <c r="AO25" s="60">
        <v>338</v>
      </c>
    </row>
    <row r="26" spans="1:1024" s="44" customFormat="1" ht="105">
      <c r="A26"/>
      <c r="B26" s="74" t="s">
        <v>52</v>
      </c>
      <c r="C26" s="75" t="s">
        <v>221</v>
      </c>
      <c r="D26" s="66" t="s">
        <v>222</v>
      </c>
      <c r="E26" s="74" t="s">
        <v>207</v>
      </c>
      <c r="F26" s="66" t="s">
        <v>223</v>
      </c>
      <c r="G26" s="67" t="s">
        <v>224</v>
      </c>
      <c r="H26" s="68" t="s">
        <v>21</v>
      </c>
      <c r="I26" s="68" t="s">
        <v>21</v>
      </c>
      <c r="J26" s="68" t="s">
        <v>21</v>
      </c>
      <c r="K26" s="68">
        <v>1</v>
      </c>
      <c r="L26" s="69" t="s">
        <v>21</v>
      </c>
      <c r="M26" s="70">
        <v>1</v>
      </c>
      <c r="N26" s="71" t="s">
        <v>21</v>
      </c>
      <c r="O26" s="68" t="s">
        <v>21</v>
      </c>
      <c r="P26" s="68" t="s">
        <v>21</v>
      </c>
      <c r="Q26" s="68" t="s">
        <v>21</v>
      </c>
      <c r="R26" s="68" t="s">
        <v>21</v>
      </c>
      <c r="S26" s="68" t="s">
        <v>21</v>
      </c>
      <c r="T26" s="68" t="s">
        <v>21</v>
      </c>
      <c r="U26" s="68" t="s">
        <v>21</v>
      </c>
      <c r="V26" s="68" t="s">
        <v>21</v>
      </c>
      <c r="W26" s="68" t="s">
        <v>21</v>
      </c>
      <c r="X26" s="68" t="s">
        <v>141</v>
      </c>
      <c r="Y26" s="68" t="s">
        <v>21</v>
      </c>
      <c r="Z26" s="68" t="s">
        <v>141</v>
      </c>
      <c r="AA26" s="68" t="s">
        <v>141</v>
      </c>
      <c r="AB26" s="68" t="s">
        <v>21</v>
      </c>
      <c r="AC26" s="68" t="s">
        <v>141</v>
      </c>
      <c r="AD26" s="68" t="s">
        <v>21</v>
      </c>
      <c r="AE26" s="68" t="s">
        <v>21</v>
      </c>
      <c r="AF26" s="68" t="s">
        <v>21</v>
      </c>
      <c r="AG26" s="68" t="s">
        <v>21</v>
      </c>
      <c r="AH26" s="68" t="s">
        <v>21</v>
      </c>
      <c r="AI26" s="68" t="s">
        <v>21</v>
      </c>
      <c r="AJ26" s="68" t="s">
        <v>21</v>
      </c>
      <c r="AK26" s="68" t="s">
        <v>21</v>
      </c>
      <c r="AL26" s="68" t="s">
        <v>21</v>
      </c>
      <c r="AM26" s="68" t="s">
        <v>21</v>
      </c>
      <c r="AN26" s="68" t="s">
        <v>21</v>
      </c>
      <c r="AO26" s="60">
        <v>2</v>
      </c>
    </row>
    <row r="27" spans="1:1024" s="44" customFormat="1" ht="105">
      <c r="A27"/>
      <c r="B27" s="74" t="s">
        <v>52</v>
      </c>
      <c r="C27" s="75" t="s">
        <v>225</v>
      </c>
      <c r="D27" s="66" t="s">
        <v>226</v>
      </c>
      <c r="E27" s="74" t="s">
        <v>207</v>
      </c>
      <c r="F27" s="66" t="s">
        <v>227</v>
      </c>
      <c r="G27" s="67" t="s">
        <v>228</v>
      </c>
      <c r="H27" s="68">
        <v>19</v>
      </c>
      <c r="I27" s="68">
        <v>21</v>
      </c>
      <c r="J27" s="68">
        <v>12</v>
      </c>
      <c r="K27" s="68">
        <v>16</v>
      </c>
      <c r="L27" s="69">
        <v>0</v>
      </c>
      <c r="M27" s="70">
        <v>21</v>
      </c>
      <c r="N27" s="71" t="s">
        <v>21</v>
      </c>
      <c r="O27" s="68">
        <v>2</v>
      </c>
      <c r="P27" s="68" t="s">
        <v>21</v>
      </c>
      <c r="Q27" s="68" t="s">
        <v>21</v>
      </c>
      <c r="R27" s="68" t="s">
        <v>21</v>
      </c>
      <c r="S27" s="68" t="s">
        <v>21</v>
      </c>
      <c r="T27" s="68" t="s">
        <v>21</v>
      </c>
      <c r="U27" s="68" t="s">
        <v>21</v>
      </c>
      <c r="V27" s="68" t="s">
        <v>141</v>
      </c>
      <c r="W27" s="68" t="s">
        <v>21</v>
      </c>
      <c r="X27" s="68" t="s">
        <v>141</v>
      </c>
      <c r="Y27" s="68" t="s">
        <v>141</v>
      </c>
      <c r="Z27" s="68" t="s">
        <v>141</v>
      </c>
      <c r="AA27" s="68" t="s">
        <v>141</v>
      </c>
      <c r="AB27" s="68" t="s">
        <v>21</v>
      </c>
      <c r="AC27" s="68" t="s">
        <v>141</v>
      </c>
      <c r="AD27" s="68">
        <v>1</v>
      </c>
      <c r="AE27" s="68" t="s">
        <v>21</v>
      </c>
      <c r="AF27" s="68" t="s">
        <v>21</v>
      </c>
      <c r="AG27" s="68" t="s">
        <v>21</v>
      </c>
      <c r="AH27" s="68" t="s">
        <v>21</v>
      </c>
      <c r="AI27" s="68" t="s">
        <v>21</v>
      </c>
      <c r="AJ27" s="68" t="s">
        <v>21</v>
      </c>
      <c r="AK27" s="68" t="s">
        <v>21</v>
      </c>
      <c r="AL27" s="68" t="s">
        <v>21</v>
      </c>
      <c r="AM27" s="68" t="s">
        <v>21</v>
      </c>
      <c r="AN27" s="68" t="s">
        <v>21</v>
      </c>
      <c r="AO27" s="60">
        <v>92</v>
      </c>
    </row>
    <row r="28" spans="1:1024" s="61" customFormat="1" ht="45">
      <c r="A28"/>
      <c r="B28" s="54" t="s">
        <v>52</v>
      </c>
      <c r="C28" s="55" t="s">
        <v>229</v>
      </c>
      <c r="D28" s="64" t="s">
        <v>230</v>
      </c>
      <c r="E28" s="54" t="s">
        <v>231</v>
      </c>
      <c r="F28" s="64" t="s">
        <v>232</v>
      </c>
      <c r="G28" s="65" t="s">
        <v>233</v>
      </c>
      <c r="H28" s="57">
        <v>1</v>
      </c>
      <c r="I28" s="57">
        <v>2</v>
      </c>
      <c r="J28" s="57">
        <v>3</v>
      </c>
      <c r="K28" s="57" t="s">
        <v>21</v>
      </c>
      <c r="L28" s="58">
        <v>2</v>
      </c>
      <c r="M28" s="56"/>
      <c r="N28" s="59" t="s">
        <v>21</v>
      </c>
      <c r="O28" s="57" t="s">
        <v>21</v>
      </c>
      <c r="P28" s="57" t="s">
        <v>21</v>
      </c>
      <c r="Q28" s="57" t="s">
        <v>21</v>
      </c>
      <c r="R28" s="57" t="s">
        <v>21</v>
      </c>
      <c r="S28" s="57" t="s">
        <v>21</v>
      </c>
      <c r="T28" s="68" t="s">
        <v>21</v>
      </c>
      <c r="U28" s="68" t="s">
        <v>21</v>
      </c>
      <c r="V28" s="57" t="s">
        <v>21</v>
      </c>
      <c r="W28" s="57" t="s">
        <v>21</v>
      </c>
      <c r="X28" s="57" t="s">
        <v>21</v>
      </c>
      <c r="Y28" s="57" t="s">
        <v>21</v>
      </c>
      <c r="Z28" s="57" t="s">
        <v>21</v>
      </c>
      <c r="AA28" s="57" t="s">
        <v>21</v>
      </c>
      <c r="AB28" s="57" t="s">
        <v>21</v>
      </c>
      <c r="AC28" s="57" t="s">
        <v>21</v>
      </c>
      <c r="AD28" s="57" t="s">
        <v>21</v>
      </c>
      <c r="AE28" s="57" t="s">
        <v>21</v>
      </c>
      <c r="AF28" s="68" t="s">
        <v>21</v>
      </c>
      <c r="AG28" s="68" t="s">
        <v>21</v>
      </c>
      <c r="AH28" s="68" t="s">
        <v>21</v>
      </c>
      <c r="AI28" s="68" t="s">
        <v>21</v>
      </c>
      <c r="AJ28" s="57" t="s">
        <v>21</v>
      </c>
      <c r="AK28" s="68" t="s">
        <v>21</v>
      </c>
      <c r="AL28" s="68" t="s">
        <v>21</v>
      </c>
      <c r="AM28" s="68" t="s">
        <v>21</v>
      </c>
      <c r="AN28" s="68" t="s">
        <v>21</v>
      </c>
      <c r="AO28" s="60">
        <v>8</v>
      </c>
      <c r="AMJ28" s="44"/>
    </row>
    <row r="29" spans="1:1024" s="61" customFormat="1" ht="45">
      <c r="A29"/>
      <c r="B29" s="54" t="s">
        <v>52</v>
      </c>
      <c r="C29" s="55" t="s">
        <v>234</v>
      </c>
      <c r="D29" s="64" t="s">
        <v>230</v>
      </c>
      <c r="E29" s="54" t="s">
        <v>231</v>
      </c>
      <c r="F29" s="64" t="s">
        <v>235</v>
      </c>
      <c r="G29" s="65" t="s">
        <v>233</v>
      </c>
      <c r="H29" s="57">
        <v>3</v>
      </c>
      <c r="I29" s="57" t="s">
        <v>21</v>
      </c>
      <c r="J29" s="57">
        <v>1</v>
      </c>
      <c r="K29" s="57">
        <v>2</v>
      </c>
      <c r="L29" s="58" t="s">
        <v>21</v>
      </c>
      <c r="M29" s="56">
        <v>3</v>
      </c>
      <c r="N29" s="59" t="s">
        <v>21</v>
      </c>
      <c r="O29" s="57" t="s">
        <v>21</v>
      </c>
      <c r="P29" s="57" t="s">
        <v>21</v>
      </c>
      <c r="Q29" s="57" t="s">
        <v>21</v>
      </c>
      <c r="R29" s="57" t="s">
        <v>21</v>
      </c>
      <c r="S29" s="57" t="s">
        <v>21</v>
      </c>
      <c r="T29" s="68" t="s">
        <v>21</v>
      </c>
      <c r="U29" s="68" t="s">
        <v>21</v>
      </c>
      <c r="V29" s="57" t="s">
        <v>21</v>
      </c>
      <c r="W29" s="57" t="s">
        <v>21</v>
      </c>
      <c r="X29" s="57" t="s">
        <v>21</v>
      </c>
      <c r="Y29" s="57" t="s">
        <v>21</v>
      </c>
      <c r="Z29" s="57" t="s">
        <v>21</v>
      </c>
      <c r="AA29" s="57" t="s">
        <v>21</v>
      </c>
      <c r="AB29" s="57" t="s">
        <v>21</v>
      </c>
      <c r="AC29" s="57" t="s">
        <v>21</v>
      </c>
      <c r="AD29" s="57" t="s">
        <v>21</v>
      </c>
      <c r="AE29" s="57" t="s">
        <v>21</v>
      </c>
      <c r="AF29" s="68" t="s">
        <v>21</v>
      </c>
      <c r="AG29" s="68" t="s">
        <v>21</v>
      </c>
      <c r="AH29" s="68" t="s">
        <v>21</v>
      </c>
      <c r="AI29" s="68" t="s">
        <v>21</v>
      </c>
      <c r="AJ29" s="57" t="s">
        <v>21</v>
      </c>
      <c r="AK29" s="68" t="s">
        <v>21</v>
      </c>
      <c r="AL29" s="68" t="s">
        <v>21</v>
      </c>
      <c r="AM29" s="68" t="s">
        <v>21</v>
      </c>
      <c r="AN29" s="68" t="s">
        <v>21</v>
      </c>
      <c r="AO29" s="60">
        <v>9</v>
      </c>
      <c r="AMJ29" s="44"/>
    </row>
    <row r="30" spans="1:1024" s="61" customFormat="1" ht="45">
      <c r="A30"/>
      <c r="B30" s="54" t="s">
        <v>52</v>
      </c>
      <c r="C30" s="55" t="s">
        <v>236</v>
      </c>
      <c r="D30" s="64" t="s">
        <v>237</v>
      </c>
      <c r="E30" s="54" t="s">
        <v>231</v>
      </c>
      <c r="F30" s="64" t="s">
        <v>238</v>
      </c>
      <c r="G30" s="65" t="s">
        <v>239</v>
      </c>
      <c r="H30" s="57" t="s">
        <v>21</v>
      </c>
      <c r="I30" s="57">
        <v>1</v>
      </c>
      <c r="J30" s="57" t="s">
        <v>21</v>
      </c>
      <c r="K30" s="57" t="s">
        <v>21</v>
      </c>
      <c r="L30" s="58" t="s">
        <v>21</v>
      </c>
      <c r="M30" s="56" t="s">
        <v>21</v>
      </c>
      <c r="N30" s="59" t="s">
        <v>21</v>
      </c>
      <c r="O30" s="57" t="s">
        <v>21</v>
      </c>
      <c r="P30" s="57" t="s">
        <v>21</v>
      </c>
      <c r="Q30" s="57" t="s">
        <v>21</v>
      </c>
      <c r="R30" s="57" t="s">
        <v>21</v>
      </c>
      <c r="S30" s="57" t="s">
        <v>21</v>
      </c>
      <c r="T30" s="68" t="s">
        <v>21</v>
      </c>
      <c r="U30" s="68" t="s">
        <v>21</v>
      </c>
      <c r="V30" s="57" t="s">
        <v>21</v>
      </c>
      <c r="W30" s="57" t="s">
        <v>21</v>
      </c>
      <c r="X30" s="57" t="s">
        <v>21</v>
      </c>
      <c r="Y30" s="57" t="s">
        <v>21</v>
      </c>
      <c r="Z30" s="57" t="s">
        <v>21</v>
      </c>
      <c r="AA30" s="57" t="s">
        <v>21</v>
      </c>
      <c r="AB30" s="57" t="s">
        <v>21</v>
      </c>
      <c r="AC30" s="57" t="s">
        <v>21</v>
      </c>
      <c r="AD30" s="57" t="s">
        <v>21</v>
      </c>
      <c r="AE30" s="57" t="s">
        <v>21</v>
      </c>
      <c r="AF30" s="68" t="s">
        <v>21</v>
      </c>
      <c r="AG30" s="68" t="s">
        <v>21</v>
      </c>
      <c r="AH30" s="68" t="s">
        <v>21</v>
      </c>
      <c r="AI30" s="68" t="s">
        <v>21</v>
      </c>
      <c r="AJ30" s="57" t="s">
        <v>21</v>
      </c>
      <c r="AK30" s="68" t="s">
        <v>21</v>
      </c>
      <c r="AL30" s="68" t="s">
        <v>21</v>
      </c>
      <c r="AM30" s="68" t="s">
        <v>21</v>
      </c>
      <c r="AN30" s="68" t="s">
        <v>21</v>
      </c>
      <c r="AO30" s="60">
        <v>1</v>
      </c>
      <c r="AMJ30" s="44"/>
    </row>
    <row r="31" spans="1:1024" s="44" customFormat="1" ht="90">
      <c r="A31"/>
      <c r="B31" s="74" t="s">
        <v>52</v>
      </c>
      <c r="C31" s="75" t="s">
        <v>240</v>
      </c>
      <c r="D31" s="66" t="s">
        <v>241</v>
      </c>
      <c r="E31" s="74" t="s">
        <v>242</v>
      </c>
      <c r="F31" s="66" t="s">
        <v>243</v>
      </c>
      <c r="G31" s="67" t="s">
        <v>244</v>
      </c>
      <c r="H31" s="68">
        <v>1</v>
      </c>
      <c r="I31" s="68">
        <v>1</v>
      </c>
      <c r="J31" s="68" t="s">
        <v>21</v>
      </c>
      <c r="K31" s="68">
        <v>2</v>
      </c>
      <c r="L31" s="76" t="s">
        <v>21</v>
      </c>
      <c r="M31" s="70">
        <v>2</v>
      </c>
      <c r="N31" s="71" t="s">
        <v>21</v>
      </c>
      <c r="O31" s="68">
        <v>1</v>
      </c>
      <c r="P31" s="68" t="s">
        <v>21</v>
      </c>
      <c r="Q31" s="68" t="s">
        <v>21</v>
      </c>
      <c r="R31" s="68" t="s">
        <v>21</v>
      </c>
      <c r="S31" s="68" t="s">
        <v>21</v>
      </c>
      <c r="T31" s="68" t="s">
        <v>21</v>
      </c>
      <c r="U31" s="68" t="s">
        <v>21</v>
      </c>
      <c r="V31" s="68" t="s">
        <v>141</v>
      </c>
      <c r="W31" s="68" t="s">
        <v>21</v>
      </c>
      <c r="X31" s="68" t="s">
        <v>21</v>
      </c>
      <c r="Y31" s="68" t="s">
        <v>21</v>
      </c>
      <c r="Z31" s="68" t="s">
        <v>21</v>
      </c>
      <c r="AA31" s="68" t="s">
        <v>141</v>
      </c>
      <c r="AB31" s="68" t="s">
        <v>21</v>
      </c>
      <c r="AC31" s="68" t="s">
        <v>141</v>
      </c>
      <c r="AD31" s="68" t="s">
        <v>21</v>
      </c>
      <c r="AE31" s="68" t="s">
        <v>21</v>
      </c>
      <c r="AF31" s="68" t="s">
        <v>21</v>
      </c>
      <c r="AG31" s="68" t="s">
        <v>21</v>
      </c>
      <c r="AH31" s="68" t="s">
        <v>21</v>
      </c>
      <c r="AI31" s="68" t="s">
        <v>21</v>
      </c>
      <c r="AJ31" s="68" t="s">
        <v>21</v>
      </c>
      <c r="AK31" s="68" t="s">
        <v>21</v>
      </c>
      <c r="AL31" s="68" t="s">
        <v>21</v>
      </c>
      <c r="AM31" s="68" t="s">
        <v>21</v>
      </c>
      <c r="AN31" s="68" t="s">
        <v>21</v>
      </c>
      <c r="AO31" s="60">
        <v>7</v>
      </c>
    </row>
    <row r="32" spans="1:1024" s="44" customFormat="1" ht="45">
      <c r="A32"/>
      <c r="B32" s="74" t="s">
        <v>52</v>
      </c>
      <c r="C32" s="75" t="s">
        <v>245</v>
      </c>
      <c r="D32" s="66" t="s">
        <v>246</v>
      </c>
      <c r="E32" s="74" t="s">
        <v>242</v>
      </c>
      <c r="F32" s="66" t="s">
        <v>247</v>
      </c>
      <c r="G32" s="67" t="s">
        <v>248</v>
      </c>
      <c r="H32" s="68">
        <v>1</v>
      </c>
      <c r="I32" s="68" t="s">
        <v>21</v>
      </c>
      <c r="J32" s="68">
        <v>1</v>
      </c>
      <c r="K32" s="68">
        <v>1</v>
      </c>
      <c r="L32" s="69">
        <v>1</v>
      </c>
      <c r="M32" s="70">
        <v>1</v>
      </c>
      <c r="N32" s="71">
        <v>1</v>
      </c>
      <c r="O32" s="68" t="s">
        <v>21</v>
      </c>
      <c r="P32" s="68" t="s">
        <v>21</v>
      </c>
      <c r="Q32" s="68" t="s">
        <v>21</v>
      </c>
      <c r="R32" s="68" t="s">
        <v>21</v>
      </c>
      <c r="S32" s="68" t="s">
        <v>21</v>
      </c>
      <c r="T32" s="68" t="s">
        <v>21</v>
      </c>
      <c r="U32" s="68" t="s">
        <v>21</v>
      </c>
      <c r="V32" s="68" t="s">
        <v>21</v>
      </c>
      <c r="W32" s="68" t="s">
        <v>21</v>
      </c>
      <c r="X32" s="68" t="s">
        <v>21</v>
      </c>
      <c r="Y32" s="68" t="s">
        <v>21</v>
      </c>
      <c r="Z32" s="68" t="s">
        <v>21</v>
      </c>
      <c r="AA32" s="68" t="s">
        <v>21</v>
      </c>
      <c r="AB32" s="68" t="s">
        <v>21</v>
      </c>
      <c r="AC32" s="68" t="s">
        <v>141</v>
      </c>
      <c r="AD32" s="68" t="s">
        <v>21</v>
      </c>
      <c r="AE32" s="68" t="s">
        <v>21</v>
      </c>
      <c r="AF32" s="68" t="s">
        <v>21</v>
      </c>
      <c r="AG32" s="68" t="s">
        <v>21</v>
      </c>
      <c r="AH32" s="68" t="s">
        <v>21</v>
      </c>
      <c r="AI32" s="68" t="s">
        <v>21</v>
      </c>
      <c r="AJ32" s="68" t="s">
        <v>21</v>
      </c>
      <c r="AK32" s="68" t="s">
        <v>21</v>
      </c>
      <c r="AL32" s="68" t="s">
        <v>21</v>
      </c>
      <c r="AM32" s="68" t="s">
        <v>21</v>
      </c>
      <c r="AN32" s="68" t="s">
        <v>21</v>
      </c>
      <c r="AO32" s="60">
        <v>6</v>
      </c>
    </row>
    <row r="33" spans="10:29" ht="165">
      <c r="J33" s="77"/>
      <c r="K33" s="44"/>
      <c r="L33" s="44"/>
      <c r="M33" s="78" t="s">
        <v>249</v>
      </c>
      <c r="N33" s="44"/>
      <c r="O33" s="44"/>
      <c r="P33" s="44"/>
      <c r="Q33" s="44"/>
      <c r="R33" s="78" t="s">
        <v>250</v>
      </c>
      <c r="S33" s="78" t="s">
        <v>251</v>
      </c>
      <c r="T33" s="44"/>
      <c r="U33" s="78" t="s">
        <v>252</v>
      </c>
      <c r="V33" s="44"/>
      <c r="W33" s="44"/>
      <c r="X33" s="44"/>
      <c r="Y33" s="44"/>
      <c r="Z33" s="44"/>
      <c r="AA33" s="44"/>
      <c r="AB33" s="44"/>
      <c r="AC33" s="78" t="s">
        <v>253</v>
      </c>
    </row>
    <row r="34" spans="10:29" ht="165">
      <c r="J34" s="44"/>
      <c r="K34" s="44"/>
      <c r="L34" s="44"/>
      <c r="M34" s="78"/>
      <c r="N34" s="44"/>
      <c r="O34" s="44"/>
      <c r="P34" s="44"/>
      <c r="Q34" s="44"/>
      <c r="R34" s="44"/>
      <c r="S34" s="44"/>
      <c r="T34" s="44"/>
      <c r="U34" s="78" t="s">
        <v>254</v>
      </c>
      <c r="V34" s="44"/>
      <c r="W34" s="44"/>
      <c r="X34" s="44"/>
      <c r="Y34" s="44"/>
      <c r="Z34" s="44"/>
      <c r="AA34" s="44"/>
      <c r="AB34" s="44"/>
      <c r="AC34" s="44"/>
    </row>
  </sheetData>
  <pageMargins left="0.7" right="0.7" top="0.75" bottom="0.75" header="0.51180555555555496" footer="0.51180555555555496"/>
  <pageSetup paperSize="9" firstPageNumber="0"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B9969-4AB2-404C-9998-20CD3266195B}">
  <sheetPr>
    <tabColor theme="7" tint="0.59999389629810485"/>
  </sheetPr>
  <dimension ref="A2:AMI36"/>
  <sheetViews>
    <sheetView showGridLines="0" topLeftCell="J14" zoomScale="55" zoomScaleNormal="55" workbookViewId="0">
      <selection activeCell="I35" sqref="I35"/>
    </sheetView>
  </sheetViews>
  <sheetFormatPr defaultColWidth="9.42578125" defaultRowHeight="15" outlineLevelCol="1"/>
  <cols>
    <col min="1" max="1" width="3.42578125" style="170" customWidth="1"/>
    <col min="2" max="2" width="16.7109375" style="170" customWidth="1"/>
    <col min="3" max="3" width="15.5703125" style="174" customWidth="1"/>
    <col min="4" max="4" width="41.28515625" style="173" customWidth="1"/>
    <col min="5" max="5" width="59.28515625" style="173" customWidth="1" outlineLevel="1"/>
    <col min="6" max="6" width="45.5703125" style="172" customWidth="1" outlineLevel="1"/>
    <col min="7" max="7" width="33.7109375" style="170" customWidth="1" outlineLevel="1"/>
    <col min="8" max="12" width="17.140625" style="170" customWidth="1"/>
    <col min="13" max="13" width="17.28515625" style="171" customWidth="1"/>
    <col min="14" max="14" width="13.7109375" style="170" customWidth="1"/>
    <col min="15" max="15" width="15" style="170" customWidth="1"/>
    <col min="16" max="16" width="16.5703125" style="170" customWidth="1"/>
    <col min="17" max="17" width="15.28515625" style="170" customWidth="1"/>
    <col min="18" max="18" width="15.42578125" style="170" customWidth="1"/>
    <col min="19" max="19" width="15.7109375" style="170" customWidth="1"/>
    <col min="20" max="21" width="14.5703125" style="170" customWidth="1"/>
    <col min="22" max="22" width="14.7109375" style="170" customWidth="1"/>
    <col min="23" max="23" width="13.7109375" style="170" customWidth="1"/>
    <col min="24" max="25" width="13.28515625" style="170" customWidth="1"/>
    <col min="26" max="26" width="13.42578125" style="170" customWidth="1"/>
    <col min="27" max="31" width="11.85546875" style="170" customWidth="1"/>
    <col min="32" max="32" width="13" style="170" customWidth="1"/>
    <col min="33" max="36" width="11.85546875" style="170" customWidth="1"/>
    <col min="37" max="37" width="13.140625" style="170" customWidth="1"/>
    <col min="38" max="41" width="11.85546875" style="170" customWidth="1"/>
    <col min="42" max="1022" width="9.42578125" style="170"/>
  </cols>
  <sheetData>
    <row r="2" spans="2:1023" ht="21">
      <c r="B2" s="194" t="s">
        <v>64</v>
      </c>
      <c r="C2" s="193"/>
      <c r="D2" s="172"/>
      <c r="E2" s="172"/>
      <c r="F2" s="170"/>
    </row>
    <row r="3" spans="2:1023" ht="57">
      <c r="D3" s="192"/>
      <c r="E3" s="192"/>
      <c r="F3" s="191"/>
      <c r="H3" s="189" t="s">
        <v>65</v>
      </c>
      <c r="I3" s="189" t="s">
        <v>66</v>
      </c>
      <c r="J3" s="189" t="s">
        <v>67</v>
      </c>
      <c r="K3" s="189" t="s">
        <v>68</v>
      </c>
      <c r="L3" s="189" t="s">
        <v>69</v>
      </c>
      <c r="M3" s="190" t="s">
        <v>70</v>
      </c>
      <c r="N3" s="189" t="s">
        <v>71</v>
      </c>
      <c r="O3" s="189" t="s">
        <v>72</v>
      </c>
      <c r="P3" s="189" t="s">
        <v>73</v>
      </c>
      <c r="Q3" s="189" t="s">
        <v>74</v>
      </c>
      <c r="R3" s="189" t="s">
        <v>75</v>
      </c>
      <c r="S3" s="189" t="s">
        <v>76</v>
      </c>
      <c r="T3" s="189" t="s">
        <v>77</v>
      </c>
      <c r="U3" s="189" t="s">
        <v>78</v>
      </c>
      <c r="V3" s="189" t="s">
        <v>79</v>
      </c>
      <c r="W3" s="189" t="s">
        <v>80</v>
      </c>
      <c r="X3" s="189" t="s">
        <v>81</v>
      </c>
      <c r="Y3" s="189" t="s">
        <v>82</v>
      </c>
      <c r="Z3" s="189" t="s">
        <v>83</v>
      </c>
      <c r="AA3" s="189" t="s">
        <v>84</v>
      </c>
      <c r="AB3" s="189" t="s">
        <v>85</v>
      </c>
      <c r="AC3" s="189" t="s">
        <v>86</v>
      </c>
      <c r="AD3" s="189" t="s">
        <v>87</v>
      </c>
      <c r="AE3" s="189" t="s">
        <v>88</v>
      </c>
      <c r="AF3" s="189" t="s">
        <v>89</v>
      </c>
      <c r="AG3" s="189" t="s">
        <v>90</v>
      </c>
      <c r="AH3" s="189" t="s">
        <v>91</v>
      </c>
      <c r="AI3" s="189" t="s">
        <v>92</v>
      </c>
      <c r="AJ3" s="189" t="s">
        <v>93</v>
      </c>
      <c r="AK3" s="189" t="s">
        <v>94</v>
      </c>
      <c r="AL3" s="189" t="s">
        <v>95</v>
      </c>
      <c r="AM3" s="189" t="s">
        <v>96</v>
      </c>
      <c r="AN3" s="189" t="s">
        <v>97</v>
      </c>
      <c r="AO3" s="174"/>
    </row>
    <row r="4" spans="2:1023" ht="30">
      <c r="B4" s="188" t="s">
        <v>0</v>
      </c>
      <c r="C4" s="188" t="s">
        <v>98</v>
      </c>
      <c r="D4" s="188" t="s">
        <v>99</v>
      </c>
      <c r="E4" s="188" t="s">
        <v>100</v>
      </c>
      <c r="F4" s="188" t="s">
        <v>101</v>
      </c>
      <c r="G4" s="188" t="s">
        <v>102</v>
      </c>
      <c r="H4" s="187" t="s">
        <v>103</v>
      </c>
      <c r="I4" s="187" t="s">
        <v>104</v>
      </c>
      <c r="J4" s="187" t="s">
        <v>105</v>
      </c>
      <c r="K4" s="187" t="s">
        <v>106</v>
      </c>
      <c r="L4" s="187" t="s">
        <v>107</v>
      </c>
      <c r="M4" s="187" t="s">
        <v>108</v>
      </c>
      <c r="N4" s="187" t="s">
        <v>109</v>
      </c>
      <c r="O4" s="187" t="s">
        <v>110</v>
      </c>
      <c r="P4" s="187" t="s">
        <v>111</v>
      </c>
      <c r="Q4" s="187" t="s">
        <v>112</v>
      </c>
      <c r="R4" s="187" t="s">
        <v>113</v>
      </c>
      <c r="S4" s="187" t="s">
        <v>114</v>
      </c>
      <c r="T4" s="187" t="s">
        <v>112</v>
      </c>
      <c r="U4" s="187" t="s">
        <v>115</v>
      </c>
      <c r="V4" s="187" t="s">
        <v>116</v>
      </c>
      <c r="W4" s="187" t="s">
        <v>117</v>
      </c>
      <c r="X4" s="187" t="s">
        <v>118</v>
      </c>
      <c r="Y4" s="187" t="s">
        <v>119</v>
      </c>
      <c r="Z4" s="187" t="s">
        <v>120</v>
      </c>
      <c r="AA4" s="187" t="s">
        <v>121</v>
      </c>
      <c r="AB4" s="187" t="s">
        <v>122</v>
      </c>
      <c r="AC4" s="187" t="s">
        <v>123</v>
      </c>
      <c r="AD4" s="187" t="s">
        <v>124</v>
      </c>
      <c r="AE4" s="187" t="s">
        <v>125</v>
      </c>
      <c r="AF4" s="187" t="s">
        <v>126</v>
      </c>
      <c r="AG4" s="187" t="s">
        <v>127</v>
      </c>
      <c r="AH4" s="187" t="s">
        <v>128</v>
      </c>
      <c r="AI4" s="187" t="s">
        <v>129</v>
      </c>
      <c r="AJ4" s="187" t="s">
        <v>130</v>
      </c>
      <c r="AK4" s="187" t="s">
        <v>131</v>
      </c>
      <c r="AL4" s="187" t="s">
        <v>132</v>
      </c>
      <c r="AM4" s="187" t="s">
        <v>133</v>
      </c>
      <c r="AN4" s="187" t="s">
        <v>134</v>
      </c>
      <c r="AO4" s="186" t="s">
        <v>135</v>
      </c>
    </row>
    <row r="5" spans="2:1023" s="181" customFormat="1" ht="38.25">
      <c r="B5" s="184" t="s">
        <v>52</v>
      </c>
      <c r="C5" s="185" t="s">
        <v>136</v>
      </c>
      <c r="D5" s="184" t="s">
        <v>137</v>
      </c>
      <c r="E5" s="184" t="s">
        <v>138</v>
      </c>
      <c r="F5" s="184" t="s">
        <v>139</v>
      </c>
      <c r="G5" s="185" t="s">
        <v>140</v>
      </c>
      <c r="H5" s="195">
        <v>2</v>
      </c>
      <c r="I5" s="212">
        <v>4</v>
      </c>
      <c r="J5" s="213">
        <v>0</v>
      </c>
      <c r="K5" s="213">
        <v>4</v>
      </c>
      <c r="L5" s="197">
        <v>1</v>
      </c>
      <c r="M5" s="195" t="s">
        <v>21</v>
      </c>
      <c r="N5" s="214">
        <v>1</v>
      </c>
      <c r="O5" s="213">
        <v>3</v>
      </c>
      <c r="P5" s="198" t="s">
        <v>21</v>
      </c>
      <c r="Q5" s="199" t="s">
        <v>21</v>
      </c>
      <c r="R5" s="199" t="s">
        <v>21</v>
      </c>
      <c r="S5" s="199" t="s">
        <v>21</v>
      </c>
      <c r="T5" s="199" t="s">
        <v>21</v>
      </c>
      <c r="U5" s="199" t="s">
        <v>21</v>
      </c>
      <c r="V5" s="198" t="s">
        <v>21</v>
      </c>
      <c r="W5" s="198">
        <v>1</v>
      </c>
      <c r="X5" s="199" t="s">
        <v>21</v>
      </c>
      <c r="Y5" s="213">
        <v>0</v>
      </c>
      <c r="Z5" s="198" t="s">
        <v>21</v>
      </c>
      <c r="AA5" s="198" t="s">
        <v>21</v>
      </c>
      <c r="AB5" s="198" t="s">
        <v>141</v>
      </c>
      <c r="AC5" s="216" t="s">
        <v>142</v>
      </c>
      <c r="AD5" s="199" t="s">
        <v>21</v>
      </c>
      <c r="AE5" s="199" t="s">
        <v>21</v>
      </c>
      <c r="AF5" s="199" t="s">
        <v>21</v>
      </c>
      <c r="AG5" s="199" t="s">
        <v>21</v>
      </c>
      <c r="AH5" s="199" t="s">
        <v>21</v>
      </c>
      <c r="AI5" s="199" t="s">
        <v>21</v>
      </c>
      <c r="AJ5" s="199" t="s">
        <v>21</v>
      </c>
      <c r="AK5" s="199" t="s">
        <v>21</v>
      </c>
      <c r="AL5" s="199" t="s">
        <v>21</v>
      </c>
      <c r="AM5" s="199" t="s">
        <v>21</v>
      </c>
      <c r="AN5" s="199" t="s">
        <v>21</v>
      </c>
      <c r="AO5" s="218">
        <f t="shared" ref="AO5:AO34" si="0">SUM(H5:AN5)</f>
        <v>16</v>
      </c>
      <c r="AMI5"/>
    </row>
    <row r="6" spans="2:1023" s="181" customFormat="1" ht="30">
      <c r="B6" s="184" t="s">
        <v>52</v>
      </c>
      <c r="C6" s="185" t="s">
        <v>143</v>
      </c>
      <c r="D6" s="184" t="s">
        <v>137</v>
      </c>
      <c r="E6" s="184" t="s">
        <v>138</v>
      </c>
      <c r="F6" s="184" t="s">
        <v>144</v>
      </c>
      <c r="G6" s="185" t="s">
        <v>140</v>
      </c>
      <c r="H6" s="195" t="s">
        <v>21</v>
      </c>
      <c r="I6" s="213">
        <v>0</v>
      </c>
      <c r="J6" s="198">
        <v>2</v>
      </c>
      <c r="K6" s="213">
        <v>0</v>
      </c>
      <c r="L6" s="197" t="s">
        <v>21</v>
      </c>
      <c r="M6" s="195" t="s">
        <v>21</v>
      </c>
      <c r="N6" s="200" t="s">
        <v>21</v>
      </c>
      <c r="O6" s="198" t="s">
        <v>21</v>
      </c>
      <c r="P6" s="198" t="s">
        <v>21</v>
      </c>
      <c r="Q6" s="199" t="s">
        <v>21</v>
      </c>
      <c r="R6" s="199" t="s">
        <v>21</v>
      </c>
      <c r="S6" s="199" t="s">
        <v>21</v>
      </c>
      <c r="T6" s="199" t="s">
        <v>21</v>
      </c>
      <c r="U6" s="199" t="s">
        <v>21</v>
      </c>
      <c r="V6" s="198" t="s">
        <v>21</v>
      </c>
      <c r="W6" s="198" t="s">
        <v>21</v>
      </c>
      <c r="X6" s="199" t="s">
        <v>21</v>
      </c>
      <c r="Y6" s="198" t="s">
        <v>21</v>
      </c>
      <c r="Z6" s="198" t="s">
        <v>21</v>
      </c>
      <c r="AA6" s="198" t="s">
        <v>21</v>
      </c>
      <c r="AB6" s="198" t="s">
        <v>21</v>
      </c>
      <c r="AC6" s="199" t="s">
        <v>21</v>
      </c>
      <c r="AD6" s="199" t="s">
        <v>21</v>
      </c>
      <c r="AE6" s="199" t="s">
        <v>21</v>
      </c>
      <c r="AF6" s="199" t="s">
        <v>21</v>
      </c>
      <c r="AG6" s="199" t="s">
        <v>21</v>
      </c>
      <c r="AH6" s="199" t="s">
        <v>21</v>
      </c>
      <c r="AI6" s="199" t="s">
        <v>21</v>
      </c>
      <c r="AJ6" s="199" t="s">
        <v>21</v>
      </c>
      <c r="AK6" s="199" t="s">
        <v>21</v>
      </c>
      <c r="AL6" s="199" t="s">
        <v>21</v>
      </c>
      <c r="AM6" s="199" t="s">
        <v>21</v>
      </c>
      <c r="AN6" s="199" t="s">
        <v>21</v>
      </c>
      <c r="AO6" s="218">
        <f t="shared" si="0"/>
        <v>2</v>
      </c>
      <c r="AMI6"/>
    </row>
    <row r="7" spans="2:1023" s="181" customFormat="1" ht="30">
      <c r="B7" s="184" t="s">
        <v>52</v>
      </c>
      <c r="C7" s="185" t="s">
        <v>145</v>
      </c>
      <c r="D7" s="184" t="s">
        <v>146</v>
      </c>
      <c r="E7" s="184" t="s">
        <v>138</v>
      </c>
      <c r="F7" s="184" t="s">
        <v>147</v>
      </c>
      <c r="G7" s="185" t="s">
        <v>148</v>
      </c>
      <c r="H7" s="195">
        <v>1</v>
      </c>
      <c r="I7" s="195">
        <v>2</v>
      </c>
      <c r="J7" s="195">
        <v>1</v>
      </c>
      <c r="K7" s="195">
        <v>1</v>
      </c>
      <c r="L7" s="201" t="s">
        <v>21</v>
      </c>
      <c r="M7" s="195">
        <v>1</v>
      </c>
      <c r="N7" s="202">
        <v>1</v>
      </c>
      <c r="O7" s="195">
        <v>1</v>
      </c>
      <c r="P7" s="195" t="s">
        <v>21</v>
      </c>
      <c r="Q7" s="195" t="s">
        <v>21</v>
      </c>
      <c r="R7" s="198" t="s">
        <v>21</v>
      </c>
      <c r="S7" s="198" t="s">
        <v>21</v>
      </c>
      <c r="T7" s="198" t="s">
        <v>21</v>
      </c>
      <c r="U7" s="199" t="s">
        <v>21</v>
      </c>
      <c r="V7" s="198">
        <v>1</v>
      </c>
      <c r="W7" s="213">
        <v>0</v>
      </c>
      <c r="X7" s="199" t="s">
        <v>21</v>
      </c>
      <c r="Y7" s="198" t="s">
        <v>141</v>
      </c>
      <c r="Z7" s="198" t="s">
        <v>21</v>
      </c>
      <c r="AA7" s="198" t="s">
        <v>21</v>
      </c>
      <c r="AB7" s="198" t="s">
        <v>141</v>
      </c>
      <c r="AC7" s="198">
        <v>1</v>
      </c>
      <c r="AD7" s="199" t="s">
        <v>21</v>
      </c>
      <c r="AE7" s="199" t="s">
        <v>21</v>
      </c>
      <c r="AF7" s="199" t="s">
        <v>21</v>
      </c>
      <c r="AG7" s="199" t="s">
        <v>21</v>
      </c>
      <c r="AH7" s="199" t="s">
        <v>21</v>
      </c>
      <c r="AI7" s="199" t="s">
        <v>21</v>
      </c>
      <c r="AJ7" s="199" t="s">
        <v>21</v>
      </c>
      <c r="AK7" s="199" t="s">
        <v>21</v>
      </c>
      <c r="AL7" s="199" t="s">
        <v>21</v>
      </c>
      <c r="AM7" s="199" t="s">
        <v>21</v>
      </c>
      <c r="AN7" s="199" t="s">
        <v>21</v>
      </c>
      <c r="AO7" s="218">
        <f t="shared" si="0"/>
        <v>10</v>
      </c>
      <c r="AMI7"/>
    </row>
    <row r="8" spans="2:1023" s="181" customFormat="1" ht="30">
      <c r="B8" s="184" t="s">
        <v>52</v>
      </c>
      <c r="C8" s="185" t="s">
        <v>149</v>
      </c>
      <c r="D8" s="184" t="s">
        <v>150</v>
      </c>
      <c r="E8" s="184" t="s">
        <v>138</v>
      </c>
      <c r="F8" s="184" t="s">
        <v>151</v>
      </c>
      <c r="G8" s="185" t="s">
        <v>152</v>
      </c>
      <c r="H8" s="198">
        <v>4075</v>
      </c>
      <c r="I8" s="195">
        <v>2967</v>
      </c>
      <c r="J8" s="195">
        <v>5958</v>
      </c>
      <c r="K8" s="195">
        <v>4088</v>
      </c>
      <c r="L8" s="201">
        <v>523</v>
      </c>
      <c r="M8" s="195">
        <v>4650</v>
      </c>
      <c r="N8" s="202">
        <v>295</v>
      </c>
      <c r="O8" s="195">
        <v>446</v>
      </c>
      <c r="P8" s="195">
        <v>6</v>
      </c>
      <c r="Q8" s="195">
        <v>82</v>
      </c>
      <c r="R8" s="198" t="s">
        <v>21</v>
      </c>
      <c r="S8" s="198">
        <v>1831</v>
      </c>
      <c r="T8" s="198" t="s">
        <v>21</v>
      </c>
      <c r="U8" s="198">
        <v>95</v>
      </c>
      <c r="V8" s="198">
        <v>564</v>
      </c>
      <c r="W8" s="198">
        <v>311</v>
      </c>
      <c r="X8" s="199" t="s">
        <v>21</v>
      </c>
      <c r="Y8" s="198">
        <v>9</v>
      </c>
      <c r="Z8" s="198">
        <v>641</v>
      </c>
      <c r="AA8" s="198">
        <v>5508</v>
      </c>
      <c r="AB8" s="198">
        <v>184</v>
      </c>
      <c r="AC8" s="198">
        <v>405</v>
      </c>
      <c r="AD8" s="198">
        <v>303</v>
      </c>
      <c r="AE8" s="199" t="s">
        <v>21</v>
      </c>
      <c r="AF8" s="199" t="s">
        <v>21</v>
      </c>
      <c r="AG8" s="199" t="s">
        <v>21</v>
      </c>
      <c r="AH8" s="199" t="s">
        <v>21</v>
      </c>
      <c r="AI8" s="199" t="s">
        <v>21</v>
      </c>
      <c r="AJ8" s="199" t="s">
        <v>21</v>
      </c>
      <c r="AK8" s="199" t="s">
        <v>21</v>
      </c>
      <c r="AL8" s="199" t="s">
        <v>21</v>
      </c>
      <c r="AM8" s="199" t="s">
        <v>21</v>
      </c>
      <c r="AN8" s="199" t="s">
        <v>21</v>
      </c>
      <c r="AO8" s="203">
        <f t="shared" si="0"/>
        <v>32941</v>
      </c>
      <c r="AMI8"/>
    </row>
    <row r="9" spans="2:1023" s="181" customFormat="1" ht="30">
      <c r="B9" s="184" t="s">
        <v>52</v>
      </c>
      <c r="C9" s="185" t="s">
        <v>153</v>
      </c>
      <c r="D9" s="184" t="s">
        <v>154</v>
      </c>
      <c r="E9" s="184" t="s">
        <v>138</v>
      </c>
      <c r="F9" s="184" t="s">
        <v>155</v>
      </c>
      <c r="G9" s="185" t="s">
        <v>156</v>
      </c>
      <c r="H9" s="195" t="s">
        <v>21</v>
      </c>
      <c r="I9" s="195" t="s">
        <v>21</v>
      </c>
      <c r="J9" s="195" t="s">
        <v>21</v>
      </c>
      <c r="K9" s="198" t="s">
        <v>157</v>
      </c>
      <c r="L9" s="197" t="s">
        <v>21</v>
      </c>
      <c r="M9" s="195" t="s">
        <v>21</v>
      </c>
      <c r="N9" s="202" t="s">
        <v>21</v>
      </c>
      <c r="O9" s="195" t="s">
        <v>21</v>
      </c>
      <c r="P9" s="195" t="s">
        <v>21</v>
      </c>
      <c r="Q9" s="195" t="s">
        <v>21</v>
      </c>
      <c r="R9" s="198" t="s">
        <v>21</v>
      </c>
      <c r="S9" s="198" t="s">
        <v>21</v>
      </c>
      <c r="T9" s="198" t="s">
        <v>21</v>
      </c>
      <c r="U9" s="199" t="s">
        <v>141</v>
      </c>
      <c r="V9" s="198" t="s">
        <v>141</v>
      </c>
      <c r="W9" s="198" t="s">
        <v>141</v>
      </c>
      <c r="X9" s="199" t="s">
        <v>141</v>
      </c>
      <c r="Y9" s="198" t="s">
        <v>141</v>
      </c>
      <c r="Z9" s="198" t="s">
        <v>141</v>
      </c>
      <c r="AA9" s="198" t="s">
        <v>141</v>
      </c>
      <c r="AB9" s="198" t="s">
        <v>141</v>
      </c>
      <c r="AC9" s="199" t="s">
        <v>141</v>
      </c>
      <c r="AD9" s="199" t="s">
        <v>141</v>
      </c>
      <c r="AE9" s="199" t="s">
        <v>21</v>
      </c>
      <c r="AF9" s="199" t="s">
        <v>21</v>
      </c>
      <c r="AG9" s="199" t="s">
        <v>21</v>
      </c>
      <c r="AH9" s="199" t="s">
        <v>21</v>
      </c>
      <c r="AI9" s="199" t="s">
        <v>21</v>
      </c>
      <c r="AJ9" s="199" t="s">
        <v>21</v>
      </c>
      <c r="AK9" s="199" t="s">
        <v>141</v>
      </c>
      <c r="AL9" s="199" t="s">
        <v>141</v>
      </c>
      <c r="AM9" s="199" t="s">
        <v>141</v>
      </c>
      <c r="AN9" s="199" t="s">
        <v>141</v>
      </c>
      <c r="AO9" s="203">
        <f t="shared" si="0"/>
        <v>0</v>
      </c>
      <c r="AMI9"/>
    </row>
    <row r="10" spans="2:1023" s="181" customFormat="1" ht="30">
      <c r="B10" s="183" t="s">
        <v>52</v>
      </c>
      <c r="C10" s="182" t="s">
        <v>158</v>
      </c>
      <c r="D10" s="183" t="s">
        <v>159</v>
      </c>
      <c r="E10" s="183" t="s">
        <v>138</v>
      </c>
      <c r="F10" s="183" t="s">
        <v>160</v>
      </c>
      <c r="G10" s="182" t="s">
        <v>161</v>
      </c>
      <c r="H10" s="198">
        <v>4</v>
      </c>
      <c r="I10" s="198" t="s">
        <v>21</v>
      </c>
      <c r="J10" s="198">
        <v>11</v>
      </c>
      <c r="K10" s="198">
        <v>5</v>
      </c>
      <c r="L10" s="197">
        <v>6</v>
      </c>
      <c r="M10" s="195"/>
      <c r="N10" s="200" t="s">
        <v>21</v>
      </c>
      <c r="O10" s="196" t="s">
        <v>21</v>
      </c>
      <c r="P10" s="198">
        <v>4</v>
      </c>
      <c r="Q10" s="198">
        <v>2</v>
      </c>
      <c r="R10" s="198" t="s">
        <v>21</v>
      </c>
      <c r="S10" s="198">
        <v>26</v>
      </c>
      <c r="T10" s="198" t="s">
        <v>21</v>
      </c>
      <c r="U10" s="199" t="s">
        <v>21</v>
      </c>
      <c r="V10" s="198" t="s">
        <v>141</v>
      </c>
      <c r="W10" s="198" t="s">
        <v>141</v>
      </c>
      <c r="X10" s="199" t="s">
        <v>21</v>
      </c>
      <c r="Y10" s="198" t="s">
        <v>141</v>
      </c>
      <c r="Z10" s="198" t="s">
        <v>21</v>
      </c>
      <c r="AA10" s="198" t="s">
        <v>141</v>
      </c>
      <c r="AB10" s="198" t="s">
        <v>141</v>
      </c>
      <c r="AC10" s="199" t="s">
        <v>21</v>
      </c>
      <c r="AD10" s="199" t="s">
        <v>21</v>
      </c>
      <c r="AE10" s="199" t="s">
        <v>21</v>
      </c>
      <c r="AF10" s="199" t="s">
        <v>21</v>
      </c>
      <c r="AG10" s="199" t="s">
        <v>21</v>
      </c>
      <c r="AH10" s="199" t="s">
        <v>21</v>
      </c>
      <c r="AI10" s="199" t="s">
        <v>21</v>
      </c>
      <c r="AJ10" s="199" t="s">
        <v>21</v>
      </c>
      <c r="AK10" s="199" t="s">
        <v>21</v>
      </c>
      <c r="AL10" s="199" t="s">
        <v>21</v>
      </c>
      <c r="AM10" s="199" t="s">
        <v>21</v>
      </c>
      <c r="AN10" s="199" t="s">
        <v>21</v>
      </c>
      <c r="AO10" s="203" t="e">
        <f ca="1">SUM(H :AN )</f>
        <v>#NAME?</v>
      </c>
      <c r="AMI10"/>
    </row>
    <row r="11" spans="2:1023" s="181" customFormat="1" ht="30">
      <c r="B11" s="184" t="s">
        <v>52</v>
      </c>
      <c r="C11" s="185" t="s">
        <v>162</v>
      </c>
      <c r="D11" s="184" t="s">
        <v>163</v>
      </c>
      <c r="E11" s="184" t="s">
        <v>138</v>
      </c>
      <c r="F11" s="184" t="s">
        <v>164</v>
      </c>
      <c r="G11" s="185" t="s">
        <v>165</v>
      </c>
      <c r="H11" s="195">
        <v>1</v>
      </c>
      <c r="I11" s="195">
        <v>2</v>
      </c>
      <c r="J11" s="195">
        <v>1</v>
      </c>
      <c r="K11" s="195">
        <v>3</v>
      </c>
      <c r="L11" s="201" t="s">
        <v>21</v>
      </c>
      <c r="M11" s="195">
        <v>2</v>
      </c>
      <c r="N11" s="202">
        <v>1</v>
      </c>
      <c r="O11" s="195">
        <v>1</v>
      </c>
      <c r="P11" s="195" t="s">
        <v>21</v>
      </c>
      <c r="Q11" s="195" t="s">
        <v>21</v>
      </c>
      <c r="R11" s="198" t="s">
        <v>21</v>
      </c>
      <c r="S11" s="198" t="s">
        <v>21</v>
      </c>
      <c r="T11" s="198" t="s">
        <v>21</v>
      </c>
      <c r="U11" s="199" t="s">
        <v>21</v>
      </c>
      <c r="V11" s="198" t="s">
        <v>141</v>
      </c>
      <c r="W11" s="198" t="s">
        <v>141</v>
      </c>
      <c r="X11" s="199" t="s">
        <v>21</v>
      </c>
      <c r="Y11" s="198" t="s">
        <v>141</v>
      </c>
      <c r="Z11" s="198" t="s">
        <v>21</v>
      </c>
      <c r="AA11" s="198" t="s">
        <v>21</v>
      </c>
      <c r="AB11" s="198" t="s">
        <v>141</v>
      </c>
      <c r="AC11" s="198">
        <v>1</v>
      </c>
      <c r="AD11" s="199" t="s">
        <v>21</v>
      </c>
      <c r="AE11" s="199" t="s">
        <v>21</v>
      </c>
      <c r="AF11" s="199" t="s">
        <v>21</v>
      </c>
      <c r="AG11" s="199" t="s">
        <v>21</v>
      </c>
      <c r="AH11" s="199" t="s">
        <v>21</v>
      </c>
      <c r="AI11" s="199" t="s">
        <v>21</v>
      </c>
      <c r="AJ11" s="199" t="s">
        <v>21</v>
      </c>
      <c r="AK11" s="199" t="s">
        <v>21</v>
      </c>
      <c r="AL11" s="199" t="s">
        <v>21</v>
      </c>
      <c r="AM11" s="199" t="s">
        <v>21</v>
      </c>
      <c r="AN11" s="199" t="s">
        <v>21</v>
      </c>
      <c r="AO11" s="203">
        <f t="shared" si="0"/>
        <v>12</v>
      </c>
      <c r="AMI11"/>
    </row>
    <row r="12" spans="2:1023" s="181" customFormat="1" ht="30">
      <c r="B12" s="184" t="s">
        <v>52</v>
      </c>
      <c r="C12" s="185" t="s">
        <v>166</v>
      </c>
      <c r="D12" s="184" t="s">
        <v>167</v>
      </c>
      <c r="E12" s="184" t="s">
        <v>138</v>
      </c>
      <c r="F12" s="184" t="s">
        <v>168</v>
      </c>
      <c r="G12" s="185" t="s">
        <v>169</v>
      </c>
      <c r="H12" s="198">
        <v>3715</v>
      </c>
      <c r="I12" s="198">
        <v>2412</v>
      </c>
      <c r="J12" s="195">
        <v>24</v>
      </c>
      <c r="K12" s="195">
        <v>3312</v>
      </c>
      <c r="L12" s="201" t="s">
        <v>21</v>
      </c>
      <c r="M12" s="195">
        <v>4650</v>
      </c>
      <c r="N12" s="202">
        <v>295</v>
      </c>
      <c r="O12" s="195">
        <v>446</v>
      </c>
      <c r="P12" s="195" t="s">
        <v>21</v>
      </c>
      <c r="Q12" s="195" t="s">
        <v>21</v>
      </c>
      <c r="R12" s="198" t="s">
        <v>21</v>
      </c>
      <c r="S12" s="198" t="s">
        <v>21</v>
      </c>
      <c r="T12" s="198" t="s">
        <v>21</v>
      </c>
      <c r="U12" s="199" t="s">
        <v>21</v>
      </c>
      <c r="V12" s="198">
        <v>564</v>
      </c>
      <c r="W12" s="198">
        <v>311</v>
      </c>
      <c r="X12" s="199" t="s">
        <v>21</v>
      </c>
      <c r="Y12" s="198">
        <v>9</v>
      </c>
      <c r="Z12" s="198">
        <v>641</v>
      </c>
      <c r="AA12" s="198" t="s">
        <v>21</v>
      </c>
      <c r="AB12" s="198">
        <v>184</v>
      </c>
      <c r="AC12" s="198">
        <v>405</v>
      </c>
      <c r="AD12" s="198">
        <v>303</v>
      </c>
      <c r="AE12" s="199" t="s">
        <v>21</v>
      </c>
      <c r="AF12" s="199" t="s">
        <v>21</v>
      </c>
      <c r="AG12" s="199" t="s">
        <v>21</v>
      </c>
      <c r="AH12" s="199" t="s">
        <v>21</v>
      </c>
      <c r="AI12" s="199" t="s">
        <v>21</v>
      </c>
      <c r="AJ12" s="199" t="s">
        <v>21</v>
      </c>
      <c r="AK12" s="199" t="s">
        <v>21</v>
      </c>
      <c r="AL12" s="199" t="s">
        <v>21</v>
      </c>
      <c r="AM12" s="199" t="s">
        <v>21</v>
      </c>
      <c r="AN12" s="199" t="s">
        <v>21</v>
      </c>
      <c r="AO12" s="203">
        <f t="shared" si="0"/>
        <v>17271</v>
      </c>
      <c r="AMI12"/>
    </row>
    <row r="13" spans="2:1023" ht="15.75">
      <c r="B13" s="178" t="s">
        <v>52</v>
      </c>
      <c r="C13" s="177" t="s">
        <v>170</v>
      </c>
      <c r="D13" s="178" t="s">
        <v>171</v>
      </c>
      <c r="E13" s="178" t="s">
        <v>172</v>
      </c>
      <c r="F13" s="178" t="s">
        <v>173</v>
      </c>
      <c r="G13" s="177" t="s">
        <v>152</v>
      </c>
      <c r="H13" s="204">
        <v>4075</v>
      </c>
      <c r="I13" s="204">
        <v>2967</v>
      </c>
      <c r="J13" s="204">
        <v>5958</v>
      </c>
      <c r="K13" s="204">
        <v>4088</v>
      </c>
      <c r="L13" s="205">
        <v>523</v>
      </c>
      <c r="M13" s="206">
        <v>4650</v>
      </c>
      <c r="N13" s="207">
        <v>295</v>
      </c>
      <c r="O13" s="204">
        <v>446</v>
      </c>
      <c r="P13" s="204">
        <v>6</v>
      </c>
      <c r="Q13" s="204">
        <v>82</v>
      </c>
      <c r="R13" s="204">
        <v>575</v>
      </c>
      <c r="S13" s="204">
        <v>1831</v>
      </c>
      <c r="T13" s="204">
        <v>4854.6400000000003</v>
      </c>
      <c r="U13" s="199" t="s">
        <v>21</v>
      </c>
      <c r="V13" s="204">
        <v>564</v>
      </c>
      <c r="W13" s="204">
        <v>311</v>
      </c>
      <c r="X13" s="204">
        <v>1154</v>
      </c>
      <c r="Y13" s="204">
        <v>9</v>
      </c>
      <c r="Z13" s="204">
        <v>641</v>
      </c>
      <c r="AA13" s="204">
        <v>5508</v>
      </c>
      <c r="AB13" s="204">
        <v>184</v>
      </c>
      <c r="AC13" s="204">
        <v>405</v>
      </c>
      <c r="AD13" s="204">
        <v>303</v>
      </c>
      <c r="AE13" s="204">
        <v>638</v>
      </c>
      <c r="AF13" s="204">
        <v>861</v>
      </c>
      <c r="AG13" s="204">
        <v>275</v>
      </c>
      <c r="AH13" s="204">
        <v>677</v>
      </c>
      <c r="AI13" s="204">
        <v>276</v>
      </c>
      <c r="AJ13" s="204">
        <v>437</v>
      </c>
      <c r="AK13" s="204">
        <v>601</v>
      </c>
      <c r="AL13" s="204">
        <v>370</v>
      </c>
      <c r="AM13" s="204">
        <v>395</v>
      </c>
      <c r="AN13" s="204">
        <v>98</v>
      </c>
      <c r="AO13" s="203" t="e">
        <f ca="1">SUM(H :AN )</f>
        <v>#NAME?</v>
      </c>
    </row>
    <row r="14" spans="2:1023" ht="15.75">
      <c r="B14" s="178" t="s">
        <v>52</v>
      </c>
      <c r="C14" s="177" t="s">
        <v>174</v>
      </c>
      <c r="D14" s="178" t="s">
        <v>175</v>
      </c>
      <c r="E14" s="178" t="s">
        <v>172</v>
      </c>
      <c r="F14" s="178" t="s">
        <v>176</v>
      </c>
      <c r="G14" s="177" t="s">
        <v>177</v>
      </c>
      <c r="H14" s="204" t="s">
        <v>21</v>
      </c>
      <c r="I14" s="204" t="s">
        <v>21</v>
      </c>
      <c r="J14" s="204" t="s">
        <v>21</v>
      </c>
      <c r="K14" s="204">
        <v>1</v>
      </c>
      <c r="L14" s="205" t="s">
        <v>21</v>
      </c>
      <c r="M14" s="206" t="s">
        <v>21</v>
      </c>
      <c r="N14" s="207" t="s">
        <v>21</v>
      </c>
      <c r="O14" s="204" t="s">
        <v>21</v>
      </c>
      <c r="P14" s="204" t="s">
        <v>21</v>
      </c>
      <c r="Q14" s="204" t="s">
        <v>21</v>
      </c>
      <c r="R14" s="204" t="s">
        <v>21</v>
      </c>
      <c r="S14" s="204" t="s">
        <v>141</v>
      </c>
      <c r="T14" s="204" t="s">
        <v>21</v>
      </c>
      <c r="U14" s="199" t="s">
        <v>21</v>
      </c>
      <c r="V14" s="204" t="s">
        <v>21</v>
      </c>
      <c r="W14" s="204" t="s">
        <v>21</v>
      </c>
      <c r="X14" s="204" t="s">
        <v>21</v>
      </c>
      <c r="Y14" s="204" t="s">
        <v>21</v>
      </c>
      <c r="Z14" s="204" t="s">
        <v>21</v>
      </c>
      <c r="AA14" s="204" t="s">
        <v>21</v>
      </c>
      <c r="AB14" s="204" t="s">
        <v>21</v>
      </c>
      <c r="AC14" s="208" t="s">
        <v>21</v>
      </c>
      <c r="AD14" s="208" t="s">
        <v>21</v>
      </c>
      <c r="AE14" s="208" t="s">
        <v>21</v>
      </c>
      <c r="AF14" s="208" t="s">
        <v>21</v>
      </c>
      <c r="AG14" s="204" t="s">
        <v>21</v>
      </c>
      <c r="AH14" s="204" t="s">
        <v>21</v>
      </c>
      <c r="AI14" s="204" t="s">
        <v>21</v>
      </c>
      <c r="AJ14" s="204" t="s">
        <v>21</v>
      </c>
      <c r="AK14" s="204" t="s">
        <v>21</v>
      </c>
      <c r="AL14" s="204" t="s">
        <v>21</v>
      </c>
      <c r="AM14" s="204" t="s">
        <v>21</v>
      </c>
      <c r="AN14" s="204" t="s">
        <v>21</v>
      </c>
      <c r="AO14" s="203">
        <f t="shared" si="0"/>
        <v>1</v>
      </c>
    </row>
    <row r="15" spans="2:1023" ht="15.75">
      <c r="B15" s="178" t="s">
        <v>52</v>
      </c>
      <c r="C15" s="177" t="s">
        <v>178</v>
      </c>
      <c r="D15" s="178" t="s">
        <v>179</v>
      </c>
      <c r="E15" s="178" t="s">
        <v>172</v>
      </c>
      <c r="F15" s="178" t="s">
        <v>180</v>
      </c>
      <c r="G15" s="177" t="s">
        <v>181</v>
      </c>
      <c r="H15" s="204">
        <v>43</v>
      </c>
      <c r="I15" s="204">
        <v>23</v>
      </c>
      <c r="J15" s="204">
        <v>32</v>
      </c>
      <c r="K15" s="204">
        <v>22</v>
      </c>
      <c r="L15" s="205">
        <v>8</v>
      </c>
      <c r="M15" s="206">
        <v>34</v>
      </c>
      <c r="N15" s="207" t="s">
        <v>21</v>
      </c>
      <c r="O15" s="204" t="s">
        <v>21</v>
      </c>
      <c r="P15" s="204">
        <v>2</v>
      </c>
      <c r="Q15" s="204">
        <v>1</v>
      </c>
      <c r="R15" s="204" t="s">
        <v>21</v>
      </c>
      <c r="S15" s="204">
        <v>5</v>
      </c>
      <c r="T15" s="204" t="s">
        <v>21</v>
      </c>
      <c r="U15" s="199" t="s">
        <v>21</v>
      </c>
      <c r="V15" s="204">
        <v>9</v>
      </c>
      <c r="W15" s="204">
        <v>4</v>
      </c>
      <c r="X15" s="204">
        <v>11</v>
      </c>
      <c r="Y15" s="204">
        <v>3</v>
      </c>
      <c r="Z15" s="204">
        <v>4</v>
      </c>
      <c r="AA15" s="204" t="s">
        <v>141</v>
      </c>
      <c r="AB15" s="204" t="s">
        <v>21</v>
      </c>
      <c r="AC15" s="208" t="s">
        <v>21</v>
      </c>
      <c r="AD15" s="208" t="s">
        <v>21</v>
      </c>
      <c r="AE15" s="208" t="s">
        <v>21</v>
      </c>
      <c r="AF15" s="204">
        <v>2</v>
      </c>
      <c r="AG15" s="204" t="s">
        <v>21</v>
      </c>
      <c r="AH15" s="204">
        <v>1</v>
      </c>
      <c r="AI15" s="204" t="s">
        <v>21</v>
      </c>
      <c r="AJ15" s="204" t="s">
        <v>21</v>
      </c>
      <c r="AK15" s="204" t="s">
        <v>21</v>
      </c>
      <c r="AL15" s="204" t="s">
        <v>21</v>
      </c>
      <c r="AM15" s="204" t="s">
        <v>21</v>
      </c>
      <c r="AN15" s="204" t="s">
        <v>21</v>
      </c>
      <c r="AO15" s="203">
        <f t="shared" si="0"/>
        <v>204</v>
      </c>
    </row>
    <row r="16" spans="2:1023" ht="30">
      <c r="B16" s="178" t="s">
        <v>52</v>
      </c>
      <c r="C16" s="177" t="s">
        <v>182</v>
      </c>
      <c r="D16" s="178" t="s">
        <v>179</v>
      </c>
      <c r="E16" s="178" t="s">
        <v>172</v>
      </c>
      <c r="F16" s="178" t="s">
        <v>183</v>
      </c>
      <c r="G16" s="177" t="s">
        <v>152</v>
      </c>
      <c r="H16" s="204">
        <v>4075</v>
      </c>
      <c r="I16" s="204">
        <v>2967</v>
      </c>
      <c r="J16" s="204">
        <v>5958</v>
      </c>
      <c r="K16" s="204">
        <v>4088</v>
      </c>
      <c r="L16" s="205">
        <v>523</v>
      </c>
      <c r="M16" s="206">
        <v>4650</v>
      </c>
      <c r="N16" s="207">
        <v>295</v>
      </c>
      <c r="O16" s="204">
        <v>446</v>
      </c>
      <c r="P16" s="204">
        <v>6</v>
      </c>
      <c r="Q16" s="204">
        <v>82</v>
      </c>
      <c r="R16" s="204" t="s">
        <v>21</v>
      </c>
      <c r="S16" s="204">
        <v>1831</v>
      </c>
      <c r="T16" s="204" t="s">
        <v>21</v>
      </c>
      <c r="U16" s="199" t="s">
        <v>21</v>
      </c>
      <c r="V16" s="204">
        <v>564</v>
      </c>
      <c r="W16" s="204">
        <v>311</v>
      </c>
      <c r="X16" s="204">
        <v>1154</v>
      </c>
      <c r="Y16" s="204">
        <v>9</v>
      </c>
      <c r="Z16" s="204">
        <v>641</v>
      </c>
      <c r="AA16" s="204">
        <v>5508</v>
      </c>
      <c r="AB16" s="204">
        <v>184</v>
      </c>
      <c r="AC16" s="204">
        <v>405</v>
      </c>
      <c r="AD16" s="204">
        <v>303</v>
      </c>
      <c r="AE16" s="204">
        <v>638</v>
      </c>
      <c r="AF16" s="204">
        <v>861</v>
      </c>
      <c r="AG16" s="204">
        <v>275</v>
      </c>
      <c r="AH16" s="204">
        <v>677</v>
      </c>
      <c r="AI16" s="204">
        <v>276</v>
      </c>
      <c r="AJ16" s="204">
        <v>437</v>
      </c>
      <c r="AK16" s="204">
        <v>601</v>
      </c>
      <c r="AL16" s="204">
        <v>370</v>
      </c>
      <c r="AM16" s="204">
        <v>395</v>
      </c>
      <c r="AN16" s="204">
        <v>98</v>
      </c>
      <c r="AO16" s="203">
        <f t="shared" si="0"/>
        <v>38628</v>
      </c>
    </row>
    <row r="17" spans="2:1023" s="181" customFormat="1" ht="15.75">
      <c r="B17" s="183" t="s">
        <v>52</v>
      </c>
      <c r="C17" s="182" t="s">
        <v>184</v>
      </c>
      <c r="D17" s="183" t="s">
        <v>185</v>
      </c>
      <c r="E17" s="183" t="s">
        <v>186</v>
      </c>
      <c r="F17" s="183" t="s">
        <v>187</v>
      </c>
      <c r="G17" s="182" t="s">
        <v>188</v>
      </c>
      <c r="H17" s="198">
        <v>1</v>
      </c>
      <c r="I17" s="198" t="s">
        <v>21</v>
      </c>
      <c r="J17" s="198">
        <v>1</v>
      </c>
      <c r="K17" s="198">
        <v>1</v>
      </c>
      <c r="L17" s="197" t="s">
        <v>21</v>
      </c>
      <c r="M17" s="195" t="s">
        <v>21</v>
      </c>
      <c r="N17" s="200" t="s">
        <v>21</v>
      </c>
      <c r="O17" s="198" t="s">
        <v>21</v>
      </c>
      <c r="P17" s="198" t="s">
        <v>21</v>
      </c>
      <c r="Q17" s="198" t="s">
        <v>21</v>
      </c>
      <c r="R17" s="198" t="s">
        <v>21</v>
      </c>
      <c r="S17" s="198" t="s">
        <v>21</v>
      </c>
      <c r="T17" s="204" t="s">
        <v>21</v>
      </c>
      <c r="U17" s="199" t="s">
        <v>141</v>
      </c>
      <c r="V17" s="198" t="s">
        <v>21</v>
      </c>
      <c r="W17" s="198" t="s">
        <v>21</v>
      </c>
      <c r="X17" s="198" t="s">
        <v>21</v>
      </c>
      <c r="Y17" s="198" t="s">
        <v>21</v>
      </c>
      <c r="Z17" s="198" t="s">
        <v>21</v>
      </c>
      <c r="AA17" s="198" t="s">
        <v>141</v>
      </c>
      <c r="AB17" s="198" t="s">
        <v>21</v>
      </c>
      <c r="AC17" s="199" t="s">
        <v>21</v>
      </c>
      <c r="AD17" s="199" t="s">
        <v>21</v>
      </c>
      <c r="AE17" s="199" t="s">
        <v>21</v>
      </c>
      <c r="AF17" s="209" t="s">
        <v>21</v>
      </c>
      <c r="AG17" s="198" t="s">
        <v>21</v>
      </c>
      <c r="AH17" s="198" t="s">
        <v>21</v>
      </c>
      <c r="AI17" s="198" t="s">
        <v>21</v>
      </c>
      <c r="AJ17" s="198" t="s">
        <v>21</v>
      </c>
      <c r="AK17" s="198" t="s">
        <v>21</v>
      </c>
      <c r="AL17" s="198" t="s">
        <v>21</v>
      </c>
      <c r="AM17" s="198" t="s">
        <v>21</v>
      </c>
      <c r="AN17" s="198" t="s">
        <v>21</v>
      </c>
      <c r="AO17" s="203">
        <f t="shared" si="0"/>
        <v>3</v>
      </c>
      <c r="AMI17"/>
    </row>
    <row r="18" spans="2:1023" s="181" customFormat="1" ht="15.75">
      <c r="B18" s="183" t="s">
        <v>52</v>
      </c>
      <c r="C18" s="182" t="s">
        <v>189</v>
      </c>
      <c r="D18" s="183" t="s">
        <v>190</v>
      </c>
      <c r="E18" s="183" t="s">
        <v>186</v>
      </c>
      <c r="F18" s="183" t="s">
        <v>191</v>
      </c>
      <c r="G18" s="182" t="s">
        <v>192</v>
      </c>
      <c r="H18" s="198">
        <v>1</v>
      </c>
      <c r="I18" s="213">
        <v>1</v>
      </c>
      <c r="J18" s="213">
        <v>1</v>
      </c>
      <c r="K18" s="213">
        <v>2</v>
      </c>
      <c r="L18" s="197" t="s">
        <v>21</v>
      </c>
      <c r="M18" s="195" t="s">
        <v>21</v>
      </c>
      <c r="N18" s="214">
        <v>1</v>
      </c>
      <c r="O18" s="198" t="s">
        <v>21</v>
      </c>
      <c r="P18" s="198" t="s">
        <v>21</v>
      </c>
      <c r="Q18" s="198" t="s">
        <v>21</v>
      </c>
      <c r="R18" s="198" t="s">
        <v>21</v>
      </c>
      <c r="S18" s="198" t="s">
        <v>21</v>
      </c>
      <c r="T18" s="204" t="s">
        <v>21</v>
      </c>
      <c r="U18" s="199" t="s">
        <v>141</v>
      </c>
      <c r="V18" s="198" t="s">
        <v>141</v>
      </c>
      <c r="W18" s="198" t="s">
        <v>141</v>
      </c>
      <c r="X18" s="198" t="s">
        <v>21</v>
      </c>
      <c r="Y18" s="198" t="s">
        <v>141</v>
      </c>
      <c r="Z18" s="198" t="s">
        <v>141</v>
      </c>
      <c r="AA18" s="198" t="s">
        <v>141</v>
      </c>
      <c r="AB18" s="198" t="s">
        <v>141</v>
      </c>
      <c r="AC18" s="199" t="s">
        <v>21</v>
      </c>
      <c r="AD18" s="199" t="s">
        <v>21</v>
      </c>
      <c r="AE18" s="199" t="s">
        <v>21</v>
      </c>
      <c r="AF18" s="199" t="s">
        <v>21</v>
      </c>
      <c r="AG18" s="198" t="s">
        <v>21</v>
      </c>
      <c r="AH18" s="198" t="s">
        <v>21</v>
      </c>
      <c r="AI18" s="198" t="s">
        <v>21</v>
      </c>
      <c r="AJ18" s="198" t="s">
        <v>21</v>
      </c>
      <c r="AK18" s="198" t="s">
        <v>21</v>
      </c>
      <c r="AL18" s="198" t="s">
        <v>21</v>
      </c>
      <c r="AM18" s="198" t="s">
        <v>21</v>
      </c>
      <c r="AN18" s="198" t="s">
        <v>21</v>
      </c>
      <c r="AO18" s="218">
        <f t="shared" si="0"/>
        <v>6</v>
      </c>
      <c r="AMI18"/>
    </row>
    <row r="19" spans="2:1023" s="181" customFormat="1" ht="15.75">
      <c r="B19" s="183" t="s">
        <v>52</v>
      </c>
      <c r="C19" s="182" t="s">
        <v>193</v>
      </c>
      <c r="D19" s="183" t="s">
        <v>194</v>
      </c>
      <c r="E19" s="183" t="s">
        <v>186</v>
      </c>
      <c r="F19" s="183" t="s">
        <v>195</v>
      </c>
      <c r="G19" s="182" t="s">
        <v>152</v>
      </c>
      <c r="H19" s="198">
        <v>4075</v>
      </c>
      <c r="I19" s="198">
        <v>2967</v>
      </c>
      <c r="J19" s="198">
        <v>5958</v>
      </c>
      <c r="K19" s="198">
        <v>4088</v>
      </c>
      <c r="L19" s="197">
        <v>523</v>
      </c>
      <c r="M19" s="195">
        <v>4650</v>
      </c>
      <c r="N19" s="200">
        <v>295</v>
      </c>
      <c r="O19" s="198">
        <v>446</v>
      </c>
      <c r="P19" s="198">
        <v>6</v>
      </c>
      <c r="Q19" s="198">
        <v>82</v>
      </c>
      <c r="R19" s="198" t="s">
        <v>21</v>
      </c>
      <c r="S19" s="198">
        <v>1831</v>
      </c>
      <c r="T19" s="204" t="s">
        <v>21</v>
      </c>
      <c r="U19" s="198">
        <v>95</v>
      </c>
      <c r="V19" s="198">
        <v>564</v>
      </c>
      <c r="W19" s="198">
        <v>311</v>
      </c>
      <c r="X19" s="198">
        <v>1154</v>
      </c>
      <c r="Y19" s="198">
        <v>9</v>
      </c>
      <c r="Z19" s="198">
        <v>590</v>
      </c>
      <c r="AA19" s="198">
        <v>5508</v>
      </c>
      <c r="AB19" s="198">
        <v>184</v>
      </c>
      <c r="AC19" s="198">
        <v>405</v>
      </c>
      <c r="AD19" s="198">
        <v>303</v>
      </c>
      <c r="AE19" s="198">
        <v>638</v>
      </c>
      <c r="AF19" s="198">
        <v>861</v>
      </c>
      <c r="AG19" s="198">
        <v>275</v>
      </c>
      <c r="AH19" s="198">
        <v>644</v>
      </c>
      <c r="AI19" s="198">
        <v>276</v>
      </c>
      <c r="AJ19" s="198">
        <v>437</v>
      </c>
      <c r="AK19" s="198">
        <v>601</v>
      </c>
      <c r="AL19" s="198">
        <v>370</v>
      </c>
      <c r="AM19" s="198">
        <v>395</v>
      </c>
      <c r="AN19" s="198">
        <v>98</v>
      </c>
      <c r="AO19" s="203">
        <f t="shared" si="0"/>
        <v>38639</v>
      </c>
      <c r="AMI19"/>
    </row>
    <row r="20" spans="2:1023" s="181" customFormat="1" ht="30">
      <c r="B20" s="183" t="s">
        <v>52</v>
      </c>
      <c r="C20" s="182" t="s">
        <v>197</v>
      </c>
      <c r="D20" s="183" t="s">
        <v>198</v>
      </c>
      <c r="E20" s="183" t="s">
        <v>186</v>
      </c>
      <c r="F20" s="183" t="s">
        <v>199</v>
      </c>
      <c r="G20" s="182" t="s">
        <v>200</v>
      </c>
      <c r="H20" s="198">
        <v>1</v>
      </c>
      <c r="I20" s="198">
        <v>1</v>
      </c>
      <c r="J20" s="198">
        <v>1</v>
      </c>
      <c r="K20" s="198">
        <v>1</v>
      </c>
      <c r="L20" s="217">
        <v>1</v>
      </c>
      <c r="M20" s="195" t="s">
        <v>21</v>
      </c>
      <c r="N20" s="200" t="s">
        <v>21</v>
      </c>
      <c r="O20" s="198" t="s">
        <v>21</v>
      </c>
      <c r="P20" s="198" t="s">
        <v>21</v>
      </c>
      <c r="Q20" s="198" t="s">
        <v>21</v>
      </c>
      <c r="R20" s="198" t="s">
        <v>21</v>
      </c>
      <c r="S20" s="198" t="s">
        <v>21</v>
      </c>
      <c r="T20" s="204" t="s">
        <v>21</v>
      </c>
      <c r="U20" s="199" t="s">
        <v>141</v>
      </c>
      <c r="V20" s="198" t="s">
        <v>141</v>
      </c>
      <c r="W20" s="198" t="s">
        <v>21</v>
      </c>
      <c r="X20" s="198" t="s">
        <v>141</v>
      </c>
      <c r="Y20" s="198" t="s">
        <v>141</v>
      </c>
      <c r="Z20" s="198" t="s">
        <v>141</v>
      </c>
      <c r="AA20" s="198" t="s">
        <v>21</v>
      </c>
      <c r="AB20" s="198" t="s">
        <v>21</v>
      </c>
      <c r="AC20" s="199" t="s">
        <v>21</v>
      </c>
      <c r="AD20" s="199" t="s">
        <v>21</v>
      </c>
      <c r="AE20" s="199" t="s">
        <v>21</v>
      </c>
      <c r="AF20" s="199" t="s">
        <v>21</v>
      </c>
      <c r="AG20" s="199" t="s">
        <v>21</v>
      </c>
      <c r="AH20" s="199" t="s">
        <v>21</v>
      </c>
      <c r="AI20" s="199" t="s">
        <v>21</v>
      </c>
      <c r="AJ20" s="199" t="s">
        <v>21</v>
      </c>
      <c r="AK20" s="199" t="s">
        <v>21</v>
      </c>
      <c r="AL20" s="199" t="s">
        <v>21</v>
      </c>
      <c r="AM20" s="199" t="s">
        <v>21</v>
      </c>
      <c r="AN20" s="199" t="s">
        <v>21</v>
      </c>
      <c r="AO20" s="218">
        <f t="shared" si="0"/>
        <v>5</v>
      </c>
      <c r="AMI20"/>
    </row>
    <row r="21" spans="2:1023" s="181" customFormat="1" ht="15.75">
      <c r="B21" s="183" t="s">
        <v>52</v>
      </c>
      <c r="C21" s="182" t="s">
        <v>201</v>
      </c>
      <c r="D21" s="183" t="s">
        <v>202</v>
      </c>
      <c r="E21" s="183" t="s">
        <v>186</v>
      </c>
      <c r="F21" s="183" t="s">
        <v>203</v>
      </c>
      <c r="G21" s="182" t="s">
        <v>204</v>
      </c>
      <c r="H21" s="198">
        <v>3</v>
      </c>
      <c r="I21" s="198">
        <v>3</v>
      </c>
      <c r="J21" s="198">
        <v>3</v>
      </c>
      <c r="K21" s="198">
        <v>3</v>
      </c>
      <c r="L21" s="197">
        <v>3</v>
      </c>
      <c r="M21" s="195" t="s">
        <v>157</v>
      </c>
      <c r="N21" s="200">
        <v>3</v>
      </c>
      <c r="O21" s="198">
        <v>3</v>
      </c>
      <c r="P21" s="198">
        <v>3</v>
      </c>
      <c r="Q21" s="198">
        <v>3</v>
      </c>
      <c r="R21" s="198" t="s">
        <v>21</v>
      </c>
      <c r="S21" s="198">
        <v>2</v>
      </c>
      <c r="T21" s="198" t="s">
        <v>21</v>
      </c>
      <c r="U21" s="198">
        <v>2</v>
      </c>
      <c r="V21" s="198">
        <v>2</v>
      </c>
      <c r="W21" s="198">
        <v>2</v>
      </c>
      <c r="X21" s="198">
        <v>2</v>
      </c>
      <c r="Y21" s="198">
        <v>2</v>
      </c>
      <c r="Z21" s="198">
        <v>2</v>
      </c>
      <c r="AA21" s="198">
        <v>2</v>
      </c>
      <c r="AB21" s="198">
        <v>2</v>
      </c>
      <c r="AC21" s="198">
        <v>2</v>
      </c>
      <c r="AD21" s="198">
        <v>2</v>
      </c>
      <c r="AE21" s="198">
        <v>2</v>
      </c>
      <c r="AF21" s="198">
        <v>2</v>
      </c>
      <c r="AG21" s="198">
        <v>2</v>
      </c>
      <c r="AH21" s="198">
        <v>2</v>
      </c>
      <c r="AI21" s="198">
        <v>2</v>
      </c>
      <c r="AJ21" s="198">
        <v>2</v>
      </c>
      <c r="AK21" s="198">
        <v>2</v>
      </c>
      <c r="AL21" s="198">
        <v>2</v>
      </c>
      <c r="AM21" s="198">
        <v>2</v>
      </c>
      <c r="AN21" s="198">
        <v>2</v>
      </c>
      <c r="AO21" s="203">
        <f t="shared" si="0"/>
        <v>69</v>
      </c>
      <c r="AMI21"/>
    </row>
    <row r="22" spans="2:1023" ht="15.75">
      <c r="B22" s="178" t="s">
        <v>52</v>
      </c>
      <c r="C22" s="177" t="s">
        <v>205</v>
      </c>
      <c r="D22" s="178" t="s">
        <v>206</v>
      </c>
      <c r="E22" s="178" t="s">
        <v>207</v>
      </c>
      <c r="F22" s="178" t="s">
        <v>208</v>
      </c>
      <c r="G22" s="177" t="s">
        <v>209</v>
      </c>
      <c r="H22" s="204">
        <v>4075</v>
      </c>
      <c r="I22" s="204">
        <v>2967</v>
      </c>
      <c r="J22" s="204">
        <v>5958</v>
      </c>
      <c r="K22" s="204">
        <v>4088</v>
      </c>
      <c r="L22" s="205">
        <v>523</v>
      </c>
      <c r="M22" s="206">
        <v>4650</v>
      </c>
      <c r="N22" s="207">
        <v>295</v>
      </c>
      <c r="O22" s="204">
        <v>446</v>
      </c>
      <c r="P22" s="204" t="s">
        <v>21</v>
      </c>
      <c r="Q22" s="204" t="s">
        <v>21</v>
      </c>
      <c r="R22" s="204" t="s">
        <v>21</v>
      </c>
      <c r="S22" s="204">
        <v>1831</v>
      </c>
      <c r="T22" s="204">
        <v>4854.6400000000003</v>
      </c>
      <c r="U22" s="208" t="s">
        <v>21</v>
      </c>
      <c r="V22" s="204">
        <v>564</v>
      </c>
      <c r="W22" s="204">
        <v>311</v>
      </c>
      <c r="X22" s="204">
        <v>1154</v>
      </c>
      <c r="Y22" s="204">
        <v>9</v>
      </c>
      <c r="Z22" s="204">
        <v>641</v>
      </c>
      <c r="AA22" s="204">
        <v>5508</v>
      </c>
      <c r="AB22" s="204">
        <v>184</v>
      </c>
      <c r="AC22" s="204">
        <v>405</v>
      </c>
      <c r="AD22" s="204">
        <v>303</v>
      </c>
      <c r="AE22" s="208" t="s">
        <v>21</v>
      </c>
      <c r="AF22" s="208" t="s">
        <v>21</v>
      </c>
      <c r="AG22" s="208" t="s">
        <v>21</v>
      </c>
      <c r="AH22" s="208" t="s">
        <v>21</v>
      </c>
      <c r="AI22" s="208" t="s">
        <v>21</v>
      </c>
      <c r="AJ22" s="208" t="s">
        <v>21</v>
      </c>
      <c r="AK22" s="208" t="s">
        <v>21</v>
      </c>
      <c r="AL22" s="208" t="s">
        <v>21</v>
      </c>
      <c r="AM22" s="208" t="s">
        <v>21</v>
      </c>
      <c r="AN22" s="208" t="s">
        <v>21</v>
      </c>
      <c r="AO22" s="203">
        <f t="shared" si="0"/>
        <v>38766.639999999999</v>
      </c>
    </row>
    <row r="23" spans="2:1023" ht="33" customHeight="1">
      <c r="B23" s="178" t="s">
        <v>52</v>
      </c>
      <c r="C23" s="177" t="s">
        <v>210</v>
      </c>
      <c r="D23" s="178" t="s">
        <v>211</v>
      </c>
      <c r="E23" s="178" t="s">
        <v>207</v>
      </c>
      <c r="F23" s="178" t="s">
        <v>212</v>
      </c>
      <c r="G23" s="177" t="s">
        <v>209</v>
      </c>
      <c r="H23" s="204">
        <v>4055</v>
      </c>
      <c r="I23" s="204">
        <v>2882</v>
      </c>
      <c r="J23" s="204">
        <v>5580</v>
      </c>
      <c r="K23" s="204">
        <v>4068</v>
      </c>
      <c r="L23" s="205">
        <v>520</v>
      </c>
      <c r="M23" s="206">
        <v>4650</v>
      </c>
      <c r="N23" s="207">
        <v>295</v>
      </c>
      <c r="O23" s="204">
        <v>446</v>
      </c>
      <c r="P23" s="204">
        <v>6</v>
      </c>
      <c r="Q23" s="204">
        <v>82</v>
      </c>
      <c r="R23" s="204" t="s">
        <v>21</v>
      </c>
      <c r="S23" s="204">
        <v>1831</v>
      </c>
      <c r="T23" s="204">
        <v>4854.6400000000003</v>
      </c>
      <c r="U23" s="208" t="s">
        <v>21</v>
      </c>
      <c r="V23" s="204">
        <v>564</v>
      </c>
      <c r="W23" s="204">
        <v>311</v>
      </c>
      <c r="X23" s="204">
        <v>1154</v>
      </c>
      <c r="Y23" s="204">
        <v>9</v>
      </c>
      <c r="Z23" s="204">
        <v>641</v>
      </c>
      <c r="AA23" s="204">
        <v>5508</v>
      </c>
      <c r="AB23" s="204">
        <v>184</v>
      </c>
      <c r="AC23" s="204">
        <v>405</v>
      </c>
      <c r="AD23" s="204">
        <v>303</v>
      </c>
      <c r="AE23" s="208" t="s">
        <v>21</v>
      </c>
      <c r="AF23" s="208" t="s">
        <v>21</v>
      </c>
      <c r="AG23" s="208" t="s">
        <v>21</v>
      </c>
      <c r="AH23" s="208" t="s">
        <v>21</v>
      </c>
      <c r="AI23" s="208" t="s">
        <v>21</v>
      </c>
      <c r="AJ23" s="208" t="s">
        <v>21</v>
      </c>
      <c r="AK23" s="208" t="s">
        <v>21</v>
      </c>
      <c r="AL23" s="208" t="s">
        <v>21</v>
      </c>
      <c r="AM23" s="208" t="s">
        <v>21</v>
      </c>
      <c r="AN23" s="208" t="s">
        <v>21</v>
      </c>
      <c r="AO23" s="203">
        <f t="shared" si="0"/>
        <v>38348.639999999999</v>
      </c>
    </row>
    <row r="24" spans="2:1023" ht="30">
      <c r="B24" s="178" t="s">
        <v>52</v>
      </c>
      <c r="C24" s="177" t="s">
        <v>213</v>
      </c>
      <c r="D24" s="221" t="s">
        <v>214</v>
      </c>
      <c r="E24" s="221" t="s">
        <v>207</v>
      </c>
      <c r="F24" s="221" t="s">
        <v>215</v>
      </c>
      <c r="G24" s="177" t="s">
        <v>152</v>
      </c>
      <c r="H24" s="204">
        <v>74</v>
      </c>
      <c r="I24" s="204" t="s">
        <v>216</v>
      </c>
      <c r="J24" s="204">
        <v>99</v>
      </c>
      <c r="K24" s="204">
        <v>1470</v>
      </c>
      <c r="L24" s="205">
        <v>158</v>
      </c>
      <c r="M24" s="206">
        <v>4650</v>
      </c>
      <c r="N24" s="210">
        <v>295</v>
      </c>
      <c r="O24" s="211">
        <v>446</v>
      </c>
      <c r="P24" s="204">
        <v>6</v>
      </c>
      <c r="Q24" s="204">
        <v>82</v>
      </c>
      <c r="R24" s="204" t="s">
        <v>21</v>
      </c>
      <c r="S24" s="204">
        <v>1831</v>
      </c>
      <c r="T24" s="204">
        <v>4854.6400000000003</v>
      </c>
      <c r="U24" s="208" t="s">
        <v>21</v>
      </c>
      <c r="V24" s="204">
        <v>564</v>
      </c>
      <c r="W24" s="204">
        <v>311</v>
      </c>
      <c r="X24" s="204">
        <v>1154</v>
      </c>
      <c r="Y24" s="204">
        <v>9</v>
      </c>
      <c r="Z24" s="204">
        <v>641</v>
      </c>
      <c r="AA24" s="204">
        <v>5508</v>
      </c>
      <c r="AB24" s="204">
        <v>184</v>
      </c>
      <c r="AC24" s="204">
        <v>405</v>
      </c>
      <c r="AD24" s="204">
        <v>303</v>
      </c>
      <c r="AE24" s="208" t="s">
        <v>21</v>
      </c>
      <c r="AF24" s="208" t="s">
        <v>21</v>
      </c>
      <c r="AG24" s="208" t="s">
        <v>21</v>
      </c>
      <c r="AH24" s="208" t="s">
        <v>21</v>
      </c>
      <c r="AI24" s="208" t="s">
        <v>21</v>
      </c>
      <c r="AJ24" s="208" t="s">
        <v>21</v>
      </c>
      <c r="AK24" s="208" t="s">
        <v>21</v>
      </c>
      <c r="AL24" s="208" t="s">
        <v>21</v>
      </c>
      <c r="AM24" s="208" t="s">
        <v>21</v>
      </c>
      <c r="AN24" s="208" t="s">
        <v>21</v>
      </c>
      <c r="AO24" s="203">
        <f t="shared" si="0"/>
        <v>23044.639999999999</v>
      </c>
    </row>
    <row r="25" spans="2:1023" ht="15.75">
      <c r="B25" s="246" t="s">
        <v>52</v>
      </c>
      <c r="C25" s="247" t="s">
        <v>255</v>
      </c>
      <c r="D25" s="248" t="s">
        <v>256</v>
      </c>
      <c r="E25" s="248" t="s">
        <v>207</v>
      </c>
      <c r="F25" s="249" t="s">
        <v>257</v>
      </c>
      <c r="G25" s="250" t="s">
        <v>258</v>
      </c>
      <c r="H25" s="213">
        <v>90</v>
      </c>
      <c r="I25" s="213">
        <v>36</v>
      </c>
      <c r="J25" s="213">
        <v>59</v>
      </c>
      <c r="K25" s="213">
        <v>43</v>
      </c>
      <c r="L25" s="217">
        <v>2</v>
      </c>
      <c r="M25" s="245"/>
      <c r="N25" s="214">
        <v>4</v>
      </c>
      <c r="O25" s="208" t="s">
        <v>21</v>
      </c>
      <c r="P25" s="213">
        <v>7</v>
      </c>
      <c r="Q25" s="213">
        <v>3</v>
      </c>
      <c r="R25" s="208" t="s">
        <v>21</v>
      </c>
      <c r="S25" s="213">
        <v>6</v>
      </c>
      <c r="T25" s="208" t="s">
        <v>21</v>
      </c>
      <c r="U25" s="208" t="s">
        <v>21</v>
      </c>
      <c r="V25" s="213">
        <v>8</v>
      </c>
      <c r="W25" s="213">
        <v>3</v>
      </c>
      <c r="X25" s="213">
        <v>11</v>
      </c>
      <c r="Y25" s="213">
        <v>2</v>
      </c>
      <c r="Z25" s="213">
        <v>8</v>
      </c>
      <c r="AA25" s="208" t="s">
        <v>21</v>
      </c>
      <c r="AB25" s="208" t="s">
        <v>21</v>
      </c>
      <c r="AC25" s="208" t="s">
        <v>21</v>
      </c>
      <c r="AD25" s="208" t="s">
        <v>21</v>
      </c>
      <c r="AE25" s="208" t="s">
        <v>21</v>
      </c>
      <c r="AF25" s="208" t="s">
        <v>21</v>
      </c>
      <c r="AG25" s="208" t="s">
        <v>21</v>
      </c>
      <c r="AH25" s="208" t="s">
        <v>21</v>
      </c>
      <c r="AI25" s="208" t="s">
        <v>21</v>
      </c>
      <c r="AJ25" s="208" t="s">
        <v>21</v>
      </c>
      <c r="AK25" s="213">
        <v>4</v>
      </c>
      <c r="AL25" s="208" t="s">
        <v>21</v>
      </c>
      <c r="AM25" s="208" t="s">
        <v>21</v>
      </c>
      <c r="AN25" s="208" t="s">
        <v>21</v>
      </c>
      <c r="AO25" s="218">
        <f t="shared" si="0"/>
        <v>286</v>
      </c>
    </row>
    <row r="26" spans="2:1023" ht="15.75">
      <c r="B26" s="178" t="s">
        <v>52</v>
      </c>
      <c r="C26" s="177" t="s">
        <v>217</v>
      </c>
      <c r="D26" s="222" t="s">
        <v>218</v>
      </c>
      <c r="E26" s="222" t="s">
        <v>207</v>
      </c>
      <c r="F26" s="222" t="s">
        <v>219</v>
      </c>
      <c r="G26" s="177" t="s">
        <v>220</v>
      </c>
      <c r="H26" s="213">
        <v>54</v>
      </c>
      <c r="I26" s="213">
        <v>35</v>
      </c>
      <c r="J26" s="213">
        <v>65</v>
      </c>
      <c r="K26" s="213">
        <v>58</v>
      </c>
      <c r="L26" s="217">
        <v>7</v>
      </c>
      <c r="M26" s="219">
        <v>40</v>
      </c>
      <c r="N26" s="214">
        <v>3</v>
      </c>
      <c r="O26" s="213">
        <v>11</v>
      </c>
      <c r="P26" s="213">
        <v>2</v>
      </c>
      <c r="Q26" s="204">
        <v>1</v>
      </c>
      <c r="R26" s="204">
        <v>6</v>
      </c>
      <c r="S26" s="213">
        <v>6</v>
      </c>
      <c r="T26" s="213">
        <v>21</v>
      </c>
      <c r="U26" s="208" t="s">
        <v>21</v>
      </c>
      <c r="V26" s="213">
        <v>7</v>
      </c>
      <c r="W26" s="213">
        <v>4</v>
      </c>
      <c r="X26" s="213">
        <v>9</v>
      </c>
      <c r="Y26" s="204">
        <v>2</v>
      </c>
      <c r="Z26" s="213">
        <v>7</v>
      </c>
      <c r="AA26" s="204" t="s">
        <v>141</v>
      </c>
      <c r="AB26" s="204">
        <v>4</v>
      </c>
      <c r="AC26" s="204">
        <v>6</v>
      </c>
      <c r="AD26" s="204">
        <v>1</v>
      </c>
      <c r="AE26" s="208" t="s">
        <v>141</v>
      </c>
      <c r="AF26" s="208" t="s">
        <v>21</v>
      </c>
      <c r="AG26" s="208" t="s">
        <v>21</v>
      </c>
      <c r="AH26" s="208" t="s">
        <v>21</v>
      </c>
      <c r="AI26" s="208" t="s">
        <v>21</v>
      </c>
      <c r="AJ26" s="208" t="s">
        <v>21</v>
      </c>
      <c r="AK26" s="213">
        <v>12</v>
      </c>
      <c r="AL26" s="208" t="s">
        <v>21</v>
      </c>
      <c r="AM26" s="208" t="s">
        <v>21</v>
      </c>
      <c r="AN26" s="208" t="s">
        <v>21</v>
      </c>
      <c r="AO26" s="218">
        <f t="shared" si="0"/>
        <v>361</v>
      </c>
    </row>
    <row r="27" spans="2:1023" ht="15.75">
      <c r="B27" s="179" t="s">
        <v>52</v>
      </c>
      <c r="C27" s="180" t="s">
        <v>221</v>
      </c>
      <c r="D27" s="178" t="s">
        <v>222</v>
      </c>
      <c r="E27" s="179" t="s">
        <v>207</v>
      </c>
      <c r="F27" s="178" t="s">
        <v>223</v>
      </c>
      <c r="G27" s="177" t="s">
        <v>224</v>
      </c>
      <c r="H27" s="204" t="s">
        <v>21</v>
      </c>
      <c r="I27" s="204" t="s">
        <v>21</v>
      </c>
      <c r="J27" s="204" t="s">
        <v>21</v>
      </c>
      <c r="K27" s="204">
        <v>1</v>
      </c>
      <c r="L27" s="205" t="s">
        <v>21</v>
      </c>
      <c r="M27" s="206">
        <v>1</v>
      </c>
      <c r="N27" s="207" t="s">
        <v>21</v>
      </c>
      <c r="O27" s="204" t="s">
        <v>21</v>
      </c>
      <c r="P27" s="204" t="s">
        <v>21</v>
      </c>
      <c r="Q27" s="204" t="s">
        <v>21</v>
      </c>
      <c r="R27" s="204" t="s">
        <v>21</v>
      </c>
      <c r="S27" s="204" t="s">
        <v>21</v>
      </c>
      <c r="T27" s="204" t="s">
        <v>21</v>
      </c>
      <c r="U27" s="208" t="s">
        <v>21</v>
      </c>
      <c r="V27" s="204" t="s">
        <v>21</v>
      </c>
      <c r="W27" s="204" t="s">
        <v>21</v>
      </c>
      <c r="X27" s="208" t="s">
        <v>141</v>
      </c>
      <c r="Y27" s="204" t="s">
        <v>21</v>
      </c>
      <c r="Z27" s="204" t="s">
        <v>141</v>
      </c>
      <c r="AA27" s="204" t="s">
        <v>141</v>
      </c>
      <c r="AB27" s="204" t="s">
        <v>21</v>
      </c>
      <c r="AC27" s="208" t="s">
        <v>141</v>
      </c>
      <c r="AD27" s="208" t="s">
        <v>21</v>
      </c>
      <c r="AE27" s="208" t="s">
        <v>21</v>
      </c>
      <c r="AF27" s="208" t="s">
        <v>21</v>
      </c>
      <c r="AG27" s="208" t="s">
        <v>21</v>
      </c>
      <c r="AH27" s="208" t="s">
        <v>21</v>
      </c>
      <c r="AI27" s="208" t="s">
        <v>21</v>
      </c>
      <c r="AJ27" s="208" t="s">
        <v>21</v>
      </c>
      <c r="AK27" s="208" t="s">
        <v>21</v>
      </c>
      <c r="AL27" s="208" t="s">
        <v>21</v>
      </c>
      <c r="AM27" s="208" t="s">
        <v>21</v>
      </c>
      <c r="AN27" s="208" t="s">
        <v>21</v>
      </c>
      <c r="AO27" s="203">
        <f t="shared" si="0"/>
        <v>2</v>
      </c>
    </row>
    <row r="28" spans="2:1023" ht="15.75">
      <c r="B28" s="179" t="s">
        <v>52</v>
      </c>
      <c r="C28" s="180" t="s">
        <v>225</v>
      </c>
      <c r="D28" s="178" t="s">
        <v>226</v>
      </c>
      <c r="E28" s="179" t="s">
        <v>207</v>
      </c>
      <c r="F28" s="178" t="s">
        <v>227</v>
      </c>
      <c r="G28" s="177" t="s">
        <v>228</v>
      </c>
      <c r="H28" s="213">
        <v>21</v>
      </c>
      <c r="I28" s="213">
        <v>22</v>
      </c>
      <c r="J28" s="213">
        <v>18</v>
      </c>
      <c r="K28" s="213">
        <v>26</v>
      </c>
      <c r="L28" s="205">
        <v>0</v>
      </c>
      <c r="M28" s="219">
        <v>21</v>
      </c>
      <c r="N28" s="207" t="s">
        <v>21</v>
      </c>
      <c r="O28" s="204">
        <v>2</v>
      </c>
      <c r="P28" s="204" t="s">
        <v>21</v>
      </c>
      <c r="Q28" s="204" t="s">
        <v>21</v>
      </c>
      <c r="R28" s="204" t="s">
        <v>21</v>
      </c>
      <c r="S28" s="213">
        <v>1</v>
      </c>
      <c r="T28" s="204" t="s">
        <v>21</v>
      </c>
      <c r="U28" s="204" t="s">
        <v>21</v>
      </c>
      <c r="V28" s="204" t="s">
        <v>141</v>
      </c>
      <c r="W28" s="204" t="s">
        <v>21</v>
      </c>
      <c r="X28" s="213">
        <v>2</v>
      </c>
      <c r="Y28" s="204" t="s">
        <v>141</v>
      </c>
      <c r="Z28" s="204" t="s">
        <v>141</v>
      </c>
      <c r="AA28" s="204" t="s">
        <v>141</v>
      </c>
      <c r="AB28" s="204" t="s">
        <v>21</v>
      </c>
      <c r="AC28" s="213">
        <v>0</v>
      </c>
      <c r="AD28" s="204">
        <v>1</v>
      </c>
      <c r="AE28" s="208" t="s">
        <v>21</v>
      </c>
      <c r="AF28" s="208" t="s">
        <v>21</v>
      </c>
      <c r="AG28" s="208" t="s">
        <v>21</v>
      </c>
      <c r="AH28" s="208" t="s">
        <v>21</v>
      </c>
      <c r="AI28" s="208" t="s">
        <v>21</v>
      </c>
      <c r="AJ28" s="208" t="s">
        <v>21</v>
      </c>
      <c r="AK28" s="213">
        <v>3</v>
      </c>
      <c r="AL28" s="208" t="s">
        <v>21</v>
      </c>
      <c r="AM28" s="208" t="s">
        <v>21</v>
      </c>
      <c r="AN28" s="208" t="s">
        <v>21</v>
      </c>
      <c r="AO28" s="218">
        <f t="shared" si="0"/>
        <v>117</v>
      </c>
    </row>
    <row r="29" spans="2:1023" s="181" customFormat="1" ht="15.75">
      <c r="B29" s="184" t="s">
        <v>52</v>
      </c>
      <c r="C29" s="185" t="s">
        <v>229</v>
      </c>
      <c r="D29" s="183" t="s">
        <v>230</v>
      </c>
      <c r="E29" s="184" t="s">
        <v>231</v>
      </c>
      <c r="F29" s="183" t="s">
        <v>232</v>
      </c>
      <c r="G29" s="182" t="s">
        <v>233</v>
      </c>
      <c r="H29" s="198">
        <v>1</v>
      </c>
      <c r="I29" s="198">
        <v>2</v>
      </c>
      <c r="J29" s="198">
        <v>3</v>
      </c>
      <c r="K29" s="198" t="s">
        <v>21</v>
      </c>
      <c r="L29" s="197">
        <v>2</v>
      </c>
      <c r="M29" s="195"/>
      <c r="N29" s="200" t="s">
        <v>21</v>
      </c>
      <c r="O29" s="198" t="s">
        <v>21</v>
      </c>
      <c r="P29" s="198" t="s">
        <v>21</v>
      </c>
      <c r="Q29" s="198" t="s">
        <v>21</v>
      </c>
      <c r="R29" s="198" t="s">
        <v>21</v>
      </c>
      <c r="S29" s="198" t="s">
        <v>21</v>
      </c>
      <c r="T29" s="204" t="s">
        <v>21</v>
      </c>
      <c r="U29" s="204" t="s">
        <v>21</v>
      </c>
      <c r="V29" s="198" t="s">
        <v>21</v>
      </c>
      <c r="W29" s="198" t="s">
        <v>21</v>
      </c>
      <c r="X29" s="199" t="s">
        <v>21</v>
      </c>
      <c r="Y29" s="199" t="s">
        <v>21</v>
      </c>
      <c r="Z29" s="199" t="s">
        <v>21</v>
      </c>
      <c r="AA29" s="198" t="s">
        <v>21</v>
      </c>
      <c r="AB29" s="199" t="s">
        <v>21</v>
      </c>
      <c r="AC29" s="199" t="s">
        <v>21</v>
      </c>
      <c r="AD29" s="199" t="s">
        <v>21</v>
      </c>
      <c r="AE29" s="199" t="s">
        <v>21</v>
      </c>
      <c r="AF29" s="208" t="s">
        <v>21</v>
      </c>
      <c r="AG29" s="208" t="s">
        <v>21</v>
      </c>
      <c r="AH29" s="208" t="s">
        <v>21</v>
      </c>
      <c r="AI29" s="208" t="s">
        <v>21</v>
      </c>
      <c r="AJ29" s="199" t="s">
        <v>21</v>
      </c>
      <c r="AK29" s="208" t="s">
        <v>21</v>
      </c>
      <c r="AL29" s="208" t="s">
        <v>21</v>
      </c>
      <c r="AM29" s="208" t="s">
        <v>21</v>
      </c>
      <c r="AN29" s="208" t="s">
        <v>21</v>
      </c>
      <c r="AO29" s="203">
        <f t="shared" si="0"/>
        <v>8</v>
      </c>
      <c r="AMI29"/>
    </row>
    <row r="30" spans="2:1023" s="181" customFormat="1" ht="15.75">
      <c r="B30" s="184" t="s">
        <v>52</v>
      </c>
      <c r="C30" s="185" t="s">
        <v>234</v>
      </c>
      <c r="D30" s="183" t="s">
        <v>230</v>
      </c>
      <c r="E30" s="184" t="s">
        <v>231</v>
      </c>
      <c r="F30" s="183" t="s">
        <v>235</v>
      </c>
      <c r="G30" s="182" t="s">
        <v>233</v>
      </c>
      <c r="H30" s="198">
        <v>3</v>
      </c>
      <c r="I30" s="198" t="s">
        <v>21</v>
      </c>
      <c r="J30" s="198">
        <v>1</v>
      </c>
      <c r="K30" s="198">
        <v>2</v>
      </c>
      <c r="L30" s="197" t="s">
        <v>21</v>
      </c>
      <c r="M30" s="195">
        <v>3</v>
      </c>
      <c r="N30" s="200" t="s">
        <v>21</v>
      </c>
      <c r="O30" s="198" t="s">
        <v>21</v>
      </c>
      <c r="P30" s="198" t="s">
        <v>21</v>
      </c>
      <c r="Q30" s="198" t="s">
        <v>21</v>
      </c>
      <c r="R30" s="198" t="s">
        <v>21</v>
      </c>
      <c r="S30" s="198" t="s">
        <v>21</v>
      </c>
      <c r="T30" s="204" t="s">
        <v>21</v>
      </c>
      <c r="U30" s="204" t="s">
        <v>21</v>
      </c>
      <c r="V30" s="198" t="s">
        <v>21</v>
      </c>
      <c r="W30" s="198" t="s">
        <v>21</v>
      </c>
      <c r="X30" s="199" t="s">
        <v>21</v>
      </c>
      <c r="Y30" s="199" t="s">
        <v>21</v>
      </c>
      <c r="Z30" s="199" t="s">
        <v>21</v>
      </c>
      <c r="AA30" s="199" t="s">
        <v>21</v>
      </c>
      <c r="AB30" s="199" t="s">
        <v>21</v>
      </c>
      <c r="AC30" s="199" t="s">
        <v>21</v>
      </c>
      <c r="AD30" s="199" t="s">
        <v>21</v>
      </c>
      <c r="AE30" s="199" t="s">
        <v>21</v>
      </c>
      <c r="AF30" s="208" t="s">
        <v>21</v>
      </c>
      <c r="AG30" s="208" t="s">
        <v>21</v>
      </c>
      <c r="AH30" s="208" t="s">
        <v>21</v>
      </c>
      <c r="AI30" s="208" t="s">
        <v>21</v>
      </c>
      <c r="AJ30" s="199" t="s">
        <v>21</v>
      </c>
      <c r="AK30" s="208" t="s">
        <v>21</v>
      </c>
      <c r="AL30" s="208" t="s">
        <v>21</v>
      </c>
      <c r="AM30" s="208" t="s">
        <v>21</v>
      </c>
      <c r="AN30" s="208" t="s">
        <v>21</v>
      </c>
      <c r="AO30" s="203">
        <f t="shared" si="0"/>
        <v>9</v>
      </c>
      <c r="AMI30"/>
    </row>
    <row r="31" spans="2:1023" s="181" customFormat="1" ht="15.75">
      <c r="B31" s="184" t="s">
        <v>52</v>
      </c>
      <c r="C31" s="185" t="s">
        <v>236</v>
      </c>
      <c r="D31" s="183" t="s">
        <v>237</v>
      </c>
      <c r="E31" s="184" t="s">
        <v>231</v>
      </c>
      <c r="F31" s="183" t="s">
        <v>238</v>
      </c>
      <c r="G31" s="182" t="s">
        <v>239</v>
      </c>
      <c r="H31" s="198" t="s">
        <v>21</v>
      </c>
      <c r="I31" s="198">
        <v>1</v>
      </c>
      <c r="J31" s="198" t="s">
        <v>21</v>
      </c>
      <c r="K31" s="198" t="s">
        <v>21</v>
      </c>
      <c r="L31" s="197" t="s">
        <v>21</v>
      </c>
      <c r="M31" s="195" t="s">
        <v>21</v>
      </c>
      <c r="N31" s="200" t="s">
        <v>21</v>
      </c>
      <c r="O31" s="198" t="s">
        <v>21</v>
      </c>
      <c r="P31" s="198" t="s">
        <v>21</v>
      </c>
      <c r="Q31" s="198" t="s">
        <v>21</v>
      </c>
      <c r="R31" s="198" t="s">
        <v>21</v>
      </c>
      <c r="S31" s="198" t="s">
        <v>21</v>
      </c>
      <c r="T31" s="204" t="s">
        <v>21</v>
      </c>
      <c r="U31" s="204" t="s">
        <v>21</v>
      </c>
      <c r="V31" s="198" t="s">
        <v>21</v>
      </c>
      <c r="W31" s="198" t="s">
        <v>21</v>
      </c>
      <c r="X31" s="199" t="s">
        <v>21</v>
      </c>
      <c r="Y31" s="199" t="s">
        <v>21</v>
      </c>
      <c r="Z31" s="199" t="s">
        <v>21</v>
      </c>
      <c r="AA31" s="199" t="s">
        <v>21</v>
      </c>
      <c r="AB31" s="199" t="s">
        <v>21</v>
      </c>
      <c r="AC31" s="199" t="s">
        <v>21</v>
      </c>
      <c r="AD31" s="199" t="s">
        <v>21</v>
      </c>
      <c r="AE31" s="199" t="s">
        <v>21</v>
      </c>
      <c r="AF31" s="208" t="s">
        <v>21</v>
      </c>
      <c r="AG31" s="208" t="s">
        <v>21</v>
      </c>
      <c r="AH31" s="208" t="s">
        <v>21</v>
      </c>
      <c r="AI31" s="208" t="s">
        <v>21</v>
      </c>
      <c r="AJ31" s="199" t="s">
        <v>21</v>
      </c>
      <c r="AK31" s="208" t="s">
        <v>21</v>
      </c>
      <c r="AL31" s="208" t="s">
        <v>21</v>
      </c>
      <c r="AM31" s="208" t="s">
        <v>21</v>
      </c>
      <c r="AN31" s="208" t="s">
        <v>21</v>
      </c>
      <c r="AO31" s="203">
        <f t="shared" si="0"/>
        <v>1</v>
      </c>
      <c r="AMI31"/>
    </row>
    <row r="32" spans="2:1023" ht="38.25" customHeight="1">
      <c r="B32" s="179" t="s">
        <v>52</v>
      </c>
      <c r="C32" s="180" t="s">
        <v>240</v>
      </c>
      <c r="D32" s="178" t="s">
        <v>241</v>
      </c>
      <c r="E32" s="179" t="s">
        <v>242</v>
      </c>
      <c r="F32" s="178" t="s">
        <v>243</v>
      </c>
      <c r="G32" s="177" t="s">
        <v>244</v>
      </c>
      <c r="H32" s="204">
        <v>1</v>
      </c>
      <c r="I32" s="204">
        <v>1</v>
      </c>
      <c r="J32" s="204" t="s">
        <v>21</v>
      </c>
      <c r="K32" s="204">
        <v>2</v>
      </c>
      <c r="L32" s="215">
        <v>1</v>
      </c>
      <c r="M32" s="206">
        <v>2</v>
      </c>
      <c r="N32" s="207" t="s">
        <v>21</v>
      </c>
      <c r="O32" s="204">
        <v>1</v>
      </c>
      <c r="P32" s="204" t="s">
        <v>21</v>
      </c>
      <c r="Q32" s="204" t="s">
        <v>21</v>
      </c>
      <c r="R32" s="204" t="s">
        <v>21</v>
      </c>
      <c r="S32" s="204" t="s">
        <v>21</v>
      </c>
      <c r="T32" s="204" t="s">
        <v>21</v>
      </c>
      <c r="U32" s="204" t="s">
        <v>21</v>
      </c>
      <c r="V32" s="204" t="s">
        <v>141</v>
      </c>
      <c r="W32" s="204" t="s">
        <v>21</v>
      </c>
      <c r="X32" s="208" t="s">
        <v>21</v>
      </c>
      <c r="Y32" s="208" t="s">
        <v>21</v>
      </c>
      <c r="Z32" s="208" t="s">
        <v>21</v>
      </c>
      <c r="AA32" s="208" t="s">
        <v>141</v>
      </c>
      <c r="AB32" s="208" t="s">
        <v>21</v>
      </c>
      <c r="AC32" s="208" t="s">
        <v>141</v>
      </c>
      <c r="AD32" s="208" t="s">
        <v>21</v>
      </c>
      <c r="AE32" s="208" t="s">
        <v>21</v>
      </c>
      <c r="AF32" s="208" t="s">
        <v>21</v>
      </c>
      <c r="AG32" s="208" t="s">
        <v>21</v>
      </c>
      <c r="AH32" s="208" t="s">
        <v>21</v>
      </c>
      <c r="AI32" s="208" t="s">
        <v>21</v>
      </c>
      <c r="AJ32" s="208" t="s">
        <v>21</v>
      </c>
      <c r="AK32" s="208" t="s">
        <v>21</v>
      </c>
      <c r="AL32" s="208" t="s">
        <v>21</v>
      </c>
      <c r="AM32" s="208" t="s">
        <v>21</v>
      </c>
      <c r="AN32" s="208" t="s">
        <v>21</v>
      </c>
      <c r="AO32" s="218">
        <f t="shared" si="0"/>
        <v>8</v>
      </c>
    </row>
    <row r="33" spans="2:41" ht="29.25" customHeight="1">
      <c r="B33" s="179" t="s">
        <v>52</v>
      </c>
      <c r="C33" s="180" t="s">
        <v>245</v>
      </c>
      <c r="D33" s="178" t="s">
        <v>246</v>
      </c>
      <c r="E33" s="179" t="s">
        <v>242</v>
      </c>
      <c r="F33" s="178" t="s">
        <v>247</v>
      </c>
      <c r="G33" s="177" t="s">
        <v>248</v>
      </c>
      <c r="H33" s="204">
        <v>1</v>
      </c>
      <c r="I33" s="204" t="s">
        <v>21</v>
      </c>
      <c r="J33" s="204">
        <v>1</v>
      </c>
      <c r="K33" s="204">
        <v>1</v>
      </c>
      <c r="L33" s="205">
        <v>1</v>
      </c>
      <c r="M33" s="206">
        <v>1</v>
      </c>
      <c r="N33" s="207">
        <v>1</v>
      </c>
      <c r="O33" s="204" t="s">
        <v>21</v>
      </c>
      <c r="P33" s="204" t="s">
        <v>21</v>
      </c>
      <c r="Q33" s="204" t="s">
        <v>21</v>
      </c>
      <c r="R33" s="204" t="s">
        <v>21</v>
      </c>
      <c r="S33" s="204" t="s">
        <v>21</v>
      </c>
      <c r="T33" s="204" t="s">
        <v>21</v>
      </c>
      <c r="U33" s="204" t="s">
        <v>21</v>
      </c>
      <c r="V33" s="204" t="s">
        <v>21</v>
      </c>
      <c r="W33" s="204" t="s">
        <v>21</v>
      </c>
      <c r="X33" s="208" t="s">
        <v>21</v>
      </c>
      <c r="Y33" s="208" t="s">
        <v>21</v>
      </c>
      <c r="Z33" s="208" t="s">
        <v>21</v>
      </c>
      <c r="AA33" s="208" t="s">
        <v>21</v>
      </c>
      <c r="AB33" s="208" t="s">
        <v>21</v>
      </c>
      <c r="AC33" s="208" t="s">
        <v>141</v>
      </c>
      <c r="AD33" s="208" t="s">
        <v>21</v>
      </c>
      <c r="AE33" s="208" t="s">
        <v>21</v>
      </c>
      <c r="AF33" s="208" t="s">
        <v>21</v>
      </c>
      <c r="AG33" s="208" t="s">
        <v>21</v>
      </c>
      <c r="AH33" s="208" t="s">
        <v>21</v>
      </c>
      <c r="AI33" s="208" t="s">
        <v>21</v>
      </c>
      <c r="AJ33" s="208" t="s">
        <v>21</v>
      </c>
      <c r="AK33" s="208" t="s">
        <v>21</v>
      </c>
      <c r="AL33" s="208" t="s">
        <v>21</v>
      </c>
      <c r="AM33" s="208" t="s">
        <v>21</v>
      </c>
      <c r="AN33" s="208" t="s">
        <v>21</v>
      </c>
      <c r="AO33" s="203">
        <f t="shared" si="0"/>
        <v>6</v>
      </c>
    </row>
    <row r="34" spans="2:41" ht="24" customHeight="1">
      <c r="B34" s="259" t="s">
        <v>52</v>
      </c>
      <c r="C34" s="260" t="s">
        <v>259</v>
      </c>
      <c r="D34" s="246" t="s">
        <v>260</v>
      </c>
      <c r="E34" s="259" t="s">
        <v>242</v>
      </c>
      <c r="F34" s="246" t="s">
        <v>261</v>
      </c>
      <c r="G34" s="261" t="s">
        <v>262</v>
      </c>
      <c r="H34" s="204"/>
      <c r="I34" s="213">
        <v>2</v>
      </c>
      <c r="J34" s="213">
        <v>1</v>
      </c>
      <c r="K34" s="204"/>
      <c r="L34" s="204"/>
      <c r="M34" s="212">
        <v>1</v>
      </c>
      <c r="N34" s="204"/>
      <c r="O34" s="204"/>
      <c r="P34" s="204"/>
      <c r="Q34" s="204"/>
      <c r="R34" s="204"/>
      <c r="S34" s="204"/>
      <c r="T34" s="204"/>
      <c r="U34" s="204"/>
      <c r="V34" s="204"/>
      <c r="W34" s="204"/>
      <c r="X34" s="208"/>
      <c r="Y34" s="208"/>
      <c r="Z34" s="208"/>
      <c r="AA34" s="208"/>
      <c r="AB34" s="208"/>
      <c r="AC34" s="208"/>
      <c r="AD34" s="208"/>
      <c r="AE34" s="208"/>
      <c r="AF34" s="208"/>
      <c r="AG34" s="208"/>
      <c r="AH34" s="208"/>
      <c r="AI34" s="208"/>
      <c r="AJ34" s="208"/>
      <c r="AK34" s="208"/>
      <c r="AL34" s="208"/>
      <c r="AM34" s="208"/>
      <c r="AN34" s="208"/>
      <c r="AO34" s="203">
        <f t="shared" si="0"/>
        <v>4</v>
      </c>
    </row>
    <row r="35" spans="2:41" s="170" customFormat="1" ht="105">
      <c r="C35" s="174"/>
      <c r="D35" s="173"/>
      <c r="E35" s="173"/>
      <c r="F35" s="172"/>
      <c r="J35" s="176"/>
      <c r="M35" s="175" t="s">
        <v>249</v>
      </c>
      <c r="R35" s="175" t="s">
        <v>250</v>
      </c>
      <c r="S35" s="175" t="s">
        <v>251</v>
      </c>
      <c r="T35" s="220" t="s">
        <v>263</v>
      </c>
      <c r="U35" s="175" t="s">
        <v>252</v>
      </c>
      <c r="AC35" s="175" t="s">
        <v>253</v>
      </c>
    </row>
    <row r="36" spans="2:41" s="170" customFormat="1" ht="165">
      <c r="C36" s="174"/>
      <c r="D36" s="173"/>
      <c r="E36" s="173"/>
      <c r="F36" s="172"/>
      <c r="M36" s="175"/>
      <c r="U36" s="175" t="s">
        <v>254</v>
      </c>
    </row>
  </sheetData>
  <pageMargins left="0.70833333333333304" right="0.70833333333333304" top="1.1416666666666699" bottom="1.1416666666666699" header="0.511811023622047" footer="0.511811023622047"/>
  <pageSetup paperSize="9" orientation="landscape" horizontalDpi="300" verticalDpi="30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59999389629810485"/>
    <pageSetUpPr fitToPage="1"/>
  </sheetPr>
  <dimension ref="A1:AMK45"/>
  <sheetViews>
    <sheetView topLeftCell="E20" zoomScale="85" zoomScaleNormal="85" workbookViewId="0">
      <selection activeCell="H24" sqref="H24"/>
    </sheetView>
  </sheetViews>
  <sheetFormatPr defaultRowHeight="15"/>
  <cols>
    <col min="1" max="1" width="11.42578125" style="79"/>
    <col min="2" max="2" width="6.5703125" style="79" customWidth="1"/>
    <col min="3" max="3" width="13.42578125" style="79" customWidth="1"/>
    <col min="4" max="4" width="18.42578125" style="79" customWidth="1"/>
    <col min="5" max="5" width="31" style="79" customWidth="1"/>
    <col min="6" max="6" width="24.5703125" style="79" customWidth="1"/>
    <col min="7" max="7" width="11.42578125" style="79"/>
    <col min="8" max="8" width="11.42578125" style="80"/>
    <col min="9" max="9" width="13.42578125" style="79" customWidth="1"/>
    <col min="10" max="10" width="18.28515625" style="79" customWidth="1"/>
    <col min="11" max="11" width="16.140625" style="80" customWidth="1"/>
    <col min="12" max="12" width="26.85546875" style="79" customWidth="1"/>
    <col min="13" max="13" width="20.28515625" style="79" customWidth="1"/>
    <col min="14" max="14" width="23.28515625" style="79" customWidth="1"/>
    <col min="15" max="15" width="23" style="79" customWidth="1"/>
    <col min="16" max="17" width="18.85546875" style="79" customWidth="1"/>
    <col min="18" max="18" width="19.42578125" style="79" customWidth="1"/>
    <col min="19" max="1025" width="11.42578125" style="79"/>
  </cols>
  <sheetData>
    <row r="1" spans="1:18">
      <c r="A1" s="79" t="s">
        <v>264</v>
      </c>
    </row>
    <row r="2" spans="1:18" s="93" customFormat="1" ht="66.75" customHeight="1">
      <c r="A2" s="81" t="s">
        <v>0</v>
      </c>
      <c r="B2" s="81" t="s">
        <v>98</v>
      </c>
      <c r="C2" s="81" t="s">
        <v>99</v>
      </c>
      <c r="D2" s="81" t="s">
        <v>100</v>
      </c>
      <c r="E2" s="81" t="s">
        <v>101</v>
      </c>
      <c r="F2" s="82" t="s">
        <v>102</v>
      </c>
      <c r="G2" s="83" t="s">
        <v>265</v>
      </c>
      <c r="H2" s="84" t="s">
        <v>266</v>
      </c>
      <c r="I2" s="85" t="s">
        <v>267</v>
      </c>
      <c r="J2" s="86" t="s">
        <v>268</v>
      </c>
      <c r="K2" s="87" t="s">
        <v>269</v>
      </c>
      <c r="L2" s="88" t="s">
        <v>270</v>
      </c>
      <c r="M2" s="89" t="s">
        <v>271</v>
      </c>
      <c r="N2" s="90" t="s">
        <v>272</v>
      </c>
      <c r="O2" s="91" t="s">
        <v>273</v>
      </c>
      <c r="P2" s="92" t="s">
        <v>274</v>
      </c>
      <c r="Q2" s="84" t="s">
        <v>275</v>
      </c>
    </row>
    <row r="3" spans="1:18" ht="36">
      <c r="A3" s="94" t="s">
        <v>52</v>
      </c>
      <c r="B3" s="95" t="s">
        <v>136</v>
      </c>
      <c r="C3" s="94" t="s">
        <v>137</v>
      </c>
      <c r="D3" s="94" t="s">
        <v>276</v>
      </c>
      <c r="E3" s="94" t="s">
        <v>139</v>
      </c>
      <c r="F3" s="96" t="s">
        <v>140</v>
      </c>
      <c r="G3" s="223">
        <v>16</v>
      </c>
      <c r="H3" s="229">
        <v>0</v>
      </c>
      <c r="I3" s="97">
        <v>1696.8</v>
      </c>
      <c r="J3" s="98">
        <f t="shared" ref="J3:J32" si="0">(G3*I3)</f>
        <v>27148.799999999999</v>
      </c>
      <c r="K3" s="99">
        <f t="shared" ref="K3:K32" si="1">H3*I3</f>
        <v>0</v>
      </c>
      <c r="L3" s="100">
        <f>(J3*3)+(K3/12*22)</f>
        <v>81446.399999999994</v>
      </c>
      <c r="M3" s="97">
        <f t="shared" ref="M3:M35" si="2">I3*(1-$P$38)</f>
        <v>1382.8919999999998</v>
      </c>
      <c r="N3" s="98">
        <f t="shared" ref="N3:N35" si="3">G3*M3</f>
        <v>22126.271999999997</v>
      </c>
      <c r="O3" s="101">
        <f t="shared" ref="O3:O35" si="4">(M3*G3)*3</f>
        <v>66378.815999999992</v>
      </c>
      <c r="P3" s="102">
        <f t="shared" ref="P3:P35" si="5">H3*M3</f>
        <v>0</v>
      </c>
      <c r="Q3" s="103">
        <f t="shared" ref="Q3:Q35" si="6">P3/12*22</f>
        <v>0</v>
      </c>
      <c r="R3" s="104"/>
    </row>
    <row r="4" spans="1:18" ht="36">
      <c r="A4" s="105" t="s">
        <v>52</v>
      </c>
      <c r="B4" s="106" t="s">
        <v>143</v>
      </c>
      <c r="C4" s="105" t="s">
        <v>137</v>
      </c>
      <c r="D4" s="105" t="s">
        <v>276</v>
      </c>
      <c r="E4" s="105" t="s">
        <v>277</v>
      </c>
      <c r="F4" s="107" t="s">
        <v>140</v>
      </c>
      <c r="G4" s="224">
        <v>2</v>
      </c>
      <c r="H4" s="230">
        <v>0</v>
      </c>
      <c r="I4" s="108">
        <v>3923.85</v>
      </c>
      <c r="J4" s="109">
        <f t="shared" si="0"/>
        <v>7847.7</v>
      </c>
      <c r="K4" s="110">
        <f t="shared" si="1"/>
        <v>0</v>
      </c>
      <c r="L4" s="111">
        <f t="shared" ref="L4:L32" si="7">(J4*3)+(K4/12*22)</f>
        <v>23543.1</v>
      </c>
      <c r="M4" s="108">
        <f t="shared" si="2"/>
        <v>3197.9377499999996</v>
      </c>
      <c r="N4" s="109">
        <f t="shared" si="3"/>
        <v>6395.8754999999992</v>
      </c>
      <c r="O4" s="112">
        <f t="shared" si="4"/>
        <v>19187.626499999998</v>
      </c>
      <c r="P4" s="113">
        <f t="shared" si="5"/>
        <v>0</v>
      </c>
      <c r="Q4" s="114">
        <f t="shared" si="6"/>
        <v>0</v>
      </c>
    </row>
    <row r="5" spans="1:18" ht="36">
      <c r="A5" s="105" t="s">
        <v>52</v>
      </c>
      <c r="B5" s="106" t="s">
        <v>278</v>
      </c>
      <c r="C5" s="105" t="s">
        <v>146</v>
      </c>
      <c r="D5" s="105" t="s">
        <v>276</v>
      </c>
      <c r="E5" s="105" t="s">
        <v>279</v>
      </c>
      <c r="F5" s="107" t="s">
        <v>148</v>
      </c>
      <c r="G5" s="224">
        <v>10</v>
      </c>
      <c r="H5" s="230">
        <v>1</v>
      </c>
      <c r="I5" s="108">
        <v>1272.5999999999999</v>
      </c>
      <c r="J5" s="109">
        <f t="shared" si="0"/>
        <v>12726</v>
      </c>
      <c r="K5" s="110">
        <f t="shared" si="1"/>
        <v>1272.5999999999999</v>
      </c>
      <c r="L5" s="111">
        <f t="shared" si="7"/>
        <v>40511.1</v>
      </c>
      <c r="M5" s="108">
        <f t="shared" si="2"/>
        <v>1037.1689999999999</v>
      </c>
      <c r="N5" s="109">
        <f t="shared" si="3"/>
        <v>10371.689999999999</v>
      </c>
      <c r="O5" s="112">
        <f t="shared" si="4"/>
        <v>31115.069999999996</v>
      </c>
      <c r="P5" s="113">
        <f t="shared" si="5"/>
        <v>1037.1689999999999</v>
      </c>
      <c r="Q5" s="114">
        <f t="shared" si="6"/>
        <v>1901.4764999999998</v>
      </c>
      <c r="R5" s="104"/>
    </row>
    <row r="6" spans="1:18" ht="36">
      <c r="A6" s="105" t="s">
        <v>52</v>
      </c>
      <c r="B6" s="106" t="s">
        <v>149</v>
      </c>
      <c r="C6" s="105" t="s">
        <v>280</v>
      </c>
      <c r="D6" s="105" t="s">
        <v>276</v>
      </c>
      <c r="E6" s="105" t="s">
        <v>151</v>
      </c>
      <c r="F6" s="107" t="s">
        <v>152</v>
      </c>
      <c r="G6" s="225">
        <v>34141</v>
      </c>
      <c r="H6" s="230">
        <v>4650</v>
      </c>
      <c r="I6" s="108">
        <v>1.111</v>
      </c>
      <c r="J6" s="109">
        <f t="shared" si="0"/>
        <v>37930.650999999998</v>
      </c>
      <c r="K6" s="110">
        <f t="shared" si="1"/>
        <v>5166.1499999999996</v>
      </c>
      <c r="L6" s="111">
        <f t="shared" si="7"/>
        <v>123263.22799999999</v>
      </c>
      <c r="M6" s="108">
        <f t="shared" si="2"/>
        <v>0.90546499999999996</v>
      </c>
      <c r="N6" s="109">
        <f t="shared" si="3"/>
        <v>30913.480564999998</v>
      </c>
      <c r="O6" s="112">
        <f t="shared" si="4"/>
        <v>92740.441694999987</v>
      </c>
      <c r="P6" s="113">
        <f t="shared" si="5"/>
        <v>4210.4122499999994</v>
      </c>
      <c r="Q6" s="114">
        <f t="shared" si="6"/>
        <v>7719.0891249999986</v>
      </c>
      <c r="R6" s="104"/>
    </row>
    <row r="7" spans="1:18" ht="36">
      <c r="A7" s="105" t="s">
        <v>52</v>
      </c>
      <c r="B7" s="106" t="s">
        <v>153</v>
      </c>
      <c r="C7" s="105" t="s">
        <v>154</v>
      </c>
      <c r="D7" s="105" t="s">
        <v>276</v>
      </c>
      <c r="E7" s="105" t="s">
        <v>155</v>
      </c>
      <c r="F7" s="107" t="s">
        <v>156</v>
      </c>
      <c r="G7" s="224">
        <v>10</v>
      </c>
      <c r="H7" s="230">
        <v>0</v>
      </c>
      <c r="I7" s="108">
        <v>116.655</v>
      </c>
      <c r="J7" s="109">
        <f t="shared" si="0"/>
        <v>1166.55</v>
      </c>
      <c r="K7" s="110">
        <f t="shared" si="1"/>
        <v>0</v>
      </c>
      <c r="L7" s="111">
        <f t="shared" si="7"/>
        <v>3499.6499999999996</v>
      </c>
      <c r="M7" s="108">
        <f t="shared" si="2"/>
        <v>95.073824999999999</v>
      </c>
      <c r="N7" s="109">
        <f t="shared" si="3"/>
        <v>950.73824999999999</v>
      </c>
      <c r="O7" s="112">
        <f t="shared" si="4"/>
        <v>2852.2147500000001</v>
      </c>
      <c r="P7" s="113">
        <f t="shared" si="5"/>
        <v>0</v>
      </c>
      <c r="Q7" s="114">
        <f t="shared" si="6"/>
        <v>0</v>
      </c>
      <c r="R7" s="104"/>
    </row>
    <row r="8" spans="1:18" ht="36">
      <c r="A8" s="105" t="s">
        <v>52</v>
      </c>
      <c r="B8" s="106" t="s">
        <v>158</v>
      </c>
      <c r="C8" s="105" t="s">
        <v>159</v>
      </c>
      <c r="D8" s="105" t="s">
        <v>276</v>
      </c>
      <c r="E8" s="105" t="s">
        <v>160</v>
      </c>
      <c r="F8" s="107" t="s">
        <v>161</v>
      </c>
      <c r="G8" s="224">
        <v>58</v>
      </c>
      <c r="H8" s="230">
        <v>0</v>
      </c>
      <c r="I8" s="108">
        <v>66.66</v>
      </c>
      <c r="J8" s="109">
        <f t="shared" si="0"/>
        <v>3866.2799999999997</v>
      </c>
      <c r="K8" s="110">
        <f t="shared" si="1"/>
        <v>0</v>
      </c>
      <c r="L8" s="111">
        <f t="shared" si="7"/>
        <v>11598.84</v>
      </c>
      <c r="M8" s="108">
        <f t="shared" si="2"/>
        <v>54.327899999999993</v>
      </c>
      <c r="N8" s="109">
        <f t="shared" si="3"/>
        <v>3151.0181999999995</v>
      </c>
      <c r="O8" s="112">
        <f t="shared" si="4"/>
        <v>9453.0545999999995</v>
      </c>
      <c r="P8" s="113">
        <f t="shared" si="5"/>
        <v>0</v>
      </c>
      <c r="Q8" s="114">
        <f t="shared" si="6"/>
        <v>0</v>
      </c>
      <c r="R8" s="104"/>
    </row>
    <row r="9" spans="1:18" ht="36">
      <c r="A9" s="105" t="s">
        <v>52</v>
      </c>
      <c r="B9" s="106" t="s">
        <v>162</v>
      </c>
      <c r="C9" s="105" t="s">
        <v>281</v>
      </c>
      <c r="D9" s="105" t="s">
        <v>276</v>
      </c>
      <c r="E9" s="105" t="s">
        <v>164</v>
      </c>
      <c r="F9" s="107" t="s">
        <v>165</v>
      </c>
      <c r="G9" s="224">
        <v>12</v>
      </c>
      <c r="H9" s="230">
        <v>2</v>
      </c>
      <c r="I9" s="108">
        <v>4242</v>
      </c>
      <c r="J9" s="109">
        <f t="shared" si="0"/>
        <v>50904</v>
      </c>
      <c r="K9" s="110">
        <f t="shared" si="1"/>
        <v>8484</v>
      </c>
      <c r="L9" s="111">
        <f t="shared" si="7"/>
        <v>168266</v>
      </c>
      <c r="M9" s="108">
        <f t="shared" si="2"/>
        <v>3457.2299999999996</v>
      </c>
      <c r="N9" s="109">
        <f t="shared" si="3"/>
        <v>41486.759999999995</v>
      </c>
      <c r="O9" s="112">
        <f t="shared" si="4"/>
        <v>124460.27999999998</v>
      </c>
      <c r="P9" s="113">
        <f t="shared" si="5"/>
        <v>6914.4599999999991</v>
      </c>
      <c r="Q9" s="114">
        <f t="shared" si="6"/>
        <v>12676.509999999998</v>
      </c>
      <c r="R9" s="104"/>
    </row>
    <row r="10" spans="1:18" ht="36">
      <c r="A10" s="105" t="s">
        <v>52</v>
      </c>
      <c r="B10" s="106" t="s">
        <v>166</v>
      </c>
      <c r="C10" s="105" t="s">
        <v>282</v>
      </c>
      <c r="D10" s="105" t="s">
        <v>276</v>
      </c>
      <c r="E10" s="105" t="s">
        <v>283</v>
      </c>
      <c r="F10" s="107" t="s">
        <v>169</v>
      </c>
      <c r="G10" s="224">
        <v>19757</v>
      </c>
      <c r="H10" s="230">
        <v>4650</v>
      </c>
      <c r="I10" s="108">
        <v>1.111</v>
      </c>
      <c r="J10" s="109">
        <f t="shared" si="0"/>
        <v>21950.026999999998</v>
      </c>
      <c r="K10" s="110">
        <f t="shared" si="1"/>
        <v>5166.1499999999996</v>
      </c>
      <c r="L10" s="111">
        <f t="shared" si="7"/>
        <v>75321.355999999985</v>
      </c>
      <c r="M10" s="108">
        <f t="shared" si="2"/>
        <v>0.90546499999999996</v>
      </c>
      <c r="N10" s="109">
        <f t="shared" si="3"/>
        <v>17889.272004999999</v>
      </c>
      <c r="O10" s="112">
        <f t="shared" si="4"/>
        <v>53667.816014999997</v>
      </c>
      <c r="P10" s="113">
        <f t="shared" si="5"/>
        <v>4210.4122499999994</v>
      </c>
      <c r="Q10" s="114">
        <f t="shared" si="6"/>
        <v>7719.0891249999986</v>
      </c>
    </row>
    <row r="11" spans="1:18" ht="24">
      <c r="A11" s="105" t="s">
        <v>52</v>
      </c>
      <c r="B11" s="106" t="s">
        <v>170</v>
      </c>
      <c r="C11" s="105" t="s">
        <v>171</v>
      </c>
      <c r="D11" s="105" t="s">
        <v>172</v>
      </c>
      <c r="E11" s="105" t="s">
        <v>173</v>
      </c>
      <c r="F11" s="107" t="s">
        <v>152</v>
      </c>
      <c r="G11" s="224">
        <v>45558</v>
      </c>
      <c r="H11" s="230">
        <v>4650</v>
      </c>
      <c r="I11" s="108">
        <v>1.2726</v>
      </c>
      <c r="J11" s="109">
        <f t="shared" si="0"/>
        <v>57977.110799999995</v>
      </c>
      <c r="K11" s="110">
        <f t="shared" si="1"/>
        <v>5917.59</v>
      </c>
      <c r="L11" s="111">
        <f t="shared" si="7"/>
        <v>184780.24739999999</v>
      </c>
      <c r="M11" s="108">
        <f t="shared" si="2"/>
        <v>1.0371689999999998</v>
      </c>
      <c r="N11" s="109">
        <f t="shared" si="3"/>
        <v>47251.345301999987</v>
      </c>
      <c r="O11" s="112">
        <f t="shared" si="4"/>
        <v>141754.03590599995</v>
      </c>
      <c r="P11" s="113">
        <f t="shared" si="5"/>
        <v>4822.8358499999986</v>
      </c>
      <c r="Q11" s="114">
        <f t="shared" si="6"/>
        <v>8841.8657249999978</v>
      </c>
    </row>
    <row r="12" spans="1:18" ht="24">
      <c r="A12" s="105" t="s">
        <v>52</v>
      </c>
      <c r="B12" s="106" t="s">
        <v>174</v>
      </c>
      <c r="C12" s="105" t="s">
        <v>175</v>
      </c>
      <c r="D12" s="105" t="s">
        <v>172</v>
      </c>
      <c r="E12" s="105" t="s">
        <v>176</v>
      </c>
      <c r="F12" s="107" t="s">
        <v>284</v>
      </c>
      <c r="G12" s="224">
        <v>1</v>
      </c>
      <c r="H12" s="230">
        <v>0</v>
      </c>
      <c r="I12" s="108">
        <v>424.2</v>
      </c>
      <c r="J12" s="109">
        <f t="shared" si="0"/>
        <v>424.2</v>
      </c>
      <c r="K12" s="110">
        <f t="shared" si="1"/>
        <v>0</v>
      </c>
      <c r="L12" s="111">
        <f t="shared" si="7"/>
        <v>1272.5999999999999</v>
      </c>
      <c r="M12" s="108">
        <f t="shared" si="2"/>
        <v>345.72299999999996</v>
      </c>
      <c r="N12" s="109">
        <f t="shared" si="3"/>
        <v>345.72299999999996</v>
      </c>
      <c r="O12" s="112">
        <f t="shared" si="4"/>
        <v>1037.1689999999999</v>
      </c>
      <c r="P12" s="113">
        <f t="shared" si="5"/>
        <v>0</v>
      </c>
      <c r="Q12" s="114">
        <f t="shared" si="6"/>
        <v>0</v>
      </c>
    </row>
    <row r="13" spans="1:18" ht="24">
      <c r="A13" s="105" t="s">
        <v>52</v>
      </c>
      <c r="B13" s="106" t="s">
        <v>178</v>
      </c>
      <c r="C13" s="105" t="s">
        <v>179</v>
      </c>
      <c r="D13" s="105" t="s">
        <v>172</v>
      </c>
      <c r="E13" s="105" t="s">
        <v>180</v>
      </c>
      <c r="F13" s="107" t="s">
        <v>181</v>
      </c>
      <c r="G13" s="224">
        <v>204</v>
      </c>
      <c r="H13" s="230">
        <v>34</v>
      </c>
      <c r="I13" s="108">
        <v>106.05</v>
      </c>
      <c r="J13" s="109">
        <f t="shared" si="0"/>
        <v>21634.2</v>
      </c>
      <c r="K13" s="110">
        <f t="shared" si="1"/>
        <v>3605.7</v>
      </c>
      <c r="L13" s="111">
        <f t="shared" si="7"/>
        <v>71513.05</v>
      </c>
      <c r="M13" s="108">
        <f t="shared" si="2"/>
        <v>86.430749999999989</v>
      </c>
      <c r="N13" s="109">
        <f t="shared" si="3"/>
        <v>17631.873</v>
      </c>
      <c r="O13" s="112">
        <f t="shared" si="4"/>
        <v>52895.618999999999</v>
      </c>
      <c r="P13" s="113">
        <f t="shared" si="5"/>
        <v>2938.6454999999996</v>
      </c>
      <c r="Q13" s="114">
        <f t="shared" si="6"/>
        <v>5387.5167499999989</v>
      </c>
    </row>
    <row r="14" spans="1:18" ht="24">
      <c r="A14" s="105" t="s">
        <v>52</v>
      </c>
      <c r="B14" s="106" t="s">
        <v>182</v>
      </c>
      <c r="C14" s="105" t="s">
        <v>179</v>
      </c>
      <c r="D14" s="105" t="s">
        <v>172</v>
      </c>
      <c r="E14" s="105" t="s">
        <v>183</v>
      </c>
      <c r="F14" s="107" t="s">
        <v>152</v>
      </c>
      <c r="G14" s="224">
        <v>40128</v>
      </c>
      <c r="H14" s="230">
        <v>4650</v>
      </c>
      <c r="I14" s="108">
        <v>0.1515</v>
      </c>
      <c r="J14" s="109">
        <f t="shared" si="0"/>
        <v>6079.3919999999998</v>
      </c>
      <c r="K14" s="110">
        <f t="shared" si="1"/>
        <v>704.47500000000002</v>
      </c>
      <c r="L14" s="111">
        <f t="shared" si="7"/>
        <v>19529.713499999998</v>
      </c>
      <c r="M14" s="108">
        <f t="shared" si="2"/>
        <v>0.12347249999999999</v>
      </c>
      <c r="N14" s="109">
        <f t="shared" si="3"/>
        <v>4954.7044799999994</v>
      </c>
      <c r="O14" s="112">
        <f t="shared" si="4"/>
        <v>14864.113439999997</v>
      </c>
      <c r="P14" s="113">
        <f t="shared" si="5"/>
        <v>574.14712499999996</v>
      </c>
      <c r="Q14" s="114">
        <f t="shared" si="6"/>
        <v>1052.6030625000001</v>
      </c>
    </row>
    <row r="15" spans="1:18" ht="24">
      <c r="A15" s="105" t="s">
        <v>52</v>
      </c>
      <c r="B15" s="106" t="s">
        <v>184</v>
      </c>
      <c r="C15" s="105" t="s">
        <v>185</v>
      </c>
      <c r="D15" s="105" t="s">
        <v>186</v>
      </c>
      <c r="E15" s="105" t="s">
        <v>187</v>
      </c>
      <c r="F15" s="107" t="s">
        <v>188</v>
      </c>
      <c r="G15" s="224">
        <v>3</v>
      </c>
      <c r="H15" s="230">
        <v>0</v>
      </c>
      <c r="I15" s="108">
        <v>2121</v>
      </c>
      <c r="J15" s="109">
        <f t="shared" si="0"/>
        <v>6363</v>
      </c>
      <c r="K15" s="110">
        <f t="shared" si="1"/>
        <v>0</v>
      </c>
      <c r="L15" s="111">
        <f t="shared" si="7"/>
        <v>19089</v>
      </c>
      <c r="M15" s="108">
        <f t="shared" si="2"/>
        <v>1728.6149999999998</v>
      </c>
      <c r="N15" s="109">
        <f t="shared" si="3"/>
        <v>5185.8449999999993</v>
      </c>
      <c r="O15" s="112">
        <f t="shared" si="4"/>
        <v>15557.534999999998</v>
      </c>
      <c r="P15" s="113">
        <f t="shared" si="5"/>
        <v>0</v>
      </c>
      <c r="Q15" s="114">
        <f t="shared" si="6"/>
        <v>0</v>
      </c>
    </row>
    <row r="16" spans="1:18" ht="24">
      <c r="A16" s="105" t="s">
        <v>52</v>
      </c>
      <c r="B16" s="106" t="s">
        <v>189</v>
      </c>
      <c r="C16" s="105" t="s">
        <v>190</v>
      </c>
      <c r="D16" s="105" t="s">
        <v>186</v>
      </c>
      <c r="E16" s="105" t="s">
        <v>191</v>
      </c>
      <c r="F16" s="107" t="s">
        <v>192</v>
      </c>
      <c r="G16" s="224">
        <v>6</v>
      </c>
      <c r="H16" s="230">
        <v>0</v>
      </c>
      <c r="I16" s="108">
        <v>1060.5</v>
      </c>
      <c r="J16" s="109">
        <f t="shared" si="0"/>
        <v>6363</v>
      </c>
      <c r="K16" s="110">
        <f t="shared" si="1"/>
        <v>0</v>
      </c>
      <c r="L16" s="111">
        <f t="shared" si="7"/>
        <v>19089</v>
      </c>
      <c r="M16" s="108">
        <f t="shared" si="2"/>
        <v>864.30749999999989</v>
      </c>
      <c r="N16" s="109">
        <f t="shared" si="3"/>
        <v>5185.8449999999993</v>
      </c>
      <c r="O16" s="112">
        <f t="shared" si="4"/>
        <v>15557.534999999998</v>
      </c>
      <c r="P16" s="113">
        <f t="shared" si="5"/>
        <v>0</v>
      </c>
      <c r="Q16" s="114">
        <f t="shared" si="6"/>
        <v>0</v>
      </c>
    </row>
    <row r="17" spans="1:17" ht="24">
      <c r="A17" s="105" t="s">
        <v>52</v>
      </c>
      <c r="B17" s="106" t="s">
        <v>193</v>
      </c>
      <c r="C17" s="105" t="s">
        <v>194</v>
      </c>
      <c r="D17" s="105" t="s">
        <v>186</v>
      </c>
      <c r="E17" s="105" t="s">
        <v>195</v>
      </c>
      <c r="F17" s="107" t="s">
        <v>152</v>
      </c>
      <c r="G17" s="224">
        <v>41139</v>
      </c>
      <c r="H17" s="230">
        <v>4650</v>
      </c>
      <c r="I17" s="108">
        <v>0.63629999999999998</v>
      </c>
      <c r="J17" s="109">
        <f t="shared" si="0"/>
        <v>26176.745699999999</v>
      </c>
      <c r="K17" s="110">
        <f t="shared" si="1"/>
        <v>2958.7950000000001</v>
      </c>
      <c r="L17" s="111">
        <f t="shared" si="7"/>
        <v>83954.694600000003</v>
      </c>
      <c r="M17" s="108">
        <f t="shared" si="2"/>
        <v>0.51858449999999989</v>
      </c>
      <c r="N17" s="109">
        <f t="shared" si="3"/>
        <v>21334.047745499996</v>
      </c>
      <c r="O17" s="112">
        <f t="shared" si="4"/>
        <v>64002.143236499993</v>
      </c>
      <c r="P17" s="113">
        <f t="shared" si="5"/>
        <v>2411.4179249999993</v>
      </c>
      <c r="Q17" s="114">
        <f t="shared" si="6"/>
        <v>4420.9328624999989</v>
      </c>
    </row>
    <row r="18" spans="1:17" ht="24">
      <c r="A18" s="105" t="s">
        <v>52</v>
      </c>
      <c r="B18" s="106" t="s">
        <v>197</v>
      </c>
      <c r="C18" s="105" t="s">
        <v>198</v>
      </c>
      <c r="D18" s="105" t="s">
        <v>186</v>
      </c>
      <c r="E18" s="105" t="s">
        <v>199</v>
      </c>
      <c r="F18" s="107" t="s">
        <v>200</v>
      </c>
      <c r="G18" s="224">
        <v>5</v>
      </c>
      <c r="H18" s="230">
        <v>0</v>
      </c>
      <c r="I18" s="108">
        <v>4984.3500000000004</v>
      </c>
      <c r="J18" s="109">
        <f t="shared" si="0"/>
        <v>24921.75</v>
      </c>
      <c r="K18" s="110">
        <f t="shared" si="1"/>
        <v>0</v>
      </c>
      <c r="L18" s="111">
        <f t="shared" si="7"/>
        <v>74765.25</v>
      </c>
      <c r="M18" s="108">
        <f t="shared" si="2"/>
        <v>4062.2452499999999</v>
      </c>
      <c r="N18" s="109">
        <f t="shared" si="3"/>
        <v>20311.22625</v>
      </c>
      <c r="O18" s="112">
        <f t="shared" si="4"/>
        <v>60933.678749999999</v>
      </c>
      <c r="P18" s="113">
        <f t="shared" si="5"/>
        <v>0</v>
      </c>
      <c r="Q18" s="114">
        <f t="shared" si="6"/>
        <v>0</v>
      </c>
    </row>
    <row r="19" spans="1:17" ht="24">
      <c r="A19" s="105" t="s">
        <v>52</v>
      </c>
      <c r="B19" s="106" t="s">
        <v>201</v>
      </c>
      <c r="C19" s="105" t="s">
        <v>202</v>
      </c>
      <c r="D19" s="105" t="s">
        <v>186</v>
      </c>
      <c r="E19" s="105" t="s">
        <v>203</v>
      </c>
      <c r="F19" s="107" t="s">
        <v>204</v>
      </c>
      <c r="G19" s="224">
        <v>79</v>
      </c>
      <c r="H19" s="230">
        <v>10</v>
      </c>
      <c r="I19" s="108">
        <v>31.815000000000001</v>
      </c>
      <c r="J19" s="109">
        <f t="shared" si="0"/>
        <v>2513.3850000000002</v>
      </c>
      <c r="K19" s="110">
        <f t="shared" si="1"/>
        <v>318.15000000000003</v>
      </c>
      <c r="L19" s="111">
        <f t="shared" si="7"/>
        <v>8123.43</v>
      </c>
      <c r="M19" s="108">
        <f t="shared" si="2"/>
        <v>25.929224999999999</v>
      </c>
      <c r="N19" s="109">
        <f t="shared" si="3"/>
        <v>2048.4087749999999</v>
      </c>
      <c r="O19" s="112">
        <f t="shared" si="4"/>
        <v>6145.2263249999996</v>
      </c>
      <c r="P19" s="113">
        <f t="shared" si="5"/>
        <v>259.29224999999997</v>
      </c>
      <c r="Q19" s="114">
        <f t="shared" si="6"/>
        <v>475.36912499999994</v>
      </c>
    </row>
    <row r="20" spans="1:17" ht="48">
      <c r="A20" s="105" t="s">
        <v>52</v>
      </c>
      <c r="B20" s="106" t="s">
        <v>205</v>
      </c>
      <c r="C20" s="105" t="s">
        <v>206</v>
      </c>
      <c r="D20" s="105" t="s">
        <v>207</v>
      </c>
      <c r="E20" s="105" t="s">
        <v>208</v>
      </c>
      <c r="F20" s="107" t="s">
        <v>209</v>
      </c>
      <c r="G20" s="224">
        <v>38867</v>
      </c>
      <c r="H20" s="230">
        <v>4650</v>
      </c>
      <c r="I20" s="108">
        <v>0.16159999999999999</v>
      </c>
      <c r="J20" s="109">
        <f t="shared" si="0"/>
        <v>6280.9071999999996</v>
      </c>
      <c r="K20" s="110">
        <f t="shared" si="1"/>
        <v>751.43999999999994</v>
      </c>
      <c r="L20" s="111">
        <f t="shared" si="7"/>
        <v>20220.361599999997</v>
      </c>
      <c r="M20" s="108">
        <f t="shared" si="2"/>
        <v>0.13170399999999999</v>
      </c>
      <c r="N20" s="109">
        <f t="shared" si="3"/>
        <v>5118.9393679999994</v>
      </c>
      <c r="O20" s="112">
        <f t="shared" si="4"/>
        <v>15356.818103999998</v>
      </c>
      <c r="P20" s="113">
        <f t="shared" si="5"/>
        <v>612.42359999999996</v>
      </c>
      <c r="Q20" s="114">
        <f t="shared" si="6"/>
        <v>1122.7765999999999</v>
      </c>
    </row>
    <row r="21" spans="1:17" ht="48">
      <c r="A21" s="105" t="s">
        <v>52</v>
      </c>
      <c r="B21" s="106" t="s">
        <v>210</v>
      </c>
      <c r="C21" s="105" t="s">
        <v>211</v>
      </c>
      <c r="D21" s="105" t="s">
        <v>207</v>
      </c>
      <c r="E21" s="105" t="s">
        <v>212</v>
      </c>
      <c r="F21" s="107" t="s">
        <v>209</v>
      </c>
      <c r="G21" s="224">
        <v>38549</v>
      </c>
      <c r="H21" s="230">
        <v>4650</v>
      </c>
      <c r="I21" s="108">
        <v>0.63629999999999998</v>
      </c>
      <c r="J21" s="109">
        <f t="shared" si="0"/>
        <v>24528.7287</v>
      </c>
      <c r="K21" s="110">
        <f t="shared" si="1"/>
        <v>2958.7950000000001</v>
      </c>
      <c r="L21" s="111">
        <f t="shared" si="7"/>
        <v>79010.643599999996</v>
      </c>
      <c r="M21" s="108">
        <f t="shared" si="2"/>
        <v>0.51858449999999989</v>
      </c>
      <c r="N21" s="109">
        <f t="shared" si="3"/>
        <v>19990.913890499996</v>
      </c>
      <c r="O21" s="112">
        <f t="shared" si="4"/>
        <v>59972.741671499985</v>
      </c>
      <c r="P21" s="113">
        <f t="shared" si="5"/>
        <v>2411.4179249999993</v>
      </c>
      <c r="Q21" s="114">
        <f t="shared" si="6"/>
        <v>4420.9328624999989</v>
      </c>
    </row>
    <row r="22" spans="1:17" ht="48">
      <c r="A22" s="105" t="s">
        <v>52</v>
      </c>
      <c r="B22" s="106" t="s">
        <v>213</v>
      </c>
      <c r="C22" s="105" t="s">
        <v>214</v>
      </c>
      <c r="D22" s="105" t="s">
        <v>207</v>
      </c>
      <c r="E22" s="105" t="s">
        <v>215</v>
      </c>
      <c r="F22" s="107" t="s">
        <v>152</v>
      </c>
      <c r="G22" s="224">
        <v>26978</v>
      </c>
      <c r="H22" s="230">
        <v>4650</v>
      </c>
      <c r="I22" s="108">
        <v>0.32319999999999999</v>
      </c>
      <c r="J22" s="109">
        <f t="shared" si="0"/>
        <v>8719.2896000000001</v>
      </c>
      <c r="K22" s="110">
        <f t="shared" si="1"/>
        <v>1502.8799999999999</v>
      </c>
      <c r="L22" s="111">
        <f t="shared" si="7"/>
        <v>28913.148799999999</v>
      </c>
      <c r="M22" s="108">
        <f t="shared" si="2"/>
        <v>0.26340799999999998</v>
      </c>
      <c r="N22" s="109">
        <f t="shared" si="3"/>
        <v>7106.2210239999995</v>
      </c>
      <c r="O22" s="112">
        <f t="shared" si="4"/>
        <v>21318.663071999999</v>
      </c>
      <c r="P22" s="113">
        <f t="shared" si="5"/>
        <v>1224.8471999999999</v>
      </c>
      <c r="Q22" s="114">
        <f t="shared" si="6"/>
        <v>2245.5531999999998</v>
      </c>
    </row>
    <row r="23" spans="1:17" ht="48.75" customHeight="1">
      <c r="A23" s="232" t="s">
        <v>52</v>
      </c>
      <c r="B23" s="233" t="s">
        <v>255</v>
      </c>
      <c r="C23" s="251" t="s">
        <v>256</v>
      </c>
      <c r="D23" s="234" t="s">
        <v>207</v>
      </c>
      <c r="E23" s="234" t="s">
        <v>257</v>
      </c>
      <c r="F23" s="233" t="s">
        <v>258</v>
      </c>
      <c r="G23" s="235">
        <v>286</v>
      </c>
      <c r="H23" s="236"/>
      <c r="I23" s="237">
        <v>31.815000000000001</v>
      </c>
      <c r="J23" s="238">
        <f t="shared" si="0"/>
        <v>9099.09</v>
      </c>
      <c r="K23" s="239">
        <f t="shared" si="1"/>
        <v>0</v>
      </c>
      <c r="L23" s="240">
        <f t="shared" si="7"/>
        <v>27297.27</v>
      </c>
      <c r="M23" s="241">
        <f t="shared" si="2"/>
        <v>25.929224999999999</v>
      </c>
      <c r="N23" s="238">
        <f t="shared" si="3"/>
        <v>7415.7583500000001</v>
      </c>
      <c r="O23" s="242">
        <f t="shared" si="4"/>
        <v>22247.27505</v>
      </c>
      <c r="P23" s="243">
        <f t="shared" si="5"/>
        <v>0</v>
      </c>
      <c r="Q23" s="244">
        <f t="shared" si="6"/>
        <v>0</v>
      </c>
    </row>
    <row r="24" spans="1:17" ht="48">
      <c r="A24" s="105" t="s">
        <v>52</v>
      </c>
      <c r="B24" s="106" t="s">
        <v>217</v>
      </c>
      <c r="C24" s="105" t="s">
        <v>218</v>
      </c>
      <c r="D24" s="105" t="s">
        <v>207</v>
      </c>
      <c r="E24" s="105" t="s">
        <v>219</v>
      </c>
      <c r="F24" s="107" t="s">
        <v>220</v>
      </c>
      <c r="G24" s="224">
        <v>361</v>
      </c>
      <c r="H24" s="230">
        <v>40</v>
      </c>
      <c r="I24" s="108">
        <v>9.5950000000000006</v>
      </c>
      <c r="J24" s="109">
        <f t="shared" si="0"/>
        <v>3463.7950000000001</v>
      </c>
      <c r="K24" s="110">
        <f t="shared" si="1"/>
        <v>383.8</v>
      </c>
      <c r="L24" s="111">
        <f t="shared" si="7"/>
        <v>11095.018333333333</v>
      </c>
      <c r="M24" s="108">
        <f t="shared" si="2"/>
        <v>7.8199249999999996</v>
      </c>
      <c r="N24" s="109">
        <f t="shared" si="3"/>
        <v>2822.992925</v>
      </c>
      <c r="O24" s="112">
        <f t="shared" si="4"/>
        <v>8468.9787749999996</v>
      </c>
      <c r="P24" s="113">
        <f t="shared" si="5"/>
        <v>312.79699999999997</v>
      </c>
      <c r="Q24" s="114">
        <f t="shared" si="6"/>
        <v>573.4611666666666</v>
      </c>
    </row>
    <row r="25" spans="1:17" ht="48">
      <c r="A25" s="105" t="s">
        <v>52</v>
      </c>
      <c r="B25" s="106" t="s">
        <v>221</v>
      </c>
      <c r="C25" s="105" t="s">
        <v>222</v>
      </c>
      <c r="D25" s="105" t="s">
        <v>207</v>
      </c>
      <c r="E25" s="105" t="s">
        <v>223</v>
      </c>
      <c r="F25" s="107" t="s">
        <v>224</v>
      </c>
      <c r="G25" s="224">
        <v>2</v>
      </c>
      <c r="H25" s="230">
        <v>1</v>
      </c>
      <c r="I25" s="108">
        <v>2651.25</v>
      </c>
      <c r="J25" s="109">
        <f t="shared" si="0"/>
        <v>5302.5</v>
      </c>
      <c r="K25" s="110">
        <f t="shared" si="1"/>
        <v>2651.25</v>
      </c>
      <c r="L25" s="111">
        <f t="shared" si="7"/>
        <v>20768.125</v>
      </c>
      <c r="M25" s="108">
        <f t="shared" si="2"/>
        <v>2160.7687499999997</v>
      </c>
      <c r="N25" s="109">
        <f t="shared" si="3"/>
        <v>4321.5374999999995</v>
      </c>
      <c r="O25" s="112">
        <f t="shared" si="4"/>
        <v>12964.612499999999</v>
      </c>
      <c r="P25" s="113">
        <f t="shared" si="5"/>
        <v>2160.7687499999997</v>
      </c>
      <c r="Q25" s="114">
        <f t="shared" si="6"/>
        <v>3961.4093749999993</v>
      </c>
    </row>
    <row r="26" spans="1:17" ht="48">
      <c r="A26" s="105" t="s">
        <v>52</v>
      </c>
      <c r="B26" s="106" t="s">
        <v>225</v>
      </c>
      <c r="C26" s="105" t="s">
        <v>226</v>
      </c>
      <c r="D26" s="105" t="s">
        <v>207</v>
      </c>
      <c r="E26" s="105" t="s">
        <v>227</v>
      </c>
      <c r="F26" s="107" t="s">
        <v>228</v>
      </c>
      <c r="G26" s="224">
        <v>117</v>
      </c>
      <c r="H26" s="230">
        <v>21</v>
      </c>
      <c r="I26" s="108">
        <v>21.21</v>
      </c>
      <c r="J26" s="109">
        <f t="shared" si="0"/>
        <v>2481.5700000000002</v>
      </c>
      <c r="K26" s="110">
        <f t="shared" si="1"/>
        <v>445.41</v>
      </c>
      <c r="L26" s="111">
        <f t="shared" si="7"/>
        <v>8261.2950000000019</v>
      </c>
      <c r="M26" s="108">
        <f t="shared" si="2"/>
        <v>17.286149999999999</v>
      </c>
      <c r="N26" s="109">
        <f t="shared" si="3"/>
        <v>2022.47955</v>
      </c>
      <c r="O26" s="112">
        <f t="shared" si="4"/>
        <v>6067.4386500000001</v>
      </c>
      <c r="P26" s="113">
        <f t="shared" si="5"/>
        <v>363.00914999999998</v>
      </c>
      <c r="Q26" s="114">
        <f t="shared" si="6"/>
        <v>665.51677499999994</v>
      </c>
    </row>
    <row r="27" spans="1:17" ht="24">
      <c r="A27" s="105" t="s">
        <v>52</v>
      </c>
      <c r="B27" s="106" t="s">
        <v>229</v>
      </c>
      <c r="C27" s="105" t="s">
        <v>230</v>
      </c>
      <c r="D27" s="105" t="s">
        <v>231</v>
      </c>
      <c r="E27" s="105" t="s">
        <v>232</v>
      </c>
      <c r="F27" s="107" t="s">
        <v>233</v>
      </c>
      <c r="G27" s="224">
        <v>8</v>
      </c>
      <c r="H27" s="230">
        <v>0</v>
      </c>
      <c r="I27" s="108">
        <v>1484.7</v>
      </c>
      <c r="J27" s="109">
        <f t="shared" si="0"/>
        <v>11877.6</v>
      </c>
      <c r="K27" s="110">
        <f t="shared" si="1"/>
        <v>0</v>
      </c>
      <c r="L27" s="111">
        <f t="shared" si="7"/>
        <v>35632.800000000003</v>
      </c>
      <c r="M27" s="108">
        <f t="shared" si="2"/>
        <v>1210.0304999999998</v>
      </c>
      <c r="N27" s="109">
        <f t="shared" si="3"/>
        <v>9680.2439999999988</v>
      </c>
      <c r="O27" s="112">
        <f t="shared" si="4"/>
        <v>29040.731999999996</v>
      </c>
      <c r="P27" s="113">
        <f t="shared" si="5"/>
        <v>0</v>
      </c>
      <c r="Q27" s="114">
        <f t="shared" si="6"/>
        <v>0</v>
      </c>
    </row>
    <row r="28" spans="1:17" ht="24">
      <c r="A28" s="105" t="s">
        <v>52</v>
      </c>
      <c r="B28" s="106" t="s">
        <v>234</v>
      </c>
      <c r="C28" s="105" t="s">
        <v>230</v>
      </c>
      <c r="D28" s="105" t="s">
        <v>231</v>
      </c>
      <c r="E28" s="105" t="s">
        <v>285</v>
      </c>
      <c r="F28" s="107" t="s">
        <v>233</v>
      </c>
      <c r="G28" s="224">
        <v>9</v>
      </c>
      <c r="H28" s="230">
        <v>3</v>
      </c>
      <c r="I28" s="108">
        <v>1696.8</v>
      </c>
      <c r="J28" s="109">
        <f t="shared" si="0"/>
        <v>15271.199999999999</v>
      </c>
      <c r="K28" s="110">
        <f t="shared" si="1"/>
        <v>5090.3999999999996</v>
      </c>
      <c r="L28" s="111">
        <f t="shared" si="7"/>
        <v>55146</v>
      </c>
      <c r="M28" s="108">
        <f t="shared" si="2"/>
        <v>1382.8919999999998</v>
      </c>
      <c r="N28" s="109">
        <f t="shared" si="3"/>
        <v>12446.027999999998</v>
      </c>
      <c r="O28" s="112">
        <f t="shared" si="4"/>
        <v>37338.083999999995</v>
      </c>
      <c r="P28" s="113">
        <f t="shared" si="5"/>
        <v>4148.6759999999995</v>
      </c>
      <c r="Q28" s="114">
        <f t="shared" si="6"/>
        <v>7605.905999999999</v>
      </c>
    </row>
    <row r="29" spans="1:17" ht="24">
      <c r="A29" s="105" t="s">
        <v>52</v>
      </c>
      <c r="B29" s="106" t="s">
        <v>236</v>
      </c>
      <c r="C29" s="105" t="s">
        <v>237</v>
      </c>
      <c r="D29" s="105" t="s">
        <v>231</v>
      </c>
      <c r="E29" s="105" t="s">
        <v>238</v>
      </c>
      <c r="F29" s="107" t="s">
        <v>239</v>
      </c>
      <c r="G29" s="224">
        <v>1</v>
      </c>
      <c r="H29" s="230">
        <v>0</v>
      </c>
      <c r="I29" s="108">
        <v>265.125</v>
      </c>
      <c r="J29" s="109">
        <f t="shared" si="0"/>
        <v>265.125</v>
      </c>
      <c r="K29" s="110">
        <f t="shared" si="1"/>
        <v>0</v>
      </c>
      <c r="L29" s="111">
        <f t="shared" si="7"/>
        <v>795.375</v>
      </c>
      <c r="M29" s="108">
        <f t="shared" si="2"/>
        <v>216.07687499999997</v>
      </c>
      <c r="N29" s="109">
        <f t="shared" si="3"/>
        <v>216.07687499999997</v>
      </c>
      <c r="O29" s="112">
        <f t="shared" si="4"/>
        <v>648.23062499999992</v>
      </c>
      <c r="P29" s="113">
        <f t="shared" si="5"/>
        <v>0</v>
      </c>
      <c r="Q29" s="114">
        <f t="shared" si="6"/>
        <v>0</v>
      </c>
    </row>
    <row r="30" spans="1:17" s="116" customFormat="1" ht="24">
      <c r="A30" s="105" t="s">
        <v>52</v>
      </c>
      <c r="B30" s="106" t="s">
        <v>240</v>
      </c>
      <c r="C30" s="105" t="s">
        <v>241</v>
      </c>
      <c r="D30" s="105" t="s">
        <v>242</v>
      </c>
      <c r="E30" s="105" t="s">
        <v>243</v>
      </c>
      <c r="F30" s="107" t="s">
        <v>244</v>
      </c>
      <c r="G30" s="226">
        <v>8</v>
      </c>
      <c r="H30" s="230">
        <v>2</v>
      </c>
      <c r="I30" s="108">
        <v>318.14999999999998</v>
      </c>
      <c r="J30" s="109">
        <f t="shared" si="0"/>
        <v>2545.1999999999998</v>
      </c>
      <c r="K30" s="110">
        <f t="shared" si="1"/>
        <v>636.29999999999995</v>
      </c>
      <c r="L30" s="111">
        <f t="shared" si="7"/>
        <v>8802.15</v>
      </c>
      <c r="M30" s="108">
        <f t="shared" si="2"/>
        <v>259.29224999999997</v>
      </c>
      <c r="N30" s="109">
        <f t="shared" si="3"/>
        <v>2074.3379999999997</v>
      </c>
      <c r="O30" s="115">
        <f t="shared" si="4"/>
        <v>6223.0139999999992</v>
      </c>
      <c r="P30" s="113">
        <f t="shared" si="5"/>
        <v>518.58449999999993</v>
      </c>
      <c r="Q30" s="114">
        <f t="shared" si="6"/>
        <v>950.73824999999988</v>
      </c>
    </row>
    <row r="31" spans="1:17" s="116" customFormat="1" ht="24" customHeight="1">
      <c r="A31" s="105" t="s">
        <v>52</v>
      </c>
      <c r="B31" s="106" t="s">
        <v>245</v>
      </c>
      <c r="C31" s="105" t="s">
        <v>246</v>
      </c>
      <c r="D31" s="105" t="s">
        <v>242</v>
      </c>
      <c r="E31" s="105" t="s">
        <v>247</v>
      </c>
      <c r="F31" s="107" t="s">
        <v>248</v>
      </c>
      <c r="G31" s="226">
        <v>8</v>
      </c>
      <c r="H31" s="230">
        <v>1</v>
      </c>
      <c r="I31" s="108">
        <v>265.125</v>
      </c>
      <c r="J31" s="109">
        <f t="shared" si="0"/>
        <v>2121</v>
      </c>
      <c r="K31" s="110">
        <f t="shared" si="1"/>
        <v>265.125</v>
      </c>
      <c r="L31" s="111">
        <f t="shared" si="7"/>
        <v>6849.0625</v>
      </c>
      <c r="M31" s="108">
        <f t="shared" si="2"/>
        <v>216.07687499999997</v>
      </c>
      <c r="N31" s="109">
        <f t="shared" si="3"/>
        <v>1728.6149999999998</v>
      </c>
      <c r="O31" s="115">
        <f t="shared" si="4"/>
        <v>5185.8449999999993</v>
      </c>
      <c r="P31" s="113">
        <f t="shared" si="5"/>
        <v>216.07687499999997</v>
      </c>
      <c r="Q31" s="114">
        <f t="shared" si="6"/>
        <v>396.14093749999995</v>
      </c>
    </row>
    <row r="32" spans="1:17" s="116" customFormat="1" ht="24" customHeight="1">
      <c r="A32" s="251" t="s">
        <v>52</v>
      </c>
      <c r="B32" s="252" t="s">
        <v>259</v>
      </c>
      <c r="C32" s="251" t="s">
        <v>260</v>
      </c>
      <c r="D32" s="251" t="s">
        <v>242</v>
      </c>
      <c r="E32" s="251" t="s">
        <v>261</v>
      </c>
      <c r="F32" s="253" t="s">
        <v>262</v>
      </c>
      <c r="G32" s="254">
        <v>4</v>
      </c>
      <c r="H32" s="236">
        <v>1</v>
      </c>
      <c r="I32" s="255">
        <v>318.14999999999998</v>
      </c>
      <c r="J32" s="256">
        <f t="shared" si="0"/>
        <v>1272.5999999999999</v>
      </c>
      <c r="K32" s="257">
        <f t="shared" si="1"/>
        <v>318.14999999999998</v>
      </c>
      <c r="L32" s="240">
        <f t="shared" si="7"/>
        <v>4401.0749999999998</v>
      </c>
      <c r="M32" s="255">
        <f t="shared" si="2"/>
        <v>259.29224999999997</v>
      </c>
      <c r="N32" s="256">
        <f t="shared" si="3"/>
        <v>1037.1689999999999</v>
      </c>
      <c r="O32" s="258">
        <f t="shared" si="4"/>
        <v>3111.5069999999996</v>
      </c>
      <c r="P32" s="243">
        <f t="shared" si="5"/>
        <v>259.29224999999997</v>
      </c>
      <c r="Q32" s="244">
        <f t="shared" si="6"/>
        <v>475.36912499999994</v>
      </c>
    </row>
    <row r="33" spans="1:34" s="120" customFormat="1" ht="36">
      <c r="A33" s="105" t="s">
        <v>52</v>
      </c>
      <c r="B33" s="106" t="s">
        <v>286</v>
      </c>
      <c r="C33" s="105" t="s">
        <v>287</v>
      </c>
      <c r="D33" s="105" t="s">
        <v>288</v>
      </c>
      <c r="E33" s="105" t="s">
        <v>289</v>
      </c>
      <c r="F33" s="107" t="s">
        <v>290</v>
      </c>
      <c r="G33" s="227">
        <v>1</v>
      </c>
      <c r="H33" s="230">
        <v>0</v>
      </c>
      <c r="I33" s="117">
        <f>J33</f>
        <v>20461.069850000003</v>
      </c>
      <c r="J33" s="109">
        <f>SUM(J3:J32)*5%</f>
        <v>20461.069850000003</v>
      </c>
      <c r="K33" s="110">
        <v>0</v>
      </c>
      <c r="L33" s="111">
        <f>J33*3</f>
        <v>61383.209550000014</v>
      </c>
      <c r="M33" s="118">
        <f t="shared" si="2"/>
        <v>16675.77192775</v>
      </c>
      <c r="N33" s="119">
        <f t="shared" si="3"/>
        <v>16675.77192775</v>
      </c>
      <c r="O33" s="112">
        <f t="shared" si="4"/>
        <v>50027.31578325</v>
      </c>
      <c r="P33" s="113">
        <f t="shared" si="5"/>
        <v>0</v>
      </c>
      <c r="Q33" s="114">
        <f t="shared" si="6"/>
        <v>0</v>
      </c>
      <c r="R33" s="79"/>
      <c r="S33" s="79"/>
      <c r="T33" s="79"/>
      <c r="U33" s="79"/>
      <c r="V33" s="79"/>
      <c r="W33" s="79"/>
      <c r="X33" s="79"/>
      <c r="Y33" s="79"/>
      <c r="Z33" s="79"/>
      <c r="AA33" s="79"/>
      <c r="AB33" s="79"/>
      <c r="AC33" s="79"/>
      <c r="AD33" s="79"/>
      <c r="AE33" s="79"/>
      <c r="AF33" s="79"/>
      <c r="AG33" s="79"/>
      <c r="AH33" s="79"/>
    </row>
    <row r="34" spans="1:34" s="120" customFormat="1" ht="36">
      <c r="A34" s="105" t="s">
        <v>52</v>
      </c>
      <c r="B34" s="106" t="s">
        <v>286</v>
      </c>
      <c r="C34" s="105" t="s">
        <v>287</v>
      </c>
      <c r="D34" s="105" t="s">
        <v>288</v>
      </c>
      <c r="E34" s="105" t="s">
        <v>289</v>
      </c>
      <c r="F34" s="107" t="s">
        <v>290</v>
      </c>
      <c r="G34" s="227">
        <v>0</v>
      </c>
      <c r="H34" s="230">
        <v>1</v>
      </c>
      <c r="I34" s="117">
        <f>K34</f>
        <v>2429.8580000000006</v>
      </c>
      <c r="J34" s="109">
        <v>0</v>
      </c>
      <c r="K34" s="110">
        <f>SUM(K4:K33)*5%</f>
        <v>2429.8580000000006</v>
      </c>
      <c r="L34" s="111">
        <f>K34/12*22</f>
        <v>4454.7396666666682</v>
      </c>
      <c r="M34" s="118">
        <f t="shared" si="2"/>
        <v>1980.3342700000003</v>
      </c>
      <c r="N34" s="119">
        <f t="shared" si="3"/>
        <v>0</v>
      </c>
      <c r="O34" s="112">
        <f t="shared" si="4"/>
        <v>0</v>
      </c>
      <c r="P34" s="113">
        <f t="shared" si="5"/>
        <v>1980.3342700000003</v>
      </c>
      <c r="Q34" s="114">
        <f t="shared" si="6"/>
        <v>3630.6128283333337</v>
      </c>
      <c r="R34" s="116"/>
      <c r="S34" s="116"/>
      <c r="T34" s="116"/>
      <c r="U34" s="116"/>
      <c r="V34" s="116"/>
      <c r="W34" s="116"/>
      <c r="X34" s="79"/>
      <c r="Y34" s="79"/>
      <c r="Z34" s="79"/>
      <c r="AA34" s="79"/>
      <c r="AB34" s="79"/>
      <c r="AC34" s="79"/>
      <c r="AD34" s="79"/>
      <c r="AE34" s="79"/>
      <c r="AF34" s="79"/>
      <c r="AG34" s="79"/>
      <c r="AH34" s="79"/>
    </row>
    <row r="35" spans="1:34" s="116" customFormat="1" ht="24">
      <c r="A35" s="121" t="s">
        <v>52</v>
      </c>
      <c r="B35" s="122" t="s">
        <v>291</v>
      </c>
      <c r="C35" s="121" t="s">
        <v>287</v>
      </c>
      <c r="D35" s="121" t="s">
        <v>288</v>
      </c>
      <c r="E35" s="121" t="s">
        <v>292</v>
      </c>
      <c r="F35" s="123" t="s">
        <v>293</v>
      </c>
      <c r="G35" s="228">
        <f>46652.64-H35</f>
        <v>42002.64</v>
      </c>
      <c r="H35" s="231">
        <v>4650</v>
      </c>
      <c r="I35" s="124">
        <v>6.0600000000000001E-2</v>
      </c>
      <c r="J35" s="125">
        <f>(G35*I35)</f>
        <v>2545.3599840000002</v>
      </c>
      <c r="K35" s="126">
        <f>H35*I35</f>
        <v>281.79000000000002</v>
      </c>
      <c r="L35" s="127">
        <f>(J35*3)+(K35/12*22)</f>
        <v>8152.6949519999998</v>
      </c>
      <c r="M35" s="124">
        <f t="shared" si="2"/>
        <v>4.9388999999999995E-2</v>
      </c>
      <c r="N35" s="125">
        <f t="shared" si="3"/>
        <v>2074.4683869599999</v>
      </c>
      <c r="O35" s="128">
        <f t="shared" si="4"/>
        <v>6223.40516088</v>
      </c>
      <c r="P35" s="129">
        <f t="shared" si="5"/>
        <v>229.65884999999997</v>
      </c>
      <c r="Q35" s="130">
        <f t="shared" si="6"/>
        <v>421.041225</v>
      </c>
    </row>
    <row r="36" spans="1:34" ht="16.899999999999999" customHeight="1">
      <c r="A36" s="262" t="s">
        <v>294</v>
      </c>
      <c r="B36" s="262"/>
      <c r="C36" s="262"/>
      <c r="D36" s="262"/>
      <c r="E36" s="262"/>
      <c r="F36" s="262"/>
      <c r="G36" s="131"/>
      <c r="H36" s="132"/>
      <c r="I36" s="133"/>
      <c r="J36" s="134">
        <f>SUM(J3:J35)</f>
        <v>432227.82683400006</v>
      </c>
      <c r="K36" s="135">
        <f>SUM(K3:K35)</f>
        <v>51308.808000000012</v>
      </c>
      <c r="L36" s="136">
        <f>SUM(L3:L35)</f>
        <v>1390749.6285019999</v>
      </c>
      <c r="M36" s="137"/>
      <c r="N36" s="134">
        <f>SUM(N3:N35)</f>
        <v>352265.67886970995</v>
      </c>
      <c r="O36" s="138">
        <f>SUM(O3:O35)</f>
        <v>1056797.0366091297</v>
      </c>
      <c r="P36" s="139">
        <f>SUM(P3:P35)</f>
        <v>41816.678519999979</v>
      </c>
      <c r="Q36" s="140">
        <f>SUM(Q3:Q35)</f>
        <v>76663.910619999966</v>
      </c>
      <c r="R36" s="140">
        <f>O36+Q36</f>
        <v>1133460.9472291297</v>
      </c>
    </row>
    <row r="37" spans="1:34" ht="15.75" thickBot="1">
      <c r="A37" s="141"/>
      <c r="B37" s="141"/>
      <c r="C37" s="141"/>
      <c r="D37" s="141"/>
      <c r="E37" s="141"/>
      <c r="F37" s="141"/>
      <c r="J37" s="142"/>
      <c r="M37" s="143"/>
      <c r="N37" s="144"/>
      <c r="O37" s="145"/>
      <c r="P37" s="146"/>
    </row>
    <row r="38" spans="1:34" ht="25.5" thickBot="1">
      <c r="O38" s="147" t="s">
        <v>295</v>
      </c>
      <c r="P38" s="148">
        <v>0.185</v>
      </c>
    </row>
    <row r="39" spans="1:34">
      <c r="Q39" s="142"/>
    </row>
    <row r="41" spans="1:34">
      <c r="P41" s="142"/>
    </row>
    <row r="45" spans="1:34">
      <c r="J45" s="142"/>
    </row>
  </sheetData>
  <autoFilter ref="A2:R38" xr:uid="{00000000-0009-0000-0000-000004000000}"/>
  <mergeCells count="1">
    <mergeCell ref="A36:F36"/>
  </mergeCells>
  <pageMargins left="0.70833333333333304" right="0.70833333333333304" top="0.74791666666666701" bottom="0.74791666666666701" header="0.51180555555555496" footer="0.51180555555555496"/>
  <pageSetup paperSize="9" firstPageNumber="0" fitToHeight="0" orientation="landscape" horizontalDpi="300" verticalDpi="300"/>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AR139"/>
  <sheetViews>
    <sheetView showGridLines="0" topLeftCell="C89" zoomScale="115" zoomScaleNormal="115" workbookViewId="0">
      <selection activeCell="F112" sqref="F112"/>
    </sheetView>
  </sheetViews>
  <sheetFormatPr defaultRowHeight="15"/>
  <cols>
    <col min="1" max="1" width="8.7109375" customWidth="1"/>
    <col min="2" max="2" width="153.5703125" customWidth="1"/>
    <col min="3" max="3" width="62" customWidth="1"/>
    <col min="4" max="4" width="50.85546875" customWidth="1"/>
    <col min="5" max="5" width="53.28515625" customWidth="1"/>
    <col min="6" max="7" width="62.140625" customWidth="1"/>
    <col min="8" max="8" width="62.140625" style="149" customWidth="1"/>
    <col min="9" max="44" width="62.140625" customWidth="1"/>
    <col min="45" max="1025" width="8.7109375" customWidth="1"/>
  </cols>
  <sheetData>
    <row r="2" spans="2:44" ht="2.4500000000000002" customHeight="1"/>
    <row r="3" spans="2:44" ht="23.45" customHeight="1">
      <c r="G3" t="s">
        <v>296</v>
      </c>
      <c r="I3" t="s">
        <v>296</v>
      </c>
      <c r="K3" t="s">
        <v>296</v>
      </c>
      <c r="M3" t="s">
        <v>296</v>
      </c>
      <c r="O3" t="s">
        <v>296</v>
      </c>
      <c r="Q3" t="s">
        <v>48</v>
      </c>
      <c r="S3" t="s">
        <v>48</v>
      </c>
      <c r="U3" t="s">
        <v>48</v>
      </c>
      <c r="W3" t="s">
        <v>48</v>
      </c>
      <c r="Y3" t="s">
        <v>50</v>
      </c>
      <c r="AA3" t="s">
        <v>50</v>
      </c>
      <c r="AC3" t="s">
        <v>50</v>
      </c>
      <c r="AE3" t="s">
        <v>51</v>
      </c>
      <c r="AG3" t="s">
        <v>51</v>
      </c>
      <c r="AI3" t="s">
        <v>51</v>
      </c>
      <c r="AK3" t="s">
        <v>51</v>
      </c>
      <c r="AM3" t="s">
        <v>51</v>
      </c>
      <c r="AO3" t="s">
        <v>53</v>
      </c>
      <c r="AQ3" t="s">
        <v>53</v>
      </c>
    </row>
    <row r="4" spans="2:44" ht="30">
      <c r="B4" s="150" t="s">
        <v>100</v>
      </c>
      <c r="C4" s="150" t="s">
        <v>99</v>
      </c>
      <c r="D4" s="150" t="s">
        <v>297</v>
      </c>
      <c r="E4" s="150" t="s">
        <v>102</v>
      </c>
      <c r="F4" s="151" t="s">
        <v>298</v>
      </c>
      <c r="G4" s="152" t="s">
        <v>299</v>
      </c>
      <c r="H4" s="153" t="s">
        <v>300</v>
      </c>
      <c r="I4" s="152" t="s">
        <v>301</v>
      </c>
      <c r="J4" s="153" t="s">
        <v>302</v>
      </c>
      <c r="K4" s="152" t="s">
        <v>57</v>
      </c>
      <c r="L4" s="153" t="s">
        <v>303</v>
      </c>
      <c r="M4" s="152" t="s">
        <v>59</v>
      </c>
      <c r="N4" s="153" t="s">
        <v>304</v>
      </c>
      <c r="O4" s="152" t="s">
        <v>52</v>
      </c>
      <c r="P4" s="153" t="s">
        <v>305</v>
      </c>
      <c r="Q4" s="152" t="s">
        <v>306</v>
      </c>
      <c r="R4" s="153" t="s">
        <v>307</v>
      </c>
      <c r="S4" s="152" t="s">
        <v>308</v>
      </c>
      <c r="T4" s="153" t="s">
        <v>309</v>
      </c>
      <c r="U4" s="152" t="s">
        <v>16</v>
      </c>
      <c r="V4" s="153" t="s">
        <v>310</v>
      </c>
      <c r="W4" s="152" t="s">
        <v>26</v>
      </c>
      <c r="X4" s="153" t="s">
        <v>311</v>
      </c>
      <c r="Y4" s="152" t="s">
        <v>30</v>
      </c>
      <c r="Z4" s="153" t="s">
        <v>312</v>
      </c>
      <c r="AA4" s="152" t="s">
        <v>14</v>
      </c>
      <c r="AB4" s="153" t="s">
        <v>313</v>
      </c>
      <c r="AC4" s="152" t="s">
        <v>19</v>
      </c>
      <c r="AD4" s="153" t="s">
        <v>314</v>
      </c>
      <c r="AE4" s="152" t="s">
        <v>7</v>
      </c>
      <c r="AF4" s="153" t="s">
        <v>315</v>
      </c>
      <c r="AG4" s="152" t="s">
        <v>49</v>
      </c>
      <c r="AH4" s="153" t="s">
        <v>316</v>
      </c>
      <c r="AI4" s="152" t="s">
        <v>11</v>
      </c>
      <c r="AJ4" s="153" t="s">
        <v>317</v>
      </c>
      <c r="AK4" s="152" t="s">
        <v>24</v>
      </c>
      <c r="AL4" s="153" t="s">
        <v>318</v>
      </c>
      <c r="AM4" s="152" t="s">
        <v>28</v>
      </c>
      <c r="AN4" s="153" t="s">
        <v>319</v>
      </c>
      <c r="AO4" s="152" t="s">
        <v>320</v>
      </c>
      <c r="AP4" s="153" t="s">
        <v>321</v>
      </c>
      <c r="AQ4" s="152" t="s">
        <v>33</v>
      </c>
      <c r="AR4" s="153" t="s">
        <v>322</v>
      </c>
    </row>
    <row r="5" spans="2:44">
      <c r="B5" s="33" t="s">
        <v>323</v>
      </c>
      <c r="C5" s="33" t="s">
        <v>324</v>
      </c>
      <c r="D5" s="33" t="s">
        <v>325</v>
      </c>
      <c r="E5" s="33" t="s">
        <v>326</v>
      </c>
      <c r="F5" s="154">
        <v>1.35E-2</v>
      </c>
      <c r="G5" s="155">
        <v>3925000</v>
      </c>
      <c r="H5" s="156">
        <v>52987.5</v>
      </c>
      <c r="I5" s="155">
        <v>0</v>
      </c>
      <c r="J5" s="156">
        <v>0</v>
      </c>
      <c r="K5" s="155">
        <v>1850101</v>
      </c>
      <c r="L5" s="156">
        <v>24976.363499999999</v>
      </c>
      <c r="M5" s="155">
        <v>612750</v>
      </c>
      <c r="N5" s="156">
        <v>8272.125</v>
      </c>
      <c r="O5" s="155">
        <v>0</v>
      </c>
      <c r="P5" s="156">
        <v>0</v>
      </c>
      <c r="Q5" s="155">
        <v>5389891.5</v>
      </c>
      <c r="R5" s="156">
        <f t="shared" ref="R5:R36" si="0">Q5*F5</f>
        <v>72763.535250000001</v>
      </c>
      <c r="S5" s="155">
        <v>1689848</v>
      </c>
      <c r="T5" s="156">
        <v>22812.948</v>
      </c>
      <c r="U5" s="155">
        <v>0</v>
      </c>
      <c r="V5" s="156">
        <f t="shared" ref="V5:V36" si="1">U5*F5</f>
        <v>0</v>
      </c>
      <c r="W5" s="155">
        <v>113986</v>
      </c>
      <c r="X5" s="156">
        <v>1538.8109999999999</v>
      </c>
      <c r="Y5" s="155">
        <v>2509074</v>
      </c>
      <c r="Z5" s="156">
        <v>33872.499000000003</v>
      </c>
      <c r="AA5" s="155">
        <v>6700000</v>
      </c>
      <c r="AB5" s="156">
        <v>90450</v>
      </c>
      <c r="AC5" s="155">
        <v>0</v>
      </c>
      <c r="AD5" s="156">
        <v>0</v>
      </c>
      <c r="AE5" s="155">
        <v>45972819.979000002</v>
      </c>
      <c r="AF5" s="156">
        <v>620633.0697165</v>
      </c>
      <c r="AG5" s="155">
        <v>0</v>
      </c>
      <c r="AH5" s="156">
        <v>0</v>
      </c>
      <c r="AI5" s="155">
        <v>3532303</v>
      </c>
      <c r="AJ5" s="156">
        <v>47686.090499999998</v>
      </c>
      <c r="AK5" s="155">
        <v>0</v>
      </c>
      <c r="AL5" s="156">
        <v>0</v>
      </c>
      <c r="AM5" s="155">
        <v>41126</v>
      </c>
      <c r="AN5" s="156">
        <v>555.20100000000002</v>
      </c>
      <c r="AO5" s="155">
        <v>1371402</v>
      </c>
      <c r="AP5" s="156">
        <v>18513.927</v>
      </c>
      <c r="AQ5" s="155">
        <v>277897.63</v>
      </c>
      <c r="AR5" s="156">
        <v>3751.6180049999998</v>
      </c>
    </row>
    <row r="6" spans="2:44">
      <c r="B6" s="33" t="s">
        <v>323</v>
      </c>
      <c r="C6" s="33" t="s">
        <v>327</v>
      </c>
      <c r="D6" s="33" t="s">
        <v>328</v>
      </c>
      <c r="E6" s="33" t="s">
        <v>329</v>
      </c>
      <c r="F6" s="154">
        <v>5.9335077031261799E-2</v>
      </c>
      <c r="G6" s="155">
        <v>0</v>
      </c>
      <c r="H6" s="156">
        <v>0</v>
      </c>
      <c r="I6" s="155">
        <v>0</v>
      </c>
      <c r="J6" s="156">
        <v>0</v>
      </c>
      <c r="K6" s="155">
        <v>0</v>
      </c>
      <c r="L6" s="156">
        <v>0</v>
      </c>
      <c r="M6" s="155">
        <v>0</v>
      </c>
      <c r="N6" s="156">
        <v>0</v>
      </c>
      <c r="O6" s="155">
        <v>0</v>
      </c>
      <c r="P6" s="156">
        <v>0</v>
      </c>
      <c r="Q6" s="155">
        <v>0</v>
      </c>
      <c r="R6" s="156">
        <f t="shared" si="0"/>
        <v>0</v>
      </c>
      <c r="S6" s="155">
        <v>0</v>
      </c>
      <c r="T6" s="156">
        <v>0</v>
      </c>
      <c r="U6" s="155">
        <v>0</v>
      </c>
      <c r="V6" s="156">
        <f t="shared" si="1"/>
        <v>0</v>
      </c>
      <c r="W6" s="155">
        <v>0</v>
      </c>
      <c r="X6" s="156">
        <v>0</v>
      </c>
      <c r="Y6" s="155">
        <v>2506422</v>
      </c>
      <c r="Z6" s="156">
        <v>148718.742442849</v>
      </c>
      <c r="AA6" s="155">
        <v>0</v>
      </c>
      <c r="AB6" s="156">
        <v>0</v>
      </c>
      <c r="AC6" s="155">
        <v>128</v>
      </c>
      <c r="AD6" s="156">
        <v>7.5948898600014996</v>
      </c>
      <c r="AE6" s="155">
        <v>0</v>
      </c>
      <c r="AF6" s="156">
        <v>0</v>
      </c>
      <c r="AG6" s="155">
        <v>0</v>
      </c>
      <c r="AH6" s="156">
        <v>0</v>
      </c>
      <c r="AI6" s="155">
        <v>0</v>
      </c>
      <c r="AJ6" s="156">
        <v>0</v>
      </c>
      <c r="AK6" s="155">
        <v>0</v>
      </c>
      <c r="AL6" s="156">
        <v>0</v>
      </c>
      <c r="AM6" s="155">
        <v>0</v>
      </c>
      <c r="AN6" s="156">
        <v>0</v>
      </c>
      <c r="AO6" s="155">
        <v>3060</v>
      </c>
      <c r="AP6" s="156">
        <v>181.56533571566101</v>
      </c>
      <c r="AQ6" s="155">
        <v>0</v>
      </c>
      <c r="AR6" s="156">
        <v>0</v>
      </c>
    </row>
    <row r="7" spans="2:44">
      <c r="B7" s="33" t="s">
        <v>323</v>
      </c>
      <c r="C7" s="33" t="s">
        <v>330</v>
      </c>
      <c r="D7" s="33" t="s">
        <v>331</v>
      </c>
      <c r="E7" s="33" t="s">
        <v>329</v>
      </c>
      <c r="F7" s="154">
        <v>0.1</v>
      </c>
      <c r="G7" s="155">
        <v>0</v>
      </c>
      <c r="H7" s="156">
        <v>0</v>
      </c>
      <c r="I7" s="155">
        <v>0</v>
      </c>
      <c r="J7" s="156">
        <v>0</v>
      </c>
      <c r="K7" s="155">
        <v>0</v>
      </c>
      <c r="L7" s="156">
        <v>0</v>
      </c>
      <c r="M7" s="155">
        <v>0</v>
      </c>
      <c r="N7" s="156">
        <v>0</v>
      </c>
      <c r="O7" s="155">
        <v>0</v>
      </c>
      <c r="P7" s="156">
        <v>0</v>
      </c>
      <c r="Q7" s="155">
        <v>0</v>
      </c>
      <c r="R7" s="156">
        <f t="shared" si="0"/>
        <v>0</v>
      </c>
      <c r="S7" s="155">
        <v>0</v>
      </c>
      <c r="T7" s="156">
        <v>0</v>
      </c>
      <c r="U7" s="155">
        <v>0</v>
      </c>
      <c r="V7" s="156">
        <f t="shared" si="1"/>
        <v>0</v>
      </c>
      <c r="W7" s="155">
        <v>0</v>
      </c>
      <c r="X7" s="156">
        <v>0</v>
      </c>
      <c r="Y7" s="155">
        <v>20877094</v>
      </c>
      <c r="Z7" s="156">
        <v>2087709.4</v>
      </c>
      <c r="AA7" s="155">
        <v>0</v>
      </c>
      <c r="AB7" s="156">
        <v>0</v>
      </c>
      <c r="AC7" s="155">
        <v>0</v>
      </c>
      <c r="AD7" s="156">
        <v>0</v>
      </c>
      <c r="AE7" s="155">
        <v>0</v>
      </c>
      <c r="AF7" s="156">
        <v>0</v>
      </c>
      <c r="AG7" s="155">
        <v>0</v>
      </c>
      <c r="AH7" s="156">
        <v>0</v>
      </c>
      <c r="AI7" s="155">
        <v>0</v>
      </c>
      <c r="AJ7" s="156">
        <v>0</v>
      </c>
      <c r="AK7" s="155">
        <v>0</v>
      </c>
      <c r="AL7" s="156">
        <v>0</v>
      </c>
      <c r="AM7" s="155">
        <v>0</v>
      </c>
      <c r="AN7" s="156">
        <v>0</v>
      </c>
      <c r="AO7" s="155">
        <v>0</v>
      </c>
      <c r="AP7" s="156">
        <v>0</v>
      </c>
      <c r="AQ7" s="155">
        <v>0</v>
      </c>
      <c r="AR7" s="156">
        <v>0</v>
      </c>
    </row>
    <row r="8" spans="2:44">
      <c r="B8" s="33" t="s">
        <v>323</v>
      </c>
      <c r="C8" s="33" t="s">
        <v>332</v>
      </c>
      <c r="D8" s="33" t="s">
        <v>333</v>
      </c>
      <c r="E8" s="33" t="s">
        <v>329</v>
      </c>
      <c r="F8" s="154">
        <v>0.125</v>
      </c>
      <c r="G8" s="155">
        <v>0</v>
      </c>
      <c r="H8" s="156">
        <v>0</v>
      </c>
      <c r="I8" s="155">
        <v>0</v>
      </c>
      <c r="J8" s="156">
        <v>0</v>
      </c>
      <c r="K8" s="155">
        <v>0</v>
      </c>
      <c r="L8" s="156">
        <v>0</v>
      </c>
      <c r="M8" s="155">
        <v>0</v>
      </c>
      <c r="N8" s="156">
        <v>0</v>
      </c>
      <c r="O8" s="155">
        <v>0</v>
      </c>
      <c r="P8" s="156">
        <v>0</v>
      </c>
      <c r="Q8" s="155">
        <v>0</v>
      </c>
      <c r="R8" s="156">
        <f t="shared" si="0"/>
        <v>0</v>
      </c>
      <c r="S8" s="155">
        <v>212130</v>
      </c>
      <c r="T8" s="156">
        <v>26516.25</v>
      </c>
      <c r="U8" s="155">
        <v>0</v>
      </c>
      <c r="V8" s="156">
        <f t="shared" si="1"/>
        <v>0</v>
      </c>
      <c r="W8" s="155">
        <v>0</v>
      </c>
      <c r="X8" s="156">
        <v>0</v>
      </c>
      <c r="Y8" s="155">
        <v>3286731</v>
      </c>
      <c r="Z8" s="156">
        <v>410841.375</v>
      </c>
      <c r="AA8" s="155">
        <v>0</v>
      </c>
      <c r="AB8" s="156">
        <v>0</v>
      </c>
      <c r="AC8" s="155">
        <v>0</v>
      </c>
      <c r="AD8" s="156">
        <v>0</v>
      </c>
      <c r="AE8" s="155">
        <v>0</v>
      </c>
      <c r="AF8" s="156">
        <v>0</v>
      </c>
      <c r="AG8" s="155">
        <v>0</v>
      </c>
      <c r="AH8" s="156">
        <v>0</v>
      </c>
      <c r="AI8" s="155">
        <v>2465522</v>
      </c>
      <c r="AJ8" s="156">
        <v>308190.25</v>
      </c>
      <c r="AK8" s="155">
        <v>0</v>
      </c>
      <c r="AL8" s="156">
        <v>0</v>
      </c>
      <c r="AM8" s="155">
        <v>0</v>
      </c>
      <c r="AN8" s="156">
        <v>0</v>
      </c>
      <c r="AO8" s="155">
        <v>14183008</v>
      </c>
      <c r="AP8" s="156">
        <v>1772876</v>
      </c>
      <c r="AQ8" s="155">
        <v>3593300</v>
      </c>
      <c r="AR8" s="156">
        <v>449162.5</v>
      </c>
    </row>
    <row r="9" spans="2:44">
      <c r="B9" s="33" t="s">
        <v>323</v>
      </c>
      <c r="C9" s="33" t="s">
        <v>334</v>
      </c>
      <c r="D9" s="33" t="s">
        <v>335</v>
      </c>
      <c r="E9" s="33" t="s">
        <v>329</v>
      </c>
      <c r="F9" s="154">
        <v>0.28000000000000003</v>
      </c>
      <c r="G9" s="155">
        <v>0</v>
      </c>
      <c r="H9" s="156">
        <v>0</v>
      </c>
      <c r="I9" s="155">
        <v>0</v>
      </c>
      <c r="J9" s="156">
        <v>0</v>
      </c>
      <c r="K9" s="155">
        <v>0</v>
      </c>
      <c r="L9" s="156">
        <v>0</v>
      </c>
      <c r="M9" s="155">
        <v>0</v>
      </c>
      <c r="N9" s="156">
        <v>0</v>
      </c>
      <c r="O9" s="155">
        <v>0</v>
      </c>
      <c r="P9" s="156">
        <v>0</v>
      </c>
      <c r="Q9" s="155">
        <v>0</v>
      </c>
      <c r="R9" s="156">
        <f t="shared" si="0"/>
        <v>0</v>
      </c>
      <c r="S9" s="155">
        <v>0</v>
      </c>
      <c r="T9" s="156">
        <v>0</v>
      </c>
      <c r="U9" s="155">
        <v>0</v>
      </c>
      <c r="V9" s="156">
        <f t="shared" si="1"/>
        <v>0</v>
      </c>
      <c r="W9" s="155">
        <v>0</v>
      </c>
      <c r="X9" s="156">
        <v>0</v>
      </c>
      <c r="Y9" s="155">
        <v>0</v>
      </c>
      <c r="Z9" s="156">
        <v>0</v>
      </c>
      <c r="AA9" s="155">
        <v>0</v>
      </c>
      <c r="AB9" s="156">
        <v>0</v>
      </c>
      <c r="AC9" s="155">
        <v>0</v>
      </c>
      <c r="AD9" s="156">
        <v>0</v>
      </c>
      <c r="AE9" s="155">
        <v>0</v>
      </c>
      <c r="AF9" s="156">
        <v>0</v>
      </c>
      <c r="AG9" s="155">
        <v>0</v>
      </c>
      <c r="AH9" s="156">
        <v>0</v>
      </c>
      <c r="AI9" s="155">
        <v>0</v>
      </c>
      <c r="AJ9" s="156">
        <v>0</v>
      </c>
      <c r="AK9" s="155">
        <v>0</v>
      </c>
      <c r="AL9" s="156">
        <v>0</v>
      </c>
      <c r="AM9" s="155">
        <v>0</v>
      </c>
      <c r="AN9" s="156">
        <v>0</v>
      </c>
      <c r="AO9" s="155">
        <v>0</v>
      </c>
      <c r="AP9" s="156">
        <v>0</v>
      </c>
      <c r="AQ9" s="155">
        <v>0</v>
      </c>
      <c r="AR9" s="156">
        <v>0</v>
      </c>
    </row>
    <row r="10" spans="2:44">
      <c r="B10" s="33" t="s">
        <v>336</v>
      </c>
      <c r="C10" s="33" t="s">
        <v>137</v>
      </c>
      <c r="D10" s="33" t="s">
        <v>277</v>
      </c>
      <c r="E10" s="33" t="s">
        <v>140</v>
      </c>
      <c r="F10" s="154">
        <v>3923.85</v>
      </c>
      <c r="G10" s="155">
        <v>8</v>
      </c>
      <c r="H10" s="156">
        <v>31390.799999999999</v>
      </c>
      <c r="I10" s="155">
        <v>0</v>
      </c>
      <c r="J10" s="156">
        <v>0</v>
      </c>
      <c r="K10" s="155">
        <v>7</v>
      </c>
      <c r="L10" s="156">
        <v>27466.95</v>
      </c>
      <c r="M10" s="155">
        <v>3</v>
      </c>
      <c r="N10" s="156">
        <v>11771.55</v>
      </c>
      <c r="O10" s="155">
        <v>4</v>
      </c>
      <c r="P10" s="156">
        <v>15695.4</v>
      </c>
      <c r="Q10" s="155">
        <v>21</v>
      </c>
      <c r="R10" s="156">
        <f t="shared" si="0"/>
        <v>82400.849999999991</v>
      </c>
      <c r="S10" s="155">
        <v>0</v>
      </c>
      <c r="T10" s="156">
        <v>0</v>
      </c>
      <c r="U10" s="155">
        <v>3</v>
      </c>
      <c r="V10" s="156">
        <f t="shared" si="1"/>
        <v>11771.55</v>
      </c>
      <c r="W10" s="155">
        <v>1</v>
      </c>
      <c r="X10" s="156">
        <v>3923.85</v>
      </c>
      <c r="Y10" s="155">
        <v>3</v>
      </c>
      <c r="Z10" s="156">
        <v>11771.55</v>
      </c>
      <c r="AA10" s="155">
        <v>3</v>
      </c>
      <c r="AB10" s="156">
        <v>11771.55</v>
      </c>
      <c r="AC10" s="155">
        <v>1</v>
      </c>
      <c r="AD10" s="156">
        <v>3923.85</v>
      </c>
      <c r="AE10" s="155">
        <v>16</v>
      </c>
      <c r="AF10" s="156">
        <v>62781.599999999999</v>
      </c>
      <c r="AG10" s="155">
        <v>2</v>
      </c>
      <c r="AH10" s="156">
        <v>7847.7</v>
      </c>
      <c r="AI10" s="155">
        <v>7</v>
      </c>
      <c r="AJ10" s="156">
        <v>27466.95</v>
      </c>
      <c r="AK10" s="155">
        <v>3</v>
      </c>
      <c r="AL10" s="156">
        <v>11771.55</v>
      </c>
      <c r="AM10" s="155">
        <v>0</v>
      </c>
      <c r="AN10" s="156">
        <v>0</v>
      </c>
      <c r="AO10" s="155">
        <v>0</v>
      </c>
      <c r="AP10" s="156">
        <v>0</v>
      </c>
      <c r="AQ10" s="155">
        <v>0</v>
      </c>
      <c r="AR10" s="156">
        <v>0</v>
      </c>
    </row>
    <row r="11" spans="2:44">
      <c r="B11" s="33" t="s">
        <v>336</v>
      </c>
      <c r="C11" s="33" t="s">
        <v>137</v>
      </c>
      <c r="D11" s="33" t="s">
        <v>139</v>
      </c>
      <c r="E11" s="33" t="s">
        <v>140</v>
      </c>
      <c r="F11" s="154">
        <v>1696.8</v>
      </c>
      <c r="G11" s="155">
        <v>2</v>
      </c>
      <c r="H11" s="156">
        <v>3393.6</v>
      </c>
      <c r="I11" s="155">
        <v>0</v>
      </c>
      <c r="J11" s="156">
        <v>0</v>
      </c>
      <c r="K11" s="155">
        <v>1</v>
      </c>
      <c r="L11" s="156">
        <v>1696.8</v>
      </c>
      <c r="M11" s="155">
        <v>0</v>
      </c>
      <c r="N11" s="156">
        <v>0</v>
      </c>
      <c r="O11" s="155">
        <v>5</v>
      </c>
      <c r="P11" s="156">
        <v>8484</v>
      </c>
      <c r="Q11" s="155">
        <v>13</v>
      </c>
      <c r="R11" s="156">
        <f t="shared" si="0"/>
        <v>22058.399999999998</v>
      </c>
      <c r="S11" s="155">
        <v>6</v>
      </c>
      <c r="T11" s="156">
        <v>10180.799999999999</v>
      </c>
      <c r="U11" s="155">
        <v>20</v>
      </c>
      <c r="V11" s="156">
        <f t="shared" si="1"/>
        <v>33936</v>
      </c>
      <c r="W11" s="155">
        <v>6</v>
      </c>
      <c r="X11" s="156">
        <v>10180.799999999999</v>
      </c>
      <c r="Y11" s="155">
        <v>16</v>
      </c>
      <c r="Z11" s="156">
        <v>27148.799999999999</v>
      </c>
      <c r="AA11" s="155">
        <v>9</v>
      </c>
      <c r="AB11" s="156">
        <v>15271.2</v>
      </c>
      <c r="AC11" s="155">
        <v>4</v>
      </c>
      <c r="AD11" s="156">
        <v>6787.2</v>
      </c>
      <c r="AE11" s="155">
        <v>14</v>
      </c>
      <c r="AF11" s="156">
        <v>23755.200000000001</v>
      </c>
      <c r="AG11" s="155">
        <v>5</v>
      </c>
      <c r="AH11" s="156">
        <v>8484</v>
      </c>
      <c r="AI11" s="155">
        <v>9</v>
      </c>
      <c r="AJ11" s="156">
        <v>15271.2</v>
      </c>
      <c r="AK11" s="155">
        <v>2</v>
      </c>
      <c r="AL11" s="156">
        <v>3393.6</v>
      </c>
      <c r="AM11" s="155">
        <v>5</v>
      </c>
      <c r="AN11" s="156">
        <v>8484</v>
      </c>
      <c r="AO11" s="155">
        <v>0</v>
      </c>
      <c r="AP11" s="156">
        <v>0</v>
      </c>
      <c r="AQ11" s="155">
        <v>0</v>
      </c>
      <c r="AR11" s="156">
        <v>0</v>
      </c>
    </row>
    <row r="12" spans="2:44">
      <c r="B12" s="33" t="s">
        <v>336</v>
      </c>
      <c r="C12" s="33" t="s">
        <v>137</v>
      </c>
      <c r="D12" s="33" t="s">
        <v>337</v>
      </c>
      <c r="E12" s="33" t="s">
        <v>140</v>
      </c>
      <c r="F12" s="154">
        <v>212.1</v>
      </c>
      <c r="G12" s="155">
        <v>2</v>
      </c>
      <c r="H12" s="156">
        <v>424.2</v>
      </c>
      <c r="I12" s="155">
        <v>4</v>
      </c>
      <c r="J12" s="156">
        <v>848.4</v>
      </c>
      <c r="K12" s="155">
        <v>1</v>
      </c>
      <c r="L12" s="156">
        <v>212.1</v>
      </c>
      <c r="M12" s="155">
        <v>0</v>
      </c>
      <c r="N12" s="156">
        <v>0</v>
      </c>
      <c r="O12" s="155">
        <v>0</v>
      </c>
      <c r="P12" s="156">
        <v>0</v>
      </c>
      <c r="Q12" s="155">
        <v>18</v>
      </c>
      <c r="R12" s="156">
        <f t="shared" si="0"/>
        <v>3817.7999999999997</v>
      </c>
      <c r="S12" s="155">
        <v>5</v>
      </c>
      <c r="T12" s="156">
        <v>1060.5</v>
      </c>
      <c r="U12" s="155">
        <v>1</v>
      </c>
      <c r="V12" s="156">
        <f t="shared" si="1"/>
        <v>212.1</v>
      </c>
      <c r="W12" s="155">
        <v>0</v>
      </c>
      <c r="X12" s="156">
        <v>0</v>
      </c>
      <c r="Y12" s="155">
        <v>4</v>
      </c>
      <c r="Z12" s="156">
        <v>848.4</v>
      </c>
      <c r="AA12" s="155">
        <v>0</v>
      </c>
      <c r="AB12" s="156">
        <v>0</v>
      </c>
      <c r="AC12" s="155">
        <v>0</v>
      </c>
      <c r="AD12" s="156">
        <v>0</v>
      </c>
      <c r="AE12" s="155">
        <v>1</v>
      </c>
      <c r="AF12" s="156">
        <v>212.1</v>
      </c>
      <c r="AG12" s="155">
        <v>5</v>
      </c>
      <c r="AH12" s="156">
        <v>1060.5</v>
      </c>
      <c r="AI12" s="155">
        <v>20</v>
      </c>
      <c r="AJ12" s="156">
        <v>4242</v>
      </c>
      <c r="AK12" s="155">
        <v>6</v>
      </c>
      <c r="AL12" s="156">
        <v>1272.5999999999999</v>
      </c>
      <c r="AM12" s="155">
        <v>1</v>
      </c>
      <c r="AN12" s="156">
        <v>212.1</v>
      </c>
      <c r="AO12" s="155">
        <v>10</v>
      </c>
      <c r="AP12" s="156">
        <v>2121</v>
      </c>
      <c r="AQ12" s="155">
        <v>0</v>
      </c>
      <c r="AR12" s="156">
        <v>0</v>
      </c>
    </row>
    <row r="13" spans="2:44">
      <c r="B13" s="33" t="s">
        <v>336</v>
      </c>
      <c r="C13" s="33" t="s">
        <v>137</v>
      </c>
      <c r="D13" s="33" t="s">
        <v>338</v>
      </c>
      <c r="E13" s="33" t="s">
        <v>140</v>
      </c>
      <c r="F13" s="154">
        <v>6893.25</v>
      </c>
      <c r="G13" s="155">
        <v>6</v>
      </c>
      <c r="H13" s="156">
        <v>41359.5</v>
      </c>
      <c r="I13" s="155">
        <v>10</v>
      </c>
      <c r="J13" s="156">
        <v>68932.5</v>
      </c>
      <c r="K13" s="155">
        <v>5</v>
      </c>
      <c r="L13" s="156">
        <v>34466.25</v>
      </c>
      <c r="M13" s="155">
        <v>1</v>
      </c>
      <c r="N13" s="156">
        <v>6893.25</v>
      </c>
      <c r="O13" s="155">
        <v>0</v>
      </c>
      <c r="P13" s="156">
        <v>0</v>
      </c>
      <c r="Q13" s="155">
        <v>0</v>
      </c>
      <c r="R13" s="156">
        <f t="shared" si="0"/>
        <v>0</v>
      </c>
      <c r="S13" s="155">
        <v>5</v>
      </c>
      <c r="T13" s="156">
        <v>34466.25</v>
      </c>
      <c r="U13" s="155">
        <v>5</v>
      </c>
      <c r="V13" s="156">
        <f t="shared" si="1"/>
        <v>34466.25</v>
      </c>
      <c r="W13" s="155">
        <v>0</v>
      </c>
      <c r="X13" s="156">
        <v>0</v>
      </c>
      <c r="Y13" s="155">
        <v>8</v>
      </c>
      <c r="Z13" s="156">
        <v>55146</v>
      </c>
      <c r="AA13" s="155">
        <v>6</v>
      </c>
      <c r="AB13" s="156">
        <v>41359.5</v>
      </c>
      <c r="AC13" s="155">
        <v>0</v>
      </c>
      <c r="AD13" s="156">
        <v>0</v>
      </c>
      <c r="AE13" s="155">
        <v>0</v>
      </c>
      <c r="AF13" s="156">
        <v>0</v>
      </c>
      <c r="AG13" s="155">
        <v>8</v>
      </c>
      <c r="AH13" s="156">
        <v>55146</v>
      </c>
      <c r="AI13" s="155">
        <v>9</v>
      </c>
      <c r="AJ13" s="156">
        <v>62039.25</v>
      </c>
      <c r="AK13" s="155">
        <v>0</v>
      </c>
      <c r="AL13" s="156">
        <v>0</v>
      </c>
      <c r="AM13" s="155">
        <v>0</v>
      </c>
      <c r="AN13" s="156">
        <v>0</v>
      </c>
      <c r="AO13" s="155">
        <v>4</v>
      </c>
      <c r="AP13" s="156">
        <v>27573</v>
      </c>
      <c r="AQ13" s="155">
        <v>0</v>
      </c>
      <c r="AR13" s="156">
        <v>0</v>
      </c>
    </row>
    <row r="14" spans="2:44">
      <c r="B14" s="33" t="s">
        <v>336</v>
      </c>
      <c r="C14" s="33" t="s">
        <v>282</v>
      </c>
      <c r="D14" s="33" t="s">
        <v>168</v>
      </c>
      <c r="E14" s="33" t="s">
        <v>169</v>
      </c>
      <c r="F14" s="154">
        <v>1.111</v>
      </c>
      <c r="G14" s="155">
        <v>29794</v>
      </c>
      <c r="H14" s="156">
        <v>33101.133999999998</v>
      </c>
      <c r="I14" s="155">
        <v>121315</v>
      </c>
      <c r="J14" s="156">
        <v>134780.965</v>
      </c>
      <c r="K14" s="155">
        <v>83400</v>
      </c>
      <c r="L14" s="156">
        <v>92657.4</v>
      </c>
      <c r="M14" s="155">
        <v>18089</v>
      </c>
      <c r="N14" s="156">
        <v>20096.879000000001</v>
      </c>
      <c r="O14" s="155">
        <v>11849</v>
      </c>
      <c r="P14" s="156">
        <v>13164.239</v>
      </c>
      <c r="Q14" s="155">
        <v>61547.63</v>
      </c>
      <c r="R14" s="156">
        <f t="shared" si="0"/>
        <v>68379.416929999992</v>
      </c>
      <c r="S14" s="155">
        <v>96878</v>
      </c>
      <c r="T14" s="156">
        <v>107631.458</v>
      </c>
      <c r="U14" s="155">
        <v>103735</v>
      </c>
      <c r="V14" s="156">
        <f t="shared" si="1"/>
        <v>115249.58499999999</v>
      </c>
      <c r="W14" s="155">
        <v>7642</v>
      </c>
      <c r="X14" s="156">
        <v>8490.2620000000006</v>
      </c>
      <c r="Y14" s="155">
        <v>35336.5</v>
      </c>
      <c r="Z14" s="156">
        <v>39258.851499999997</v>
      </c>
      <c r="AA14" s="155">
        <v>165500</v>
      </c>
      <c r="AB14" s="156">
        <v>183870.5</v>
      </c>
      <c r="AC14" s="155">
        <v>960</v>
      </c>
      <c r="AD14" s="156">
        <v>1066.56</v>
      </c>
      <c r="AE14" s="155">
        <v>85894</v>
      </c>
      <c r="AF14" s="156">
        <v>95428.233999999997</v>
      </c>
      <c r="AG14" s="155">
        <v>41862.239999999998</v>
      </c>
      <c r="AH14" s="156">
        <v>46508.948640000002</v>
      </c>
      <c r="AI14" s="155">
        <v>105405</v>
      </c>
      <c r="AJ14" s="156">
        <v>117104.955</v>
      </c>
      <c r="AK14" s="155">
        <v>708</v>
      </c>
      <c r="AL14" s="156">
        <v>786.58799999999997</v>
      </c>
      <c r="AM14" s="155">
        <v>4232</v>
      </c>
      <c r="AN14" s="156">
        <v>4701.7520000000004</v>
      </c>
      <c r="AO14" s="155">
        <v>67843</v>
      </c>
      <c r="AP14" s="156">
        <v>75373.573000000004</v>
      </c>
      <c r="AQ14" s="155">
        <v>0</v>
      </c>
      <c r="AR14" s="156">
        <v>0</v>
      </c>
    </row>
    <row r="15" spans="2:44">
      <c r="B15" s="33" t="s">
        <v>336</v>
      </c>
      <c r="C15" s="33" t="s">
        <v>280</v>
      </c>
      <c r="D15" s="33" t="s">
        <v>151</v>
      </c>
      <c r="E15" s="33" t="s">
        <v>152</v>
      </c>
      <c r="F15" s="154">
        <v>1.111</v>
      </c>
      <c r="G15" s="155">
        <v>29794</v>
      </c>
      <c r="H15" s="156">
        <v>33101.133999999998</v>
      </c>
      <c r="I15" s="155">
        <v>95677</v>
      </c>
      <c r="J15" s="156">
        <v>106297.147</v>
      </c>
      <c r="K15" s="155">
        <v>104262</v>
      </c>
      <c r="L15" s="156">
        <v>115835.08199999999</v>
      </c>
      <c r="M15" s="155">
        <v>26480</v>
      </c>
      <c r="N15" s="156">
        <v>29419.279999999999</v>
      </c>
      <c r="O15" s="155">
        <v>18134</v>
      </c>
      <c r="P15" s="156">
        <v>20146.874</v>
      </c>
      <c r="Q15" s="155">
        <v>32145</v>
      </c>
      <c r="R15" s="156">
        <f t="shared" si="0"/>
        <v>35713.095000000001</v>
      </c>
      <c r="S15" s="155">
        <v>106738</v>
      </c>
      <c r="T15" s="156">
        <v>118585.91800000001</v>
      </c>
      <c r="U15" s="155">
        <v>68548</v>
      </c>
      <c r="V15" s="156">
        <f t="shared" si="1"/>
        <v>76156.827999999994</v>
      </c>
      <c r="W15" s="155">
        <v>2057</v>
      </c>
      <c r="X15" s="156">
        <v>2285.3270000000002</v>
      </c>
      <c r="Y15" s="155">
        <v>199477.92</v>
      </c>
      <c r="Z15" s="156">
        <v>221619.96911999999</v>
      </c>
      <c r="AA15" s="155">
        <v>207000</v>
      </c>
      <c r="AB15" s="156">
        <v>229977</v>
      </c>
      <c r="AC15" s="155">
        <v>0</v>
      </c>
      <c r="AD15" s="156">
        <v>0</v>
      </c>
      <c r="AE15" s="155">
        <v>109192</v>
      </c>
      <c r="AF15" s="156">
        <v>121312.31200000001</v>
      </c>
      <c r="AG15" s="155">
        <v>86146.69</v>
      </c>
      <c r="AH15" s="156">
        <v>95708.972590000005</v>
      </c>
      <c r="AI15" s="155">
        <v>146184</v>
      </c>
      <c r="AJ15" s="156">
        <v>162410.424</v>
      </c>
      <c r="AK15" s="155">
        <v>18271</v>
      </c>
      <c r="AL15" s="156">
        <v>20299.080999999998</v>
      </c>
      <c r="AM15" s="155">
        <v>26635.46</v>
      </c>
      <c r="AN15" s="156">
        <v>29591.996060000001</v>
      </c>
      <c r="AO15" s="155">
        <v>75793</v>
      </c>
      <c r="AP15" s="156">
        <v>84206.023000000001</v>
      </c>
      <c r="AQ15" s="155">
        <v>0</v>
      </c>
      <c r="AR15" s="156">
        <v>0</v>
      </c>
    </row>
    <row r="16" spans="2:44">
      <c r="B16" s="33" t="s">
        <v>336</v>
      </c>
      <c r="C16" s="33" t="s">
        <v>339</v>
      </c>
      <c r="D16" s="33" t="s">
        <v>340</v>
      </c>
      <c r="E16" s="33" t="s">
        <v>341</v>
      </c>
      <c r="F16" s="154">
        <v>557.52</v>
      </c>
      <c r="G16" s="155">
        <v>3</v>
      </c>
      <c r="H16" s="156">
        <v>1672.56</v>
      </c>
      <c r="I16" s="155">
        <v>13</v>
      </c>
      <c r="J16" s="156">
        <v>7247.76</v>
      </c>
      <c r="K16" s="155">
        <v>0</v>
      </c>
      <c r="L16" s="156">
        <v>0</v>
      </c>
      <c r="M16" s="155">
        <v>3</v>
      </c>
      <c r="N16" s="156">
        <v>1672.56</v>
      </c>
      <c r="O16" s="155">
        <v>0</v>
      </c>
      <c r="P16" s="156">
        <v>0</v>
      </c>
      <c r="Q16" s="155">
        <v>4</v>
      </c>
      <c r="R16" s="156">
        <f t="shared" si="0"/>
        <v>2230.08</v>
      </c>
      <c r="S16" s="155">
        <v>4</v>
      </c>
      <c r="T16" s="156">
        <v>2230.08</v>
      </c>
      <c r="U16" s="155">
        <v>0</v>
      </c>
      <c r="V16" s="156">
        <f t="shared" si="1"/>
        <v>0</v>
      </c>
      <c r="W16" s="155">
        <v>0</v>
      </c>
      <c r="X16" s="156">
        <v>0</v>
      </c>
      <c r="Y16" s="155">
        <v>26</v>
      </c>
      <c r="Z16" s="156">
        <v>14495.52</v>
      </c>
      <c r="AA16" s="155">
        <v>7</v>
      </c>
      <c r="AB16" s="156">
        <v>3902.64</v>
      </c>
      <c r="AC16" s="155">
        <v>1</v>
      </c>
      <c r="AD16" s="156">
        <v>557.52</v>
      </c>
      <c r="AE16" s="155">
        <v>15</v>
      </c>
      <c r="AF16" s="156">
        <v>8362.7999999999993</v>
      </c>
      <c r="AG16" s="155">
        <v>2</v>
      </c>
      <c r="AH16" s="156">
        <v>1115.04</v>
      </c>
      <c r="AI16" s="155">
        <v>11</v>
      </c>
      <c r="AJ16" s="156">
        <v>6132.72</v>
      </c>
      <c r="AK16" s="155">
        <v>0</v>
      </c>
      <c r="AL16" s="156">
        <v>0</v>
      </c>
      <c r="AM16" s="155">
        <v>0</v>
      </c>
      <c r="AN16" s="156">
        <v>0</v>
      </c>
      <c r="AO16" s="155">
        <v>5</v>
      </c>
      <c r="AP16" s="156">
        <v>2787.6</v>
      </c>
      <c r="AQ16" s="155">
        <v>0</v>
      </c>
      <c r="AR16" s="156">
        <v>0</v>
      </c>
    </row>
    <row r="17" spans="2:44">
      <c r="B17" s="33" t="s">
        <v>336</v>
      </c>
      <c r="C17" s="33" t="s">
        <v>342</v>
      </c>
      <c r="D17" s="33" t="s">
        <v>343</v>
      </c>
      <c r="E17" s="33" t="s">
        <v>140</v>
      </c>
      <c r="F17" s="154">
        <v>13786.5</v>
      </c>
      <c r="G17" s="155">
        <v>0</v>
      </c>
      <c r="H17" s="156">
        <v>0</v>
      </c>
      <c r="I17" s="155">
        <v>0</v>
      </c>
      <c r="J17" s="156">
        <v>0</v>
      </c>
      <c r="K17" s="155">
        <v>0</v>
      </c>
      <c r="L17" s="156">
        <v>0</v>
      </c>
      <c r="M17" s="155">
        <v>0</v>
      </c>
      <c r="N17" s="156">
        <v>0</v>
      </c>
      <c r="O17" s="155">
        <v>0</v>
      </c>
      <c r="P17" s="156">
        <v>0</v>
      </c>
      <c r="Q17" s="155">
        <v>0</v>
      </c>
      <c r="R17" s="156">
        <f t="shared" si="0"/>
        <v>0</v>
      </c>
      <c r="S17" s="155">
        <v>0</v>
      </c>
      <c r="T17" s="156">
        <v>0</v>
      </c>
      <c r="U17" s="155">
        <v>0</v>
      </c>
      <c r="V17" s="156">
        <f t="shared" si="1"/>
        <v>0</v>
      </c>
      <c r="W17" s="155">
        <v>0</v>
      </c>
      <c r="X17" s="156">
        <v>0</v>
      </c>
      <c r="Y17" s="155">
        <v>0</v>
      </c>
      <c r="Z17" s="156">
        <v>0</v>
      </c>
      <c r="AA17" s="155">
        <v>0</v>
      </c>
      <c r="AB17" s="156">
        <v>0</v>
      </c>
      <c r="AC17" s="155">
        <v>0</v>
      </c>
      <c r="AD17" s="156">
        <v>0</v>
      </c>
      <c r="AE17" s="155">
        <v>0</v>
      </c>
      <c r="AF17" s="156">
        <v>0</v>
      </c>
      <c r="AG17" s="155">
        <v>0</v>
      </c>
      <c r="AH17" s="156">
        <v>0</v>
      </c>
      <c r="AI17" s="155">
        <v>0</v>
      </c>
      <c r="AJ17" s="156">
        <v>0</v>
      </c>
      <c r="AK17" s="155">
        <v>0</v>
      </c>
      <c r="AL17" s="156">
        <v>0</v>
      </c>
      <c r="AM17" s="155">
        <v>0</v>
      </c>
      <c r="AN17" s="156">
        <v>0</v>
      </c>
      <c r="AO17" s="155">
        <v>2</v>
      </c>
      <c r="AP17" s="156">
        <v>27573</v>
      </c>
      <c r="AQ17" s="155">
        <v>0</v>
      </c>
      <c r="AR17" s="156">
        <v>0</v>
      </c>
    </row>
    <row r="18" spans="2:44">
      <c r="B18" s="33" t="s">
        <v>336</v>
      </c>
      <c r="C18" s="33" t="s">
        <v>344</v>
      </c>
      <c r="D18" s="33" t="s">
        <v>345</v>
      </c>
      <c r="E18" s="33" t="s">
        <v>346</v>
      </c>
      <c r="F18" s="154">
        <v>11.11</v>
      </c>
      <c r="G18" s="155">
        <v>62</v>
      </c>
      <c r="H18" s="156">
        <v>688.82</v>
      </c>
      <c r="I18" s="155">
        <v>0</v>
      </c>
      <c r="J18" s="156">
        <v>0</v>
      </c>
      <c r="K18" s="155">
        <v>100</v>
      </c>
      <c r="L18" s="156">
        <v>1111</v>
      </c>
      <c r="M18" s="155">
        <v>0</v>
      </c>
      <c r="N18" s="156">
        <v>0</v>
      </c>
      <c r="O18" s="155">
        <v>0</v>
      </c>
      <c r="P18" s="156">
        <v>0</v>
      </c>
      <c r="Q18" s="155">
        <v>0</v>
      </c>
      <c r="R18" s="156">
        <f t="shared" si="0"/>
        <v>0</v>
      </c>
      <c r="S18" s="155">
        <v>0</v>
      </c>
      <c r="T18" s="156">
        <v>0</v>
      </c>
      <c r="U18" s="155">
        <v>0</v>
      </c>
      <c r="V18" s="156">
        <f t="shared" si="1"/>
        <v>0</v>
      </c>
      <c r="W18" s="155">
        <v>0</v>
      </c>
      <c r="X18" s="156">
        <v>0</v>
      </c>
      <c r="Y18" s="155">
        <v>42</v>
      </c>
      <c r="Z18" s="156">
        <v>466.62</v>
      </c>
      <c r="AA18" s="155">
        <v>0</v>
      </c>
      <c r="AB18" s="156">
        <v>0</v>
      </c>
      <c r="AC18" s="155">
        <v>0</v>
      </c>
      <c r="AD18" s="156">
        <v>0</v>
      </c>
      <c r="AE18" s="155">
        <v>0</v>
      </c>
      <c r="AF18" s="156">
        <v>0</v>
      </c>
      <c r="AG18" s="155">
        <v>0</v>
      </c>
      <c r="AH18" s="156">
        <v>0</v>
      </c>
      <c r="AI18" s="155">
        <v>0</v>
      </c>
      <c r="AJ18" s="156">
        <v>0</v>
      </c>
      <c r="AK18" s="155">
        <v>0</v>
      </c>
      <c r="AL18" s="156">
        <v>0</v>
      </c>
      <c r="AM18" s="155">
        <v>3</v>
      </c>
      <c r="AN18" s="156">
        <v>33.33</v>
      </c>
      <c r="AO18" s="155">
        <v>0</v>
      </c>
      <c r="AP18" s="156">
        <v>0</v>
      </c>
      <c r="AQ18" s="155">
        <v>0</v>
      </c>
      <c r="AR18" s="156">
        <v>0</v>
      </c>
    </row>
    <row r="19" spans="2:44">
      <c r="B19" s="33" t="s">
        <v>336</v>
      </c>
      <c r="C19" s="33" t="s">
        <v>347</v>
      </c>
      <c r="D19" s="33" t="s">
        <v>348</v>
      </c>
      <c r="E19" s="33" t="s">
        <v>349</v>
      </c>
      <c r="F19" s="154">
        <v>456.52</v>
      </c>
      <c r="G19" s="155">
        <v>32</v>
      </c>
      <c r="H19" s="156">
        <v>14608.64</v>
      </c>
      <c r="I19" s="155">
        <v>138</v>
      </c>
      <c r="J19" s="156">
        <v>62999.76</v>
      </c>
      <c r="K19" s="155">
        <v>1</v>
      </c>
      <c r="L19" s="156">
        <v>456.52</v>
      </c>
      <c r="M19" s="155">
        <v>2</v>
      </c>
      <c r="N19" s="156">
        <v>913.04</v>
      </c>
      <c r="O19" s="155">
        <v>0</v>
      </c>
      <c r="P19" s="156">
        <v>0</v>
      </c>
      <c r="Q19" s="155">
        <v>0</v>
      </c>
      <c r="R19" s="156">
        <f t="shared" si="0"/>
        <v>0</v>
      </c>
      <c r="S19" s="155">
        <v>25</v>
      </c>
      <c r="T19" s="156">
        <v>11413</v>
      </c>
      <c r="U19" s="155">
        <v>2</v>
      </c>
      <c r="V19" s="156">
        <f t="shared" si="1"/>
        <v>913.04</v>
      </c>
      <c r="W19" s="155">
        <v>3</v>
      </c>
      <c r="X19" s="156">
        <v>1369.56</v>
      </c>
      <c r="Y19" s="155">
        <v>20</v>
      </c>
      <c r="Z19" s="156">
        <v>9130.4</v>
      </c>
      <c r="AA19" s="155">
        <v>13</v>
      </c>
      <c r="AB19" s="156">
        <v>5934.76</v>
      </c>
      <c r="AC19" s="155">
        <v>18</v>
      </c>
      <c r="AD19" s="156">
        <v>8217.36</v>
      </c>
      <c r="AE19" s="155">
        <v>58</v>
      </c>
      <c r="AF19" s="156">
        <v>26478.16</v>
      </c>
      <c r="AG19" s="155">
        <v>6</v>
      </c>
      <c r="AH19" s="156">
        <v>2739.12</v>
      </c>
      <c r="AI19" s="155">
        <v>4</v>
      </c>
      <c r="AJ19" s="156">
        <v>1826.08</v>
      </c>
      <c r="AK19" s="155">
        <v>0</v>
      </c>
      <c r="AL19" s="156">
        <v>0</v>
      </c>
      <c r="AM19" s="155">
        <v>11</v>
      </c>
      <c r="AN19" s="156">
        <v>5021.72</v>
      </c>
      <c r="AO19" s="155">
        <v>13</v>
      </c>
      <c r="AP19" s="156">
        <v>5934.76</v>
      </c>
      <c r="AQ19" s="155">
        <v>0</v>
      </c>
      <c r="AR19" s="156">
        <v>0</v>
      </c>
    </row>
    <row r="20" spans="2:44">
      <c r="B20" s="33" t="s">
        <v>336</v>
      </c>
      <c r="C20" s="33" t="s">
        <v>347</v>
      </c>
      <c r="D20" s="33" t="s">
        <v>350</v>
      </c>
      <c r="E20" s="33" t="s">
        <v>349</v>
      </c>
      <c r="F20" s="154">
        <v>234.32</v>
      </c>
      <c r="G20" s="155">
        <v>2</v>
      </c>
      <c r="H20" s="156">
        <v>468.64</v>
      </c>
      <c r="I20" s="155">
        <v>2</v>
      </c>
      <c r="J20" s="156">
        <v>468.64</v>
      </c>
      <c r="K20" s="155">
        <v>3</v>
      </c>
      <c r="L20" s="156">
        <v>702.96</v>
      </c>
      <c r="M20" s="155">
        <v>0</v>
      </c>
      <c r="N20" s="156">
        <v>0</v>
      </c>
      <c r="O20" s="155">
        <v>0</v>
      </c>
      <c r="P20" s="156">
        <v>0</v>
      </c>
      <c r="Q20" s="155">
        <v>0</v>
      </c>
      <c r="R20" s="156">
        <f t="shared" si="0"/>
        <v>0</v>
      </c>
      <c r="S20" s="155">
        <v>21</v>
      </c>
      <c r="T20" s="156">
        <v>4920.72</v>
      </c>
      <c r="U20" s="155">
        <v>32</v>
      </c>
      <c r="V20" s="156">
        <f t="shared" si="1"/>
        <v>7498.24</v>
      </c>
      <c r="W20" s="155">
        <v>0</v>
      </c>
      <c r="X20" s="156">
        <v>0</v>
      </c>
      <c r="Y20" s="155">
        <v>9</v>
      </c>
      <c r="Z20" s="156">
        <v>2108.88</v>
      </c>
      <c r="AA20" s="155">
        <v>53</v>
      </c>
      <c r="AB20" s="156">
        <v>12418.96</v>
      </c>
      <c r="AC20" s="155">
        <v>7</v>
      </c>
      <c r="AD20" s="156">
        <v>1640.24</v>
      </c>
      <c r="AE20" s="155">
        <v>1</v>
      </c>
      <c r="AF20" s="156">
        <v>234.32</v>
      </c>
      <c r="AG20" s="155">
        <v>16</v>
      </c>
      <c r="AH20" s="156">
        <v>3749.12</v>
      </c>
      <c r="AI20" s="155">
        <v>27</v>
      </c>
      <c r="AJ20" s="156">
        <v>6326.64</v>
      </c>
      <c r="AK20" s="155">
        <v>1</v>
      </c>
      <c r="AL20" s="156">
        <v>234.32</v>
      </c>
      <c r="AM20" s="155">
        <v>15</v>
      </c>
      <c r="AN20" s="156">
        <v>3514.8</v>
      </c>
      <c r="AO20" s="155">
        <v>2</v>
      </c>
      <c r="AP20" s="156">
        <v>468.64</v>
      </c>
      <c r="AQ20" s="155">
        <v>0</v>
      </c>
      <c r="AR20" s="156">
        <v>0</v>
      </c>
    </row>
    <row r="21" spans="2:44">
      <c r="B21" s="33" t="s">
        <v>336</v>
      </c>
      <c r="C21" s="33" t="s">
        <v>347</v>
      </c>
      <c r="D21" s="33" t="s">
        <v>351</v>
      </c>
      <c r="E21" s="33" t="s">
        <v>349</v>
      </c>
      <c r="F21" s="154">
        <v>679.73</v>
      </c>
      <c r="G21" s="155">
        <v>0</v>
      </c>
      <c r="H21" s="156">
        <v>0</v>
      </c>
      <c r="I21" s="155">
        <v>0</v>
      </c>
      <c r="J21" s="156">
        <v>0</v>
      </c>
      <c r="K21" s="155">
        <v>5</v>
      </c>
      <c r="L21" s="156">
        <v>3398.65</v>
      </c>
      <c r="M21" s="155">
        <v>0</v>
      </c>
      <c r="N21" s="156">
        <v>0</v>
      </c>
      <c r="O21" s="155">
        <v>0</v>
      </c>
      <c r="P21" s="156">
        <v>0</v>
      </c>
      <c r="Q21" s="155">
        <v>0</v>
      </c>
      <c r="R21" s="156">
        <f t="shared" si="0"/>
        <v>0</v>
      </c>
      <c r="S21" s="155">
        <v>0</v>
      </c>
      <c r="T21" s="156">
        <v>0</v>
      </c>
      <c r="U21" s="155">
        <v>0</v>
      </c>
      <c r="V21" s="156">
        <f t="shared" si="1"/>
        <v>0</v>
      </c>
      <c r="W21" s="155">
        <v>0</v>
      </c>
      <c r="X21" s="156">
        <v>0</v>
      </c>
      <c r="Y21" s="155">
        <v>7</v>
      </c>
      <c r="Z21" s="156">
        <v>4758.1099999999997</v>
      </c>
      <c r="AA21" s="155">
        <v>4</v>
      </c>
      <c r="AB21" s="156">
        <v>2718.92</v>
      </c>
      <c r="AC21" s="155">
        <v>0</v>
      </c>
      <c r="AD21" s="156">
        <v>0</v>
      </c>
      <c r="AE21" s="155">
        <v>0</v>
      </c>
      <c r="AF21" s="156">
        <v>0</v>
      </c>
      <c r="AG21" s="155">
        <v>2</v>
      </c>
      <c r="AH21" s="156">
        <v>1359.46</v>
      </c>
      <c r="AI21" s="155">
        <v>0</v>
      </c>
      <c r="AJ21" s="156">
        <v>0</v>
      </c>
      <c r="AK21" s="155">
        <v>0</v>
      </c>
      <c r="AL21" s="156">
        <v>0</v>
      </c>
      <c r="AM21" s="155">
        <v>0</v>
      </c>
      <c r="AN21" s="156">
        <v>0</v>
      </c>
      <c r="AO21" s="155">
        <v>5</v>
      </c>
      <c r="AP21" s="156">
        <v>3398.65</v>
      </c>
      <c r="AQ21" s="155">
        <v>0</v>
      </c>
      <c r="AR21" s="156">
        <v>0</v>
      </c>
    </row>
    <row r="22" spans="2:44">
      <c r="B22" s="33" t="s">
        <v>336</v>
      </c>
      <c r="C22" s="33" t="s">
        <v>352</v>
      </c>
      <c r="D22" s="33" t="s">
        <v>353</v>
      </c>
      <c r="E22" s="33" t="s">
        <v>354</v>
      </c>
      <c r="F22" s="154">
        <v>3923.85</v>
      </c>
      <c r="G22" s="155">
        <v>2</v>
      </c>
      <c r="H22" s="156">
        <v>7847.7</v>
      </c>
      <c r="I22" s="155">
        <v>0</v>
      </c>
      <c r="J22" s="156">
        <v>0</v>
      </c>
      <c r="K22" s="155">
        <v>0</v>
      </c>
      <c r="L22" s="156">
        <v>0</v>
      </c>
      <c r="M22" s="155">
        <v>2</v>
      </c>
      <c r="N22" s="156">
        <v>7847.7</v>
      </c>
      <c r="O22" s="155">
        <v>0</v>
      </c>
      <c r="P22" s="156">
        <v>0</v>
      </c>
      <c r="Q22" s="155">
        <v>0</v>
      </c>
      <c r="R22" s="156">
        <f t="shared" si="0"/>
        <v>0</v>
      </c>
      <c r="S22" s="155">
        <v>1</v>
      </c>
      <c r="T22" s="156">
        <v>3923.85</v>
      </c>
      <c r="U22" s="155">
        <v>0</v>
      </c>
      <c r="V22" s="156">
        <f t="shared" si="1"/>
        <v>0</v>
      </c>
      <c r="W22" s="155">
        <v>0</v>
      </c>
      <c r="X22" s="156">
        <v>0</v>
      </c>
      <c r="Y22" s="155">
        <v>5</v>
      </c>
      <c r="Z22" s="156">
        <v>19619.25</v>
      </c>
      <c r="AA22" s="155">
        <v>4</v>
      </c>
      <c r="AB22" s="156">
        <v>15695.4</v>
      </c>
      <c r="AC22" s="155">
        <v>0</v>
      </c>
      <c r="AD22" s="156">
        <v>0</v>
      </c>
      <c r="AE22" s="155">
        <v>0</v>
      </c>
      <c r="AF22" s="156">
        <v>0</v>
      </c>
      <c r="AG22" s="155">
        <v>2</v>
      </c>
      <c r="AH22" s="156">
        <v>7847.7</v>
      </c>
      <c r="AI22" s="155">
        <v>0</v>
      </c>
      <c r="AJ22" s="156">
        <v>0</v>
      </c>
      <c r="AK22" s="155">
        <v>0</v>
      </c>
      <c r="AL22" s="156">
        <v>0</v>
      </c>
      <c r="AM22" s="155">
        <v>0</v>
      </c>
      <c r="AN22" s="156">
        <v>0</v>
      </c>
      <c r="AO22" s="155">
        <v>4</v>
      </c>
      <c r="AP22" s="156">
        <v>15695.4</v>
      </c>
      <c r="AQ22" s="155">
        <v>0</v>
      </c>
      <c r="AR22" s="156">
        <v>0</v>
      </c>
    </row>
    <row r="23" spans="2:44">
      <c r="B23" s="33" t="s">
        <v>336</v>
      </c>
      <c r="C23" s="33" t="s">
        <v>355</v>
      </c>
      <c r="D23" s="33" t="s">
        <v>356</v>
      </c>
      <c r="E23" s="33" t="s">
        <v>357</v>
      </c>
      <c r="F23" s="154">
        <v>556.51</v>
      </c>
      <c r="G23" s="155">
        <v>0</v>
      </c>
      <c r="H23" s="156">
        <v>0</v>
      </c>
      <c r="I23" s="155">
        <v>0</v>
      </c>
      <c r="J23" s="156">
        <v>0</v>
      </c>
      <c r="K23" s="155">
        <v>0</v>
      </c>
      <c r="L23" s="156">
        <v>0</v>
      </c>
      <c r="M23" s="155">
        <v>3</v>
      </c>
      <c r="N23" s="156">
        <v>1669.53</v>
      </c>
      <c r="O23" s="155">
        <v>0</v>
      </c>
      <c r="P23" s="156">
        <v>0</v>
      </c>
      <c r="Q23" s="155">
        <v>0</v>
      </c>
      <c r="R23" s="156">
        <f t="shared" si="0"/>
        <v>0</v>
      </c>
      <c r="S23" s="155">
        <v>2</v>
      </c>
      <c r="T23" s="156">
        <v>1113.02</v>
      </c>
      <c r="U23" s="155">
        <v>0</v>
      </c>
      <c r="V23" s="156">
        <f t="shared" si="1"/>
        <v>0</v>
      </c>
      <c r="W23" s="155">
        <v>0</v>
      </c>
      <c r="X23" s="156">
        <v>0</v>
      </c>
      <c r="Y23" s="155">
        <v>0</v>
      </c>
      <c r="Z23" s="156">
        <v>0</v>
      </c>
      <c r="AA23" s="155">
        <v>3</v>
      </c>
      <c r="AB23" s="156">
        <v>1669.53</v>
      </c>
      <c r="AC23" s="155">
        <v>0</v>
      </c>
      <c r="AD23" s="156">
        <v>0</v>
      </c>
      <c r="AE23" s="155">
        <v>0</v>
      </c>
      <c r="AF23" s="156">
        <v>0</v>
      </c>
      <c r="AG23" s="155">
        <v>27</v>
      </c>
      <c r="AH23" s="156">
        <v>15025.77</v>
      </c>
      <c r="AI23" s="155">
        <v>37</v>
      </c>
      <c r="AJ23" s="156">
        <v>20590.87</v>
      </c>
      <c r="AK23" s="155">
        <v>0</v>
      </c>
      <c r="AL23" s="156">
        <v>0</v>
      </c>
      <c r="AM23" s="155">
        <v>0</v>
      </c>
      <c r="AN23" s="156">
        <v>0</v>
      </c>
      <c r="AO23" s="155">
        <v>0</v>
      </c>
      <c r="AP23" s="156">
        <v>0</v>
      </c>
      <c r="AQ23" s="155">
        <v>0</v>
      </c>
      <c r="AR23" s="156">
        <v>0</v>
      </c>
    </row>
    <row r="24" spans="2:44">
      <c r="B24" s="33" t="s">
        <v>336</v>
      </c>
      <c r="C24" s="33" t="s">
        <v>358</v>
      </c>
      <c r="D24" s="33" t="s">
        <v>359</v>
      </c>
      <c r="E24" s="33" t="s">
        <v>360</v>
      </c>
      <c r="F24" s="154">
        <v>334.31</v>
      </c>
      <c r="G24" s="155">
        <v>0</v>
      </c>
      <c r="H24" s="156">
        <v>0</v>
      </c>
      <c r="I24" s="155">
        <v>0</v>
      </c>
      <c r="J24" s="156">
        <v>0</v>
      </c>
      <c r="K24" s="155">
        <v>0</v>
      </c>
      <c r="L24" s="156">
        <v>0</v>
      </c>
      <c r="M24" s="155">
        <v>0</v>
      </c>
      <c r="N24" s="156">
        <v>0</v>
      </c>
      <c r="O24" s="155">
        <v>0</v>
      </c>
      <c r="P24" s="156">
        <v>0</v>
      </c>
      <c r="Q24" s="155">
        <v>0</v>
      </c>
      <c r="R24" s="156">
        <f t="shared" si="0"/>
        <v>0</v>
      </c>
      <c r="S24" s="155">
        <v>0</v>
      </c>
      <c r="T24" s="156">
        <v>0</v>
      </c>
      <c r="U24" s="155">
        <v>0</v>
      </c>
      <c r="V24" s="156">
        <f t="shared" si="1"/>
        <v>0</v>
      </c>
      <c r="W24" s="155">
        <v>0</v>
      </c>
      <c r="X24" s="156">
        <v>0</v>
      </c>
      <c r="Y24" s="155">
        <v>0</v>
      </c>
      <c r="Z24" s="156">
        <v>0</v>
      </c>
      <c r="AA24" s="155">
        <v>0</v>
      </c>
      <c r="AB24" s="156">
        <v>0</v>
      </c>
      <c r="AC24" s="155">
        <v>0</v>
      </c>
      <c r="AD24" s="156">
        <v>0</v>
      </c>
      <c r="AE24" s="155">
        <v>0</v>
      </c>
      <c r="AF24" s="156">
        <v>0</v>
      </c>
      <c r="AG24" s="155">
        <v>0</v>
      </c>
      <c r="AH24" s="156">
        <v>0</v>
      </c>
      <c r="AI24" s="155">
        <v>4</v>
      </c>
      <c r="AJ24" s="156">
        <v>1337.24</v>
      </c>
      <c r="AK24" s="155">
        <v>0</v>
      </c>
      <c r="AL24" s="156">
        <v>0</v>
      </c>
      <c r="AM24" s="155">
        <v>0</v>
      </c>
      <c r="AN24" s="156">
        <v>0</v>
      </c>
      <c r="AO24" s="155">
        <v>0</v>
      </c>
      <c r="AP24" s="156">
        <v>0</v>
      </c>
      <c r="AQ24" s="155">
        <v>0</v>
      </c>
      <c r="AR24" s="156">
        <v>0</v>
      </c>
    </row>
    <row r="25" spans="2:44">
      <c r="B25" s="33" t="s">
        <v>336</v>
      </c>
      <c r="C25" s="33" t="s">
        <v>361</v>
      </c>
      <c r="D25" s="33" t="s">
        <v>362</v>
      </c>
      <c r="E25" s="33" t="s">
        <v>363</v>
      </c>
      <c r="F25" s="154">
        <v>1.0605</v>
      </c>
      <c r="G25" s="155">
        <v>20400</v>
      </c>
      <c r="H25" s="156">
        <v>21634.2</v>
      </c>
      <c r="I25" s="155">
        <v>0</v>
      </c>
      <c r="J25" s="156">
        <v>0</v>
      </c>
      <c r="K25" s="155">
        <v>8760</v>
      </c>
      <c r="L25" s="156">
        <v>9289.98</v>
      </c>
      <c r="M25" s="155">
        <v>0</v>
      </c>
      <c r="N25" s="156">
        <v>0</v>
      </c>
      <c r="O25" s="155">
        <v>0</v>
      </c>
      <c r="P25" s="156">
        <v>0</v>
      </c>
      <c r="Q25" s="155">
        <v>33400</v>
      </c>
      <c r="R25" s="156">
        <f t="shared" si="0"/>
        <v>35420.699999999997</v>
      </c>
      <c r="S25" s="155">
        <v>17520</v>
      </c>
      <c r="T25" s="156">
        <v>18579.96</v>
      </c>
      <c r="U25" s="155">
        <v>0</v>
      </c>
      <c r="V25" s="156">
        <f t="shared" si="1"/>
        <v>0</v>
      </c>
      <c r="W25" s="155">
        <v>0</v>
      </c>
      <c r="X25" s="156">
        <v>0</v>
      </c>
      <c r="Y25" s="155">
        <v>12003.8</v>
      </c>
      <c r="Z25" s="156">
        <v>12730.0299</v>
      </c>
      <c r="AA25" s="155">
        <v>26360</v>
      </c>
      <c r="AB25" s="156">
        <v>27954.78</v>
      </c>
      <c r="AC25" s="155">
        <v>0</v>
      </c>
      <c r="AD25" s="156">
        <v>0</v>
      </c>
      <c r="AE25" s="155">
        <v>0</v>
      </c>
      <c r="AF25" s="156">
        <v>0</v>
      </c>
      <c r="AG25" s="155">
        <v>1</v>
      </c>
      <c r="AH25" s="156">
        <v>1.0605</v>
      </c>
      <c r="AI25" s="155">
        <v>35040</v>
      </c>
      <c r="AJ25" s="156">
        <v>37159.919999999998</v>
      </c>
      <c r="AK25" s="155">
        <v>0</v>
      </c>
      <c r="AL25" s="156">
        <v>0</v>
      </c>
      <c r="AM25" s="155">
        <v>0</v>
      </c>
      <c r="AN25" s="156">
        <v>0</v>
      </c>
      <c r="AO25" s="155">
        <v>0</v>
      </c>
      <c r="AP25" s="156">
        <v>0</v>
      </c>
      <c r="AQ25" s="155">
        <v>0</v>
      </c>
      <c r="AR25" s="156">
        <v>0</v>
      </c>
    </row>
    <row r="26" spans="2:44">
      <c r="B26" s="33" t="s">
        <v>336</v>
      </c>
      <c r="C26" s="33" t="s">
        <v>364</v>
      </c>
      <c r="D26" s="33" t="s">
        <v>365</v>
      </c>
      <c r="E26" s="33" t="s">
        <v>363</v>
      </c>
      <c r="F26" s="154">
        <v>8.484</v>
      </c>
      <c r="G26" s="155">
        <v>6800</v>
      </c>
      <c r="H26" s="156">
        <v>57691.199999999997</v>
      </c>
      <c r="I26" s="155">
        <v>0</v>
      </c>
      <c r="J26" s="156">
        <v>0</v>
      </c>
      <c r="K26" s="155">
        <v>0</v>
      </c>
      <c r="L26" s="156">
        <v>0</v>
      </c>
      <c r="M26" s="155">
        <v>0</v>
      </c>
      <c r="N26" s="156">
        <v>0</v>
      </c>
      <c r="O26" s="155">
        <v>0</v>
      </c>
      <c r="P26" s="156">
        <v>0</v>
      </c>
      <c r="Q26" s="155">
        <v>0</v>
      </c>
      <c r="R26" s="156">
        <f t="shared" si="0"/>
        <v>0</v>
      </c>
      <c r="S26" s="155">
        <v>0</v>
      </c>
      <c r="T26" s="156">
        <v>0</v>
      </c>
      <c r="U26" s="155">
        <v>0</v>
      </c>
      <c r="V26" s="156">
        <f t="shared" si="1"/>
        <v>0</v>
      </c>
      <c r="W26" s="155">
        <v>0</v>
      </c>
      <c r="X26" s="156">
        <v>0</v>
      </c>
      <c r="Y26" s="155">
        <v>0</v>
      </c>
      <c r="Z26" s="156">
        <v>0</v>
      </c>
      <c r="AA26" s="155">
        <v>0</v>
      </c>
      <c r="AB26" s="156">
        <v>0</v>
      </c>
      <c r="AC26" s="155">
        <v>0</v>
      </c>
      <c r="AD26" s="156">
        <v>0</v>
      </c>
      <c r="AE26" s="155">
        <v>0</v>
      </c>
      <c r="AF26" s="156">
        <v>0</v>
      </c>
      <c r="AG26" s="155">
        <v>0</v>
      </c>
      <c r="AH26" s="156">
        <v>0</v>
      </c>
      <c r="AI26" s="155">
        <v>10000</v>
      </c>
      <c r="AJ26" s="156">
        <v>84840</v>
      </c>
      <c r="AK26" s="155">
        <v>0</v>
      </c>
      <c r="AL26" s="156">
        <v>0</v>
      </c>
      <c r="AM26" s="155">
        <v>0</v>
      </c>
      <c r="AN26" s="156">
        <v>0</v>
      </c>
      <c r="AO26" s="155">
        <v>0</v>
      </c>
      <c r="AP26" s="156">
        <v>0</v>
      </c>
      <c r="AQ26" s="155">
        <v>0</v>
      </c>
      <c r="AR26" s="156">
        <v>0</v>
      </c>
    </row>
    <row r="27" spans="2:44">
      <c r="B27" s="33" t="s">
        <v>336</v>
      </c>
      <c r="C27" s="33" t="s">
        <v>364</v>
      </c>
      <c r="D27" s="33" t="s">
        <v>366</v>
      </c>
      <c r="E27" s="33" t="s">
        <v>363</v>
      </c>
      <c r="F27" s="154">
        <v>4.242</v>
      </c>
      <c r="G27" s="155">
        <v>0</v>
      </c>
      <c r="H27" s="156">
        <v>0</v>
      </c>
      <c r="I27" s="155">
        <v>0</v>
      </c>
      <c r="J27" s="156">
        <v>0</v>
      </c>
      <c r="K27" s="155">
        <v>0</v>
      </c>
      <c r="L27" s="156">
        <v>0</v>
      </c>
      <c r="M27" s="155">
        <v>0</v>
      </c>
      <c r="N27" s="156">
        <v>0</v>
      </c>
      <c r="O27" s="155">
        <v>0</v>
      </c>
      <c r="P27" s="156">
        <v>0</v>
      </c>
      <c r="Q27" s="155">
        <v>0</v>
      </c>
      <c r="R27" s="156">
        <f t="shared" si="0"/>
        <v>0</v>
      </c>
      <c r="S27" s="155">
        <v>0</v>
      </c>
      <c r="T27" s="156">
        <v>0</v>
      </c>
      <c r="U27" s="155">
        <v>0</v>
      </c>
      <c r="V27" s="156">
        <f t="shared" si="1"/>
        <v>0</v>
      </c>
      <c r="W27" s="155">
        <v>0</v>
      </c>
      <c r="X27" s="156">
        <v>0</v>
      </c>
      <c r="Y27" s="155">
        <v>7138.8</v>
      </c>
      <c r="Z27" s="156">
        <v>30282.7896</v>
      </c>
      <c r="AA27" s="155">
        <v>0</v>
      </c>
      <c r="AB27" s="156">
        <v>0</v>
      </c>
      <c r="AC27" s="155">
        <v>0</v>
      </c>
      <c r="AD27" s="156">
        <v>0</v>
      </c>
      <c r="AE27" s="155">
        <v>0</v>
      </c>
      <c r="AF27" s="156">
        <v>0</v>
      </c>
      <c r="AG27" s="155">
        <v>1</v>
      </c>
      <c r="AH27" s="156">
        <v>4.242</v>
      </c>
      <c r="AI27" s="155">
        <v>0</v>
      </c>
      <c r="AJ27" s="156">
        <v>0</v>
      </c>
      <c r="AK27" s="155">
        <v>0</v>
      </c>
      <c r="AL27" s="156">
        <v>0</v>
      </c>
      <c r="AM27" s="155">
        <v>0</v>
      </c>
      <c r="AN27" s="156">
        <v>0</v>
      </c>
      <c r="AO27" s="155">
        <v>0</v>
      </c>
      <c r="AP27" s="156">
        <v>0</v>
      </c>
      <c r="AQ27" s="155">
        <v>0</v>
      </c>
      <c r="AR27" s="156">
        <v>0</v>
      </c>
    </row>
    <row r="28" spans="2:44">
      <c r="B28" s="33" t="s">
        <v>336</v>
      </c>
      <c r="C28" s="33" t="s">
        <v>364</v>
      </c>
      <c r="D28" s="33" t="s">
        <v>367</v>
      </c>
      <c r="E28" s="33" t="s">
        <v>363</v>
      </c>
      <c r="F28" s="154">
        <v>21.21</v>
      </c>
      <c r="G28" s="155">
        <v>13600</v>
      </c>
      <c r="H28" s="156">
        <v>288456</v>
      </c>
      <c r="I28" s="155">
        <v>1000</v>
      </c>
      <c r="J28" s="156">
        <v>21210</v>
      </c>
      <c r="K28" s="155">
        <v>8760</v>
      </c>
      <c r="L28" s="156">
        <v>185799.6</v>
      </c>
      <c r="M28" s="155">
        <v>0</v>
      </c>
      <c r="N28" s="156">
        <v>0</v>
      </c>
      <c r="O28" s="155">
        <v>0</v>
      </c>
      <c r="P28" s="156">
        <v>0</v>
      </c>
      <c r="Q28" s="155">
        <v>0</v>
      </c>
      <c r="R28" s="156">
        <f t="shared" si="0"/>
        <v>0</v>
      </c>
      <c r="S28" s="155">
        <v>3000</v>
      </c>
      <c r="T28" s="156">
        <v>63630</v>
      </c>
      <c r="U28" s="155">
        <v>0</v>
      </c>
      <c r="V28" s="156">
        <f t="shared" si="1"/>
        <v>0</v>
      </c>
      <c r="W28" s="155">
        <v>0</v>
      </c>
      <c r="X28" s="156">
        <v>0</v>
      </c>
      <c r="Y28" s="155">
        <v>4865</v>
      </c>
      <c r="Z28" s="156">
        <v>103186.65</v>
      </c>
      <c r="AA28" s="155">
        <v>720</v>
      </c>
      <c r="AB28" s="156">
        <v>15271.2</v>
      </c>
      <c r="AC28" s="155">
        <v>0</v>
      </c>
      <c r="AD28" s="156">
        <v>0</v>
      </c>
      <c r="AE28" s="155">
        <v>0</v>
      </c>
      <c r="AF28" s="156">
        <v>0</v>
      </c>
      <c r="AG28" s="155">
        <v>0</v>
      </c>
      <c r="AH28" s="156">
        <v>0</v>
      </c>
      <c r="AI28" s="155">
        <v>10000</v>
      </c>
      <c r="AJ28" s="156">
        <v>212100</v>
      </c>
      <c r="AK28" s="155">
        <v>0</v>
      </c>
      <c r="AL28" s="156">
        <v>0</v>
      </c>
      <c r="AM28" s="155">
        <v>0</v>
      </c>
      <c r="AN28" s="156">
        <v>0</v>
      </c>
      <c r="AO28" s="155">
        <v>0</v>
      </c>
      <c r="AP28" s="156">
        <v>0</v>
      </c>
      <c r="AQ28" s="155">
        <v>0</v>
      </c>
      <c r="AR28" s="156">
        <v>0</v>
      </c>
    </row>
    <row r="29" spans="2:44">
      <c r="B29" s="33" t="s">
        <v>336</v>
      </c>
      <c r="C29" s="33" t="s">
        <v>146</v>
      </c>
      <c r="D29" s="33" t="s">
        <v>368</v>
      </c>
      <c r="E29" s="33" t="s">
        <v>148</v>
      </c>
      <c r="F29" s="154">
        <v>2333.1</v>
      </c>
      <c r="G29" s="155">
        <v>4</v>
      </c>
      <c r="H29" s="156">
        <v>9332.4</v>
      </c>
      <c r="I29" s="155">
        <v>0</v>
      </c>
      <c r="J29" s="156">
        <v>0</v>
      </c>
      <c r="K29" s="155">
        <v>5</v>
      </c>
      <c r="L29" s="156">
        <v>11665.5</v>
      </c>
      <c r="M29" s="155">
        <v>4</v>
      </c>
      <c r="N29" s="156">
        <v>9332.4</v>
      </c>
      <c r="O29" s="155">
        <v>0</v>
      </c>
      <c r="P29" s="156">
        <v>0</v>
      </c>
      <c r="Q29" s="155">
        <v>27</v>
      </c>
      <c r="R29" s="156">
        <f t="shared" si="0"/>
        <v>62993.7</v>
      </c>
      <c r="S29" s="155">
        <v>14</v>
      </c>
      <c r="T29" s="156">
        <v>32663.4</v>
      </c>
      <c r="U29" s="155">
        <v>14</v>
      </c>
      <c r="V29" s="156">
        <f t="shared" si="1"/>
        <v>32663.399999999998</v>
      </c>
      <c r="W29" s="155">
        <v>4</v>
      </c>
      <c r="X29" s="156">
        <v>9332.4</v>
      </c>
      <c r="Y29" s="155">
        <v>4</v>
      </c>
      <c r="Z29" s="156">
        <v>9332.4</v>
      </c>
      <c r="AA29" s="155">
        <v>3</v>
      </c>
      <c r="AB29" s="156">
        <v>6999.3</v>
      </c>
      <c r="AC29" s="155">
        <v>1</v>
      </c>
      <c r="AD29" s="156">
        <v>2333.1</v>
      </c>
      <c r="AE29" s="155">
        <v>45</v>
      </c>
      <c r="AF29" s="156">
        <v>104989.5</v>
      </c>
      <c r="AG29" s="155">
        <v>10</v>
      </c>
      <c r="AH29" s="156">
        <v>23331</v>
      </c>
      <c r="AI29" s="155">
        <v>8</v>
      </c>
      <c r="AJ29" s="156">
        <v>18664.8</v>
      </c>
      <c r="AK29" s="155">
        <v>1</v>
      </c>
      <c r="AL29" s="156">
        <v>2333.1</v>
      </c>
      <c r="AM29" s="155">
        <v>0</v>
      </c>
      <c r="AN29" s="156">
        <v>0</v>
      </c>
      <c r="AO29" s="155">
        <v>0</v>
      </c>
      <c r="AP29" s="156">
        <v>0</v>
      </c>
      <c r="AQ29" s="155">
        <v>0</v>
      </c>
      <c r="AR29" s="156">
        <v>0</v>
      </c>
    </row>
    <row r="30" spans="2:44">
      <c r="B30" s="33" t="s">
        <v>336</v>
      </c>
      <c r="C30" s="33" t="s">
        <v>146</v>
      </c>
      <c r="D30" s="33" t="s">
        <v>369</v>
      </c>
      <c r="E30" s="33" t="s">
        <v>148</v>
      </c>
      <c r="F30" s="154">
        <v>3711.75</v>
      </c>
      <c r="G30" s="155">
        <v>7</v>
      </c>
      <c r="H30" s="156">
        <v>25982.25</v>
      </c>
      <c r="I30" s="155">
        <v>0</v>
      </c>
      <c r="J30" s="156">
        <v>0</v>
      </c>
      <c r="K30" s="155">
        <v>4</v>
      </c>
      <c r="L30" s="156">
        <v>14847</v>
      </c>
      <c r="M30" s="155">
        <v>5</v>
      </c>
      <c r="N30" s="156">
        <v>18558.75</v>
      </c>
      <c r="O30" s="155">
        <v>0</v>
      </c>
      <c r="P30" s="156">
        <v>0</v>
      </c>
      <c r="Q30" s="155">
        <v>0</v>
      </c>
      <c r="R30" s="156">
        <f t="shared" si="0"/>
        <v>0</v>
      </c>
      <c r="S30" s="155">
        <v>4</v>
      </c>
      <c r="T30" s="156">
        <v>14847</v>
      </c>
      <c r="U30" s="155">
        <v>3</v>
      </c>
      <c r="V30" s="156">
        <f t="shared" si="1"/>
        <v>11135.25</v>
      </c>
      <c r="W30" s="155">
        <v>0</v>
      </c>
      <c r="X30" s="156">
        <v>0</v>
      </c>
      <c r="Y30" s="155">
        <v>2</v>
      </c>
      <c r="Z30" s="156">
        <v>7423.5</v>
      </c>
      <c r="AA30" s="155">
        <v>5</v>
      </c>
      <c r="AB30" s="156">
        <v>18558.75</v>
      </c>
      <c r="AC30" s="155">
        <v>0</v>
      </c>
      <c r="AD30" s="156">
        <v>0</v>
      </c>
      <c r="AE30" s="155">
        <v>8</v>
      </c>
      <c r="AF30" s="156">
        <v>29694</v>
      </c>
      <c r="AG30" s="155">
        <v>2</v>
      </c>
      <c r="AH30" s="156">
        <v>7423.5</v>
      </c>
      <c r="AI30" s="155">
        <v>3</v>
      </c>
      <c r="AJ30" s="156">
        <v>11135.25</v>
      </c>
      <c r="AK30" s="155">
        <v>0</v>
      </c>
      <c r="AL30" s="156">
        <v>0</v>
      </c>
      <c r="AM30" s="155">
        <v>0</v>
      </c>
      <c r="AN30" s="156">
        <v>0</v>
      </c>
      <c r="AO30" s="155">
        <v>4</v>
      </c>
      <c r="AP30" s="156">
        <v>14847</v>
      </c>
      <c r="AQ30" s="155">
        <v>0</v>
      </c>
      <c r="AR30" s="156">
        <v>0</v>
      </c>
    </row>
    <row r="31" spans="2:44">
      <c r="B31" s="33" t="s">
        <v>336</v>
      </c>
      <c r="C31" s="33" t="s">
        <v>146</v>
      </c>
      <c r="D31" s="33" t="s">
        <v>279</v>
      </c>
      <c r="E31" s="33" t="s">
        <v>148</v>
      </c>
      <c r="F31" s="154">
        <v>1272.5999999999999</v>
      </c>
      <c r="G31" s="155">
        <v>1</v>
      </c>
      <c r="H31" s="156">
        <v>1272.5999999999999</v>
      </c>
      <c r="I31" s="155">
        <v>154</v>
      </c>
      <c r="J31" s="156">
        <v>195980.4</v>
      </c>
      <c r="K31" s="155">
        <v>19</v>
      </c>
      <c r="L31" s="156">
        <v>24179.4</v>
      </c>
      <c r="M31" s="155">
        <v>0</v>
      </c>
      <c r="N31" s="156">
        <v>0</v>
      </c>
      <c r="O31" s="155">
        <v>5</v>
      </c>
      <c r="P31" s="156">
        <v>6363</v>
      </c>
      <c r="Q31" s="155">
        <v>2</v>
      </c>
      <c r="R31" s="156">
        <f t="shared" si="0"/>
        <v>2545.1999999999998</v>
      </c>
      <c r="S31" s="155">
        <v>6</v>
      </c>
      <c r="T31" s="156">
        <v>7635.6</v>
      </c>
      <c r="U31" s="155">
        <v>0</v>
      </c>
      <c r="V31" s="156">
        <f t="shared" si="1"/>
        <v>0</v>
      </c>
      <c r="W31" s="155">
        <v>0</v>
      </c>
      <c r="X31" s="156">
        <v>0</v>
      </c>
      <c r="Y31" s="155">
        <v>20</v>
      </c>
      <c r="Z31" s="156">
        <v>25452</v>
      </c>
      <c r="AA31" s="155">
        <v>7</v>
      </c>
      <c r="AB31" s="156">
        <v>8908.2000000000007</v>
      </c>
      <c r="AC31" s="155">
        <v>1</v>
      </c>
      <c r="AD31" s="156">
        <v>1272.5999999999999</v>
      </c>
      <c r="AE31" s="155">
        <v>2</v>
      </c>
      <c r="AF31" s="156">
        <v>2545.1999999999998</v>
      </c>
      <c r="AG31" s="155">
        <v>17</v>
      </c>
      <c r="AH31" s="156">
        <v>21634.2</v>
      </c>
      <c r="AI31" s="155">
        <v>12</v>
      </c>
      <c r="AJ31" s="156">
        <v>15271.2</v>
      </c>
      <c r="AK31" s="155">
        <v>10</v>
      </c>
      <c r="AL31" s="156">
        <v>12726</v>
      </c>
      <c r="AM31" s="155">
        <v>1</v>
      </c>
      <c r="AN31" s="156">
        <v>1272.5999999999999</v>
      </c>
      <c r="AO31" s="155">
        <v>0</v>
      </c>
      <c r="AP31" s="156">
        <v>0</v>
      </c>
      <c r="AQ31" s="155">
        <v>0</v>
      </c>
      <c r="AR31" s="156">
        <v>0</v>
      </c>
    </row>
    <row r="32" spans="2:44">
      <c r="B32" s="33" t="s">
        <v>336</v>
      </c>
      <c r="C32" s="33" t="s">
        <v>146</v>
      </c>
      <c r="D32" s="33" t="s">
        <v>370</v>
      </c>
      <c r="E32" s="33" t="s">
        <v>148</v>
      </c>
      <c r="F32" s="154">
        <v>5832.75</v>
      </c>
      <c r="G32" s="155">
        <v>3</v>
      </c>
      <c r="H32" s="156">
        <v>17498.25</v>
      </c>
      <c r="I32" s="155">
        <v>0</v>
      </c>
      <c r="J32" s="156">
        <v>0</v>
      </c>
      <c r="K32" s="155">
        <v>3</v>
      </c>
      <c r="L32" s="156">
        <v>17498.25</v>
      </c>
      <c r="M32" s="155">
        <v>0</v>
      </c>
      <c r="N32" s="156">
        <v>0</v>
      </c>
      <c r="O32" s="155">
        <v>0</v>
      </c>
      <c r="P32" s="156">
        <v>0</v>
      </c>
      <c r="Q32" s="155">
        <v>0</v>
      </c>
      <c r="R32" s="156">
        <f t="shared" si="0"/>
        <v>0</v>
      </c>
      <c r="S32" s="155">
        <v>3</v>
      </c>
      <c r="T32" s="156">
        <v>17498.25</v>
      </c>
      <c r="U32" s="155">
        <v>0</v>
      </c>
      <c r="V32" s="156">
        <f t="shared" si="1"/>
        <v>0</v>
      </c>
      <c r="W32" s="155">
        <v>0</v>
      </c>
      <c r="X32" s="156">
        <v>0</v>
      </c>
      <c r="Y32" s="155">
        <v>0</v>
      </c>
      <c r="Z32" s="156">
        <v>0</v>
      </c>
      <c r="AA32" s="155">
        <v>5</v>
      </c>
      <c r="AB32" s="156">
        <v>29163.75</v>
      </c>
      <c r="AC32" s="155">
        <v>0</v>
      </c>
      <c r="AD32" s="156">
        <v>0</v>
      </c>
      <c r="AE32" s="155">
        <v>0</v>
      </c>
      <c r="AF32" s="156">
        <v>0</v>
      </c>
      <c r="AG32" s="155">
        <v>3</v>
      </c>
      <c r="AH32" s="156">
        <v>17498.25</v>
      </c>
      <c r="AI32" s="155">
        <v>3</v>
      </c>
      <c r="AJ32" s="156">
        <v>17498.25</v>
      </c>
      <c r="AK32" s="155">
        <v>0</v>
      </c>
      <c r="AL32" s="156">
        <v>0</v>
      </c>
      <c r="AM32" s="155">
        <v>0</v>
      </c>
      <c r="AN32" s="156">
        <v>0</v>
      </c>
      <c r="AO32" s="155">
        <v>3</v>
      </c>
      <c r="AP32" s="156">
        <v>17498.25</v>
      </c>
      <c r="AQ32" s="155">
        <v>0</v>
      </c>
      <c r="AR32" s="156">
        <v>0</v>
      </c>
    </row>
    <row r="33" spans="2:44">
      <c r="B33" s="33" t="s">
        <v>336</v>
      </c>
      <c r="C33" s="33" t="s">
        <v>371</v>
      </c>
      <c r="D33" s="33" t="s">
        <v>372</v>
      </c>
      <c r="E33" s="33" t="s">
        <v>373</v>
      </c>
      <c r="F33" s="154">
        <v>3711.75</v>
      </c>
      <c r="G33" s="155">
        <v>3</v>
      </c>
      <c r="H33" s="156">
        <v>11135.25</v>
      </c>
      <c r="I33" s="155">
        <v>17</v>
      </c>
      <c r="J33" s="156">
        <v>63099.75</v>
      </c>
      <c r="K33" s="155">
        <v>0</v>
      </c>
      <c r="L33" s="156">
        <v>0</v>
      </c>
      <c r="M33" s="155">
        <v>0</v>
      </c>
      <c r="N33" s="156">
        <v>0</v>
      </c>
      <c r="O33" s="155">
        <v>0</v>
      </c>
      <c r="P33" s="156">
        <v>0</v>
      </c>
      <c r="Q33" s="155">
        <v>6</v>
      </c>
      <c r="R33" s="156">
        <f t="shared" si="0"/>
        <v>22270.5</v>
      </c>
      <c r="S33" s="155">
        <v>7</v>
      </c>
      <c r="T33" s="156">
        <v>25982.25</v>
      </c>
      <c r="U33" s="155">
        <v>0</v>
      </c>
      <c r="V33" s="156">
        <f t="shared" si="1"/>
        <v>0</v>
      </c>
      <c r="W33" s="155">
        <v>0</v>
      </c>
      <c r="X33" s="156">
        <v>0</v>
      </c>
      <c r="Y33" s="155">
        <v>1</v>
      </c>
      <c r="Z33" s="156">
        <v>3711.75</v>
      </c>
      <c r="AA33" s="155">
        <v>4</v>
      </c>
      <c r="AB33" s="156">
        <v>14847</v>
      </c>
      <c r="AC33" s="155">
        <v>0</v>
      </c>
      <c r="AD33" s="156">
        <v>0</v>
      </c>
      <c r="AE33" s="155">
        <v>0</v>
      </c>
      <c r="AF33" s="156">
        <v>0</v>
      </c>
      <c r="AG33" s="155">
        <v>0</v>
      </c>
      <c r="AH33" s="156">
        <v>0</v>
      </c>
      <c r="AI33" s="155">
        <v>4</v>
      </c>
      <c r="AJ33" s="156">
        <v>14847</v>
      </c>
      <c r="AK33" s="155">
        <v>0</v>
      </c>
      <c r="AL33" s="156">
        <v>0</v>
      </c>
      <c r="AM33" s="155">
        <v>0</v>
      </c>
      <c r="AN33" s="156">
        <v>0</v>
      </c>
      <c r="AO33" s="155">
        <v>4</v>
      </c>
      <c r="AP33" s="156">
        <v>14847</v>
      </c>
      <c r="AQ33" s="155">
        <v>0</v>
      </c>
      <c r="AR33" s="156">
        <v>0</v>
      </c>
    </row>
    <row r="34" spans="2:44">
      <c r="B34" s="33" t="s">
        <v>336</v>
      </c>
      <c r="C34" s="33" t="s">
        <v>154</v>
      </c>
      <c r="D34" s="33" t="s">
        <v>155</v>
      </c>
      <c r="E34" s="33" t="s">
        <v>374</v>
      </c>
      <c r="F34" s="154">
        <v>116.655</v>
      </c>
      <c r="G34" s="155">
        <v>644</v>
      </c>
      <c r="H34" s="156">
        <v>75125.820000000007</v>
      </c>
      <c r="I34" s="155"/>
      <c r="J34" s="156">
        <v>0</v>
      </c>
      <c r="K34" s="155">
        <v>760</v>
      </c>
      <c r="L34" s="156">
        <v>88657.8</v>
      </c>
      <c r="M34" s="155">
        <v>225</v>
      </c>
      <c r="N34" s="156">
        <v>26247.375</v>
      </c>
      <c r="O34" s="155">
        <v>2754</v>
      </c>
      <c r="P34" s="156">
        <v>321267.87</v>
      </c>
      <c r="Q34" s="155">
        <v>0</v>
      </c>
      <c r="R34" s="156">
        <f t="shared" si="0"/>
        <v>0</v>
      </c>
      <c r="S34" s="155">
        <v>594</v>
      </c>
      <c r="T34" s="156">
        <v>69293.070000000007</v>
      </c>
      <c r="U34" s="155">
        <v>1365</v>
      </c>
      <c r="V34" s="156">
        <f t="shared" si="1"/>
        <v>159234.07500000001</v>
      </c>
      <c r="W34" s="155">
        <v>490</v>
      </c>
      <c r="X34" s="156">
        <v>57160.95</v>
      </c>
      <c r="Y34" s="155">
        <v>685</v>
      </c>
      <c r="Z34" s="156">
        <v>79908.675000000003</v>
      </c>
      <c r="AA34" s="155">
        <v>1210</v>
      </c>
      <c r="AB34" s="156">
        <v>141152.54999999999</v>
      </c>
      <c r="AC34" s="155">
        <v>84</v>
      </c>
      <c r="AD34" s="156">
        <v>9799.02</v>
      </c>
      <c r="AE34" s="155">
        <v>1260</v>
      </c>
      <c r="AF34" s="156">
        <f>AE34*F34</f>
        <v>146985.29999999999</v>
      </c>
      <c r="AG34" s="155">
        <v>1357</v>
      </c>
      <c r="AH34" s="156">
        <v>158300.83499999999</v>
      </c>
      <c r="AI34" s="155">
        <v>706</v>
      </c>
      <c r="AJ34" s="156">
        <v>82358.429999999993</v>
      </c>
      <c r="AK34" s="155">
        <v>295</v>
      </c>
      <c r="AL34" s="156">
        <v>34413.224999999999</v>
      </c>
      <c r="AM34" s="155">
        <v>514</v>
      </c>
      <c r="AN34" s="156">
        <v>59960.67</v>
      </c>
      <c r="AO34" s="155">
        <v>146</v>
      </c>
      <c r="AP34" s="156">
        <v>17031.63</v>
      </c>
      <c r="AQ34" s="155">
        <v>0</v>
      </c>
      <c r="AR34" s="156">
        <v>0</v>
      </c>
    </row>
    <row r="35" spans="2:44">
      <c r="B35" s="33" t="s">
        <v>336</v>
      </c>
      <c r="C35" s="33" t="s">
        <v>375</v>
      </c>
      <c r="D35" s="33" t="s">
        <v>376</v>
      </c>
      <c r="E35" s="33" t="s">
        <v>377</v>
      </c>
      <c r="F35" s="154">
        <v>89.081999999999994</v>
      </c>
      <c r="G35" s="155">
        <v>6</v>
      </c>
      <c r="H35" s="156">
        <v>534.49199999999996</v>
      </c>
      <c r="I35" s="155">
        <v>0</v>
      </c>
      <c r="J35" s="156">
        <v>0</v>
      </c>
      <c r="K35" s="155">
        <v>10</v>
      </c>
      <c r="L35" s="156">
        <v>890.82</v>
      </c>
      <c r="M35" s="155">
        <v>1</v>
      </c>
      <c r="N35" s="156">
        <v>89.081999999999994</v>
      </c>
      <c r="O35" s="155">
        <v>0</v>
      </c>
      <c r="P35" s="156">
        <v>0</v>
      </c>
      <c r="Q35" s="155">
        <v>0</v>
      </c>
      <c r="R35" s="156">
        <f t="shared" si="0"/>
        <v>0</v>
      </c>
      <c r="S35" s="155">
        <v>24</v>
      </c>
      <c r="T35" s="156">
        <v>2137.9679999999998</v>
      </c>
      <c r="U35" s="155">
        <v>11</v>
      </c>
      <c r="V35" s="156">
        <f t="shared" si="1"/>
        <v>979.90199999999993</v>
      </c>
      <c r="W35" s="155">
        <v>0</v>
      </c>
      <c r="X35" s="156">
        <v>0</v>
      </c>
      <c r="Y35" s="155">
        <v>82</v>
      </c>
      <c r="Z35" s="156">
        <v>7304.7240000000002</v>
      </c>
      <c r="AA35" s="155">
        <v>11</v>
      </c>
      <c r="AB35" s="156">
        <v>979.90200000000004</v>
      </c>
      <c r="AC35" s="155">
        <v>0</v>
      </c>
      <c r="AD35" s="156">
        <v>0</v>
      </c>
      <c r="AE35" s="155">
        <v>0</v>
      </c>
      <c r="AF35" s="156">
        <v>0</v>
      </c>
      <c r="AG35" s="155">
        <v>3</v>
      </c>
      <c r="AH35" s="156">
        <v>267.24599999999998</v>
      </c>
      <c r="AI35" s="155">
        <v>8</v>
      </c>
      <c r="AJ35" s="156">
        <v>712.65599999999995</v>
      </c>
      <c r="AK35" s="155">
        <v>0</v>
      </c>
      <c r="AL35" s="156">
        <v>0</v>
      </c>
      <c r="AM35" s="155">
        <v>13</v>
      </c>
      <c r="AN35" s="156">
        <v>1158.066</v>
      </c>
      <c r="AO35" s="155">
        <v>3</v>
      </c>
      <c r="AP35" s="156">
        <v>267.24599999999998</v>
      </c>
      <c r="AQ35" s="155">
        <v>0</v>
      </c>
      <c r="AR35" s="156">
        <v>0</v>
      </c>
    </row>
    <row r="36" spans="2:44">
      <c r="B36" s="33" t="s">
        <v>336</v>
      </c>
      <c r="C36" s="33" t="s">
        <v>159</v>
      </c>
      <c r="D36" s="33" t="s">
        <v>160</v>
      </c>
      <c r="E36" s="33" t="s">
        <v>161</v>
      </c>
      <c r="F36" s="154">
        <v>66.66</v>
      </c>
      <c r="G36" s="155">
        <v>270</v>
      </c>
      <c r="H36" s="156">
        <v>17998.2</v>
      </c>
      <c r="I36" s="155">
        <v>908</v>
      </c>
      <c r="J36" s="156">
        <v>60527.28</v>
      </c>
      <c r="K36" s="155">
        <v>272</v>
      </c>
      <c r="L36" s="156">
        <v>18131.52</v>
      </c>
      <c r="M36" s="155">
        <v>145</v>
      </c>
      <c r="N36" s="156">
        <v>9665.7000000000007</v>
      </c>
      <c r="O36" s="155">
        <v>32</v>
      </c>
      <c r="P36" s="156">
        <v>2133.12</v>
      </c>
      <c r="Q36" s="155">
        <v>1852</v>
      </c>
      <c r="R36" s="156">
        <f t="shared" si="0"/>
        <v>123454.31999999999</v>
      </c>
      <c r="S36" s="155">
        <v>215</v>
      </c>
      <c r="T36" s="156">
        <v>14331.9</v>
      </c>
      <c r="U36" s="155">
        <v>639</v>
      </c>
      <c r="V36" s="156">
        <f t="shared" si="1"/>
        <v>42595.74</v>
      </c>
      <c r="W36" s="155">
        <v>81</v>
      </c>
      <c r="X36" s="156">
        <v>5399.46</v>
      </c>
      <c r="Y36" s="155">
        <v>304</v>
      </c>
      <c r="Z36" s="156">
        <v>20264.64</v>
      </c>
      <c r="AA36" s="155">
        <v>80</v>
      </c>
      <c r="AB36" s="156">
        <v>5332.8</v>
      </c>
      <c r="AC36" s="155">
        <v>161</v>
      </c>
      <c r="AD36" s="156">
        <v>10732.26</v>
      </c>
      <c r="AE36" s="155">
        <v>209</v>
      </c>
      <c r="AF36" s="156">
        <v>13931.94</v>
      </c>
      <c r="AG36" s="155">
        <v>524</v>
      </c>
      <c r="AH36" s="156">
        <v>34929.839999999997</v>
      </c>
      <c r="AI36" s="155">
        <v>526</v>
      </c>
      <c r="AJ36" s="156">
        <v>35063.160000000003</v>
      </c>
      <c r="AK36" s="155">
        <v>102</v>
      </c>
      <c r="AL36" s="156">
        <v>6799.32</v>
      </c>
      <c r="AM36" s="155">
        <v>53</v>
      </c>
      <c r="AN36" s="156">
        <v>3532.98</v>
      </c>
      <c r="AO36" s="155">
        <v>503</v>
      </c>
      <c r="AP36" s="156">
        <v>33529.980000000003</v>
      </c>
      <c r="AQ36" s="155">
        <v>0</v>
      </c>
      <c r="AR36" s="156">
        <v>0</v>
      </c>
    </row>
    <row r="37" spans="2:44">
      <c r="B37" s="33" t="s">
        <v>336</v>
      </c>
      <c r="C37" s="33" t="s">
        <v>378</v>
      </c>
      <c r="D37" s="33" t="s">
        <v>379</v>
      </c>
      <c r="E37" s="33" t="s">
        <v>380</v>
      </c>
      <c r="F37" s="154">
        <v>389.86</v>
      </c>
      <c r="G37" s="155">
        <v>0</v>
      </c>
      <c r="H37" s="156">
        <v>0</v>
      </c>
      <c r="I37" s="155">
        <v>0</v>
      </c>
      <c r="J37" s="156">
        <v>0</v>
      </c>
      <c r="K37" s="155">
        <v>31</v>
      </c>
      <c r="L37" s="156">
        <v>12085.66</v>
      </c>
      <c r="M37" s="155">
        <v>3</v>
      </c>
      <c r="N37" s="156">
        <v>1169.58</v>
      </c>
      <c r="O37" s="155">
        <v>0</v>
      </c>
      <c r="P37" s="156">
        <v>0</v>
      </c>
      <c r="Q37" s="155">
        <v>0</v>
      </c>
      <c r="R37" s="156">
        <f t="shared" ref="R37:R68" si="2">Q37*F37</f>
        <v>0</v>
      </c>
      <c r="S37" s="155">
        <v>7</v>
      </c>
      <c r="T37" s="156">
        <v>2729.02</v>
      </c>
      <c r="U37" s="155">
        <v>0</v>
      </c>
      <c r="V37" s="156">
        <f t="shared" ref="V37:V68" si="3">U37*F37</f>
        <v>0</v>
      </c>
      <c r="W37" s="155">
        <v>3</v>
      </c>
      <c r="X37" s="156">
        <v>1169.58</v>
      </c>
      <c r="Y37" s="155">
        <v>8</v>
      </c>
      <c r="Z37" s="156">
        <v>3118.88</v>
      </c>
      <c r="AA37" s="155">
        <v>0</v>
      </c>
      <c r="AB37" s="156">
        <v>0</v>
      </c>
      <c r="AC37" s="155">
        <v>2</v>
      </c>
      <c r="AD37" s="156">
        <v>779.72</v>
      </c>
      <c r="AE37" s="155">
        <v>0</v>
      </c>
      <c r="AF37" s="156">
        <v>0</v>
      </c>
      <c r="AG37" s="155">
        <v>0</v>
      </c>
      <c r="AH37" s="156">
        <v>0</v>
      </c>
      <c r="AI37" s="155">
        <v>2</v>
      </c>
      <c r="AJ37" s="156">
        <v>779.72</v>
      </c>
      <c r="AK37" s="155">
        <v>0</v>
      </c>
      <c r="AL37" s="156">
        <v>0</v>
      </c>
      <c r="AM37" s="155">
        <v>2</v>
      </c>
      <c r="AN37" s="156">
        <v>779.72</v>
      </c>
      <c r="AO37" s="155">
        <v>83</v>
      </c>
      <c r="AP37" s="156">
        <v>32358.38</v>
      </c>
      <c r="AQ37" s="155">
        <v>0</v>
      </c>
      <c r="AR37" s="156">
        <v>0</v>
      </c>
    </row>
    <row r="38" spans="2:44">
      <c r="B38" s="33" t="s">
        <v>336</v>
      </c>
      <c r="C38" s="33" t="s">
        <v>381</v>
      </c>
      <c r="D38" s="33" t="s">
        <v>382</v>
      </c>
      <c r="E38" s="33" t="s">
        <v>383</v>
      </c>
      <c r="F38" s="154">
        <v>39.39</v>
      </c>
      <c r="G38" s="155">
        <v>1</v>
      </c>
      <c r="H38" s="156">
        <v>39.39</v>
      </c>
      <c r="I38" s="155">
        <v>0</v>
      </c>
      <c r="J38" s="156">
        <v>0</v>
      </c>
      <c r="K38" s="155">
        <v>64</v>
      </c>
      <c r="L38" s="156">
        <v>2520.96</v>
      </c>
      <c r="M38" s="155">
        <v>2</v>
      </c>
      <c r="N38" s="156">
        <v>78.78</v>
      </c>
      <c r="O38" s="155">
        <v>0</v>
      </c>
      <c r="P38" s="156">
        <v>0</v>
      </c>
      <c r="Q38" s="155">
        <v>0</v>
      </c>
      <c r="R38" s="156">
        <f t="shared" si="2"/>
        <v>0</v>
      </c>
      <c r="S38" s="155">
        <v>1</v>
      </c>
      <c r="T38" s="156">
        <v>39.39</v>
      </c>
      <c r="U38" s="155">
        <v>0</v>
      </c>
      <c r="V38" s="156">
        <f t="shared" si="3"/>
        <v>0</v>
      </c>
      <c r="W38" s="155">
        <v>2</v>
      </c>
      <c r="X38" s="156">
        <v>78.78</v>
      </c>
      <c r="Y38" s="155">
        <v>1</v>
      </c>
      <c r="Z38" s="156">
        <v>39.39</v>
      </c>
      <c r="AA38" s="155">
        <v>2</v>
      </c>
      <c r="AB38" s="156">
        <v>78.78</v>
      </c>
      <c r="AC38" s="155">
        <v>0</v>
      </c>
      <c r="AD38" s="156">
        <v>0</v>
      </c>
      <c r="AE38" s="155">
        <v>0</v>
      </c>
      <c r="AF38" s="156">
        <v>0</v>
      </c>
      <c r="AG38" s="155">
        <v>0</v>
      </c>
      <c r="AH38" s="156">
        <v>0</v>
      </c>
      <c r="AI38" s="155">
        <v>136</v>
      </c>
      <c r="AJ38" s="156">
        <v>5357.04</v>
      </c>
      <c r="AK38" s="155">
        <v>0</v>
      </c>
      <c r="AL38" s="156">
        <v>0</v>
      </c>
      <c r="AM38" s="155">
        <v>0</v>
      </c>
      <c r="AN38" s="156">
        <v>0</v>
      </c>
      <c r="AO38" s="155">
        <v>0</v>
      </c>
      <c r="AP38" s="156">
        <v>0</v>
      </c>
      <c r="AQ38" s="155">
        <v>0</v>
      </c>
      <c r="AR38" s="156">
        <v>0</v>
      </c>
    </row>
    <row r="39" spans="2:44">
      <c r="B39" s="33" t="s">
        <v>336</v>
      </c>
      <c r="C39" s="33" t="s">
        <v>281</v>
      </c>
      <c r="D39" s="33" t="s">
        <v>164</v>
      </c>
      <c r="E39" s="33" t="s">
        <v>165</v>
      </c>
      <c r="F39" s="154">
        <v>4242</v>
      </c>
      <c r="G39" s="155">
        <v>2</v>
      </c>
      <c r="H39" s="156">
        <v>8484</v>
      </c>
      <c r="I39" s="155">
        <v>144</v>
      </c>
      <c r="J39" s="156">
        <v>610848</v>
      </c>
      <c r="K39" s="155">
        <v>18</v>
      </c>
      <c r="L39" s="156">
        <v>76356</v>
      </c>
      <c r="M39" s="155">
        <v>8</v>
      </c>
      <c r="N39" s="156">
        <v>33936</v>
      </c>
      <c r="O39" s="155">
        <v>7</v>
      </c>
      <c r="P39" s="156">
        <v>29694</v>
      </c>
      <c r="Q39" s="155">
        <v>71</v>
      </c>
      <c r="R39" s="156">
        <f t="shared" si="2"/>
        <v>301182</v>
      </c>
      <c r="S39" s="155">
        <v>8</v>
      </c>
      <c r="T39" s="156">
        <v>33936</v>
      </c>
      <c r="U39" s="155">
        <v>1</v>
      </c>
      <c r="V39" s="156">
        <f t="shared" si="3"/>
        <v>4242</v>
      </c>
      <c r="W39" s="155">
        <v>2</v>
      </c>
      <c r="X39" s="156">
        <v>8484</v>
      </c>
      <c r="Y39" s="155">
        <v>32</v>
      </c>
      <c r="Z39" s="156">
        <v>135744</v>
      </c>
      <c r="AA39" s="155">
        <v>12</v>
      </c>
      <c r="AB39" s="156">
        <v>50904</v>
      </c>
      <c r="AC39" s="155">
        <v>0</v>
      </c>
      <c r="AD39" s="156">
        <v>0</v>
      </c>
      <c r="AE39" s="155">
        <v>30</v>
      </c>
      <c r="AF39" s="156">
        <v>127260</v>
      </c>
      <c r="AG39" s="155">
        <v>21</v>
      </c>
      <c r="AH39" s="156">
        <v>89082</v>
      </c>
      <c r="AI39" s="155">
        <v>16</v>
      </c>
      <c r="AJ39" s="156">
        <v>67872</v>
      </c>
      <c r="AK39" s="155">
        <v>0</v>
      </c>
      <c r="AL39" s="156">
        <v>0</v>
      </c>
      <c r="AM39" s="155">
        <v>1</v>
      </c>
      <c r="AN39" s="156">
        <v>4242</v>
      </c>
      <c r="AO39" s="155">
        <v>8</v>
      </c>
      <c r="AP39" s="156">
        <v>33936</v>
      </c>
      <c r="AQ39" s="155">
        <v>0</v>
      </c>
      <c r="AR39" s="156">
        <v>0</v>
      </c>
    </row>
    <row r="40" spans="2:44">
      <c r="B40" s="33" t="s">
        <v>336</v>
      </c>
      <c r="C40" s="33" t="s">
        <v>281</v>
      </c>
      <c r="D40" s="33" t="s">
        <v>384</v>
      </c>
      <c r="E40" s="33" t="s">
        <v>165</v>
      </c>
      <c r="F40" s="154">
        <v>2227.0500000000002</v>
      </c>
      <c r="G40" s="155">
        <v>65</v>
      </c>
      <c r="H40" s="156">
        <v>144758.25</v>
      </c>
      <c r="I40" s="155">
        <v>3</v>
      </c>
      <c r="J40" s="156">
        <v>6681.15</v>
      </c>
      <c r="K40" s="155">
        <v>143</v>
      </c>
      <c r="L40" s="156">
        <v>318468.15000000002</v>
      </c>
      <c r="M40" s="155">
        <v>44</v>
      </c>
      <c r="N40" s="156">
        <v>97990.2</v>
      </c>
      <c r="O40" s="155">
        <v>0</v>
      </c>
      <c r="P40" s="156">
        <v>0</v>
      </c>
      <c r="Q40" s="155">
        <v>0</v>
      </c>
      <c r="R40" s="156">
        <f t="shared" si="2"/>
        <v>0</v>
      </c>
      <c r="S40" s="155">
        <v>69</v>
      </c>
      <c r="T40" s="156">
        <v>153666.45000000001</v>
      </c>
      <c r="U40" s="155">
        <v>15</v>
      </c>
      <c r="V40" s="156">
        <f t="shared" si="3"/>
        <v>33405.75</v>
      </c>
      <c r="W40" s="155">
        <v>3</v>
      </c>
      <c r="X40" s="156">
        <v>6681.15</v>
      </c>
      <c r="Y40" s="155">
        <v>52</v>
      </c>
      <c r="Z40" s="156">
        <v>115806.6</v>
      </c>
      <c r="AA40" s="155">
        <v>63</v>
      </c>
      <c r="AB40" s="156">
        <v>140304.15</v>
      </c>
      <c r="AC40" s="155">
        <v>2</v>
      </c>
      <c r="AD40" s="156">
        <v>4454.1000000000004</v>
      </c>
      <c r="AE40" s="155">
        <v>132</v>
      </c>
      <c r="AF40" s="156">
        <v>293970.59999999998</v>
      </c>
      <c r="AG40" s="155">
        <v>65</v>
      </c>
      <c r="AH40" s="156">
        <v>144758.25</v>
      </c>
      <c r="AI40" s="155">
        <v>82</v>
      </c>
      <c r="AJ40" s="156">
        <v>182618.1</v>
      </c>
      <c r="AK40" s="155">
        <v>6</v>
      </c>
      <c r="AL40" s="156">
        <v>13362.3</v>
      </c>
      <c r="AM40" s="155">
        <v>4</v>
      </c>
      <c r="AN40" s="156">
        <v>8908.2000000000007</v>
      </c>
      <c r="AO40" s="155">
        <v>21</v>
      </c>
      <c r="AP40" s="156">
        <v>46768.05</v>
      </c>
      <c r="AQ40" s="155">
        <v>0</v>
      </c>
      <c r="AR40" s="156">
        <v>0</v>
      </c>
    </row>
    <row r="41" spans="2:44">
      <c r="B41" s="33" t="s">
        <v>336</v>
      </c>
      <c r="C41" s="33" t="s">
        <v>385</v>
      </c>
      <c r="D41" s="33" t="s">
        <v>386</v>
      </c>
      <c r="E41" s="33" t="s">
        <v>387</v>
      </c>
      <c r="F41" s="154">
        <v>22270.5</v>
      </c>
      <c r="G41" s="155">
        <v>4</v>
      </c>
      <c r="H41" s="156">
        <v>89082</v>
      </c>
      <c r="I41" s="155">
        <v>4</v>
      </c>
      <c r="J41" s="156">
        <v>89082</v>
      </c>
      <c r="K41" s="155">
        <v>3</v>
      </c>
      <c r="L41" s="156">
        <v>66811.5</v>
      </c>
      <c r="M41" s="155">
        <v>0</v>
      </c>
      <c r="N41" s="156">
        <v>0</v>
      </c>
      <c r="O41" s="155">
        <v>0</v>
      </c>
      <c r="P41" s="156">
        <v>0</v>
      </c>
      <c r="Q41" s="155">
        <v>0</v>
      </c>
      <c r="R41" s="156">
        <f t="shared" si="2"/>
        <v>0</v>
      </c>
      <c r="S41" s="155">
        <v>3</v>
      </c>
      <c r="T41" s="156">
        <v>66811.5</v>
      </c>
      <c r="U41" s="155">
        <v>17</v>
      </c>
      <c r="V41" s="156">
        <f t="shared" si="3"/>
        <v>378598.5</v>
      </c>
      <c r="W41" s="155">
        <v>2</v>
      </c>
      <c r="X41" s="156">
        <v>44541</v>
      </c>
      <c r="Y41" s="155">
        <v>3</v>
      </c>
      <c r="Z41" s="156">
        <v>66811.5</v>
      </c>
      <c r="AA41" s="155">
        <v>7</v>
      </c>
      <c r="AB41" s="156">
        <v>155893.5</v>
      </c>
      <c r="AC41" s="155">
        <v>0</v>
      </c>
      <c r="AD41" s="156">
        <v>0</v>
      </c>
      <c r="AE41" s="155">
        <v>6</v>
      </c>
      <c r="AF41" s="156">
        <v>133623</v>
      </c>
      <c r="AG41" s="155">
        <v>3</v>
      </c>
      <c r="AH41" s="156">
        <v>66811.5</v>
      </c>
      <c r="AI41" s="155">
        <v>2</v>
      </c>
      <c r="AJ41" s="156">
        <v>44541</v>
      </c>
      <c r="AK41" s="155">
        <v>0</v>
      </c>
      <c r="AL41" s="156">
        <v>0</v>
      </c>
      <c r="AM41" s="155">
        <v>0</v>
      </c>
      <c r="AN41" s="156">
        <v>0</v>
      </c>
      <c r="AO41" s="155">
        <v>1</v>
      </c>
      <c r="AP41" s="156">
        <v>22270.5</v>
      </c>
      <c r="AQ41" s="155">
        <v>0</v>
      </c>
      <c r="AR41" s="156">
        <v>0</v>
      </c>
    </row>
    <row r="42" spans="2:44">
      <c r="B42" s="33" t="s">
        <v>336</v>
      </c>
      <c r="C42" s="33" t="s">
        <v>385</v>
      </c>
      <c r="D42" s="33" t="s">
        <v>388</v>
      </c>
      <c r="E42" s="33" t="s">
        <v>389</v>
      </c>
      <c r="F42" s="154">
        <v>0.22220000000000001</v>
      </c>
      <c r="G42" s="155">
        <v>1030</v>
      </c>
      <c r="H42" s="156">
        <v>228.86600000000001</v>
      </c>
      <c r="I42" s="155">
        <v>50</v>
      </c>
      <c r="J42" s="156">
        <v>11.11</v>
      </c>
      <c r="K42" s="155">
        <v>6300</v>
      </c>
      <c r="L42" s="156">
        <v>1399.86</v>
      </c>
      <c r="M42" s="155"/>
      <c r="N42" s="156">
        <v>0</v>
      </c>
      <c r="O42" s="155"/>
      <c r="P42" s="156">
        <v>0</v>
      </c>
      <c r="Q42" s="155"/>
      <c r="R42" s="156">
        <f t="shared" si="2"/>
        <v>0</v>
      </c>
      <c r="S42" s="155">
        <v>480</v>
      </c>
      <c r="T42" s="156">
        <v>106.65600000000001</v>
      </c>
      <c r="U42" s="155">
        <v>7200</v>
      </c>
      <c r="V42" s="156">
        <f t="shared" si="3"/>
        <v>1599.8400000000001</v>
      </c>
      <c r="W42" s="155">
        <v>122</v>
      </c>
      <c r="X42" s="156">
        <v>27.1084</v>
      </c>
      <c r="Y42" s="155">
        <v>2190</v>
      </c>
      <c r="Z42" s="156">
        <v>486.61799999999999</v>
      </c>
      <c r="AA42" s="155">
        <v>14359</v>
      </c>
      <c r="AB42" s="156">
        <v>3190.5698000000002</v>
      </c>
      <c r="AC42" s="155">
        <v>0</v>
      </c>
      <c r="AD42" s="156">
        <v>0</v>
      </c>
      <c r="AE42" s="155">
        <v>0</v>
      </c>
      <c r="AF42" s="156">
        <v>0</v>
      </c>
      <c r="AG42" s="155"/>
      <c r="AH42" s="156">
        <v>0</v>
      </c>
      <c r="AI42" s="155">
        <v>5060</v>
      </c>
      <c r="AJ42" s="156">
        <v>1124.3320000000001</v>
      </c>
      <c r="AK42" s="155">
        <v>0</v>
      </c>
      <c r="AL42" s="156">
        <v>0</v>
      </c>
      <c r="AM42" s="155">
        <v>250</v>
      </c>
      <c r="AN42" s="156">
        <v>55.55</v>
      </c>
      <c r="AO42" s="155">
        <v>8</v>
      </c>
      <c r="AP42" s="156">
        <v>1.7776000000000001</v>
      </c>
      <c r="AQ42" s="155">
        <v>0</v>
      </c>
      <c r="AR42" s="156">
        <v>0</v>
      </c>
    </row>
    <row r="43" spans="2:44">
      <c r="B43" s="33" t="s">
        <v>336</v>
      </c>
      <c r="C43" s="33" t="s">
        <v>390</v>
      </c>
      <c r="D43" s="33" t="s">
        <v>391</v>
      </c>
      <c r="E43" s="33" t="s">
        <v>392</v>
      </c>
      <c r="F43" s="154">
        <v>1336.23</v>
      </c>
      <c r="G43" s="155">
        <v>0</v>
      </c>
      <c r="H43" s="156">
        <v>0</v>
      </c>
      <c r="I43" s="155">
        <v>0</v>
      </c>
      <c r="J43" s="156">
        <v>0</v>
      </c>
      <c r="K43" s="155">
        <v>0</v>
      </c>
      <c r="L43" s="156">
        <v>0</v>
      </c>
      <c r="M43" s="155">
        <v>0</v>
      </c>
      <c r="N43" s="156">
        <v>0</v>
      </c>
      <c r="O43" s="155">
        <v>0</v>
      </c>
      <c r="P43" s="156">
        <v>0</v>
      </c>
      <c r="Q43" s="155">
        <v>0</v>
      </c>
      <c r="R43" s="156">
        <f t="shared" si="2"/>
        <v>0</v>
      </c>
      <c r="S43" s="155">
        <v>0</v>
      </c>
      <c r="T43" s="156">
        <v>0</v>
      </c>
      <c r="U43" s="155">
        <v>0</v>
      </c>
      <c r="V43" s="156">
        <f t="shared" si="3"/>
        <v>0</v>
      </c>
      <c r="W43" s="155">
        <v>0</v>
      </c>
      <c r="X43" s="156">
        <v>0</v>
      </c>
      <c r="Y43" s="155">
        <v>0</v>
      </c>
      <c r="Z43" s="156">
        <v>0</v>
      </c>
      <c r="AA43" s="155">
        <v>0</v>
      </c>
      <c r="AB43" s="156">
        <v>0</v>
      </c>
      <c r="AC43" s="155">
        <v>0</v>
      </c>
      <c r="AD43" s="156">
        <v>0</v>
      </c>
      <c r="AE43" s="155">
        <v>0</v>
      </c>
      <c r="AF43" s="156">
        <v>0</v>
      </c>
      <c r="AG43" s="155">
        <v>0</v>
      </c>
      <c r="AH43" s="156">
        <v>0</v>
      </c>
      <c r="AI43" s="155">
        <v>0</v>
      </c>
      <c r="AJ43" s="156">
        <v>0</v>
      </c>
      <c r="AK43" s="155">
        <v>0</v>
      </c>
      <c r="AL43" s="156">
        <v>0</v>
      </c>
      <c r="AM43" s="155">
        <v>0</v>
      </c>
      <c r="AN43" s="156">
        <v>0</v>
      </c>
      <c r="AO43" s="155">
        <v>1</v>
      </c>
      <c r="AP43" s="156">
        <v>1336.23</v>
      </c>
      <c r="AQ43" s="155">
        <v>0</v>
      </c>
      <c r="AR43" s="156">
        <v>0</v>
      </c>
    </row>
    <row r="44" spans="2:44">
      <c r="B44" s="33" t="s">
        <v>336</v>
      </c>
      <c r="C44" s="33" t="s">
        <v>393</v>
      </c>
      <c r="D44" s="33" t="s">
        <v>394</v>
      </c>
      <c r="E44" s="33" t="s">
        <v>395</v>
      </c>
      <c r="F44" s="154">
        <v>99.99</v>
      </c>
      <c r="G44" s="155">
        <v>96</v>
      </c>
      <c r="H44" s="156">
        <v>9599.0400000000009</v>
      </c>
      <c r="I44" s="155">
        <v>0</v>
      </c>
      <c r="J44" s="156">
        <v>0</v>
      </c>
      <c r="K44" s="155">
        <v>0</v>
      </c>
      <c r="L44" s="156">
        <v>0</v>
      </c>
      <c r="M44" s="155">
        <v>0</v>
      </c>
      <c r="N44" s="156">
        <v>0</v>
      </c>
      <c r="O44" s="155">
        <v>0</v>
      </c>
      <c r="P44" s="156">
        <v>0</v>
      </c>
      <c r="Q44" s="155">
        <v>0</v>
      </c>
      <c r="R44" s="156">
        <f t="shared" si="2"/>
        <v>0</v>
      </c>
      <c r="S44" s="155">
        <v>0</v>
      </c>
      <c r="T44" s="156">
        <v>0</v>
      </c>
      <c r="U44" s="155">
        <v>0</v>
      </c>
      <c r="V44" s="156">
        <f t="shared" si="3"/>
        <v>0</v>
      </c>
      <c r="W44" s="155">
        <v>0</v>
      </c>
      <c r="X44" s="156">
        <v>0</v>
      </c>
      <c r="Y44" s="155">
        <v>0</v>
      </c>
      <c r="Z44" s="156">
        <v>0</v>
      </c>
      <c r="AA44" s="155">
        <v>0</v>
      </c>
      <c r="AB44" s="156">
        <v>0</v>
      </c>
      <c r="AC44" s="155">
        <v>0</v>
      </c>
      <c r="AD44" s="156">
        <v>0</v>
      </c>
      <c r="AE44" s="155">
        <v>0</v>
      </c>
      <c r="AF44" s="156">
        <v>0</v>
      </c>
      <c r="AG44" s="155">
        <v>0</v>
      </c>
      <c r="AH44" s="156">
        <v>0</v>
      </c>
      <c r="AI44" s="155">
        <v>0</v>
      </c>
      <c r="AJ44" s="156">
        <v>0</v>
      </c>
      <c r="AK44" s="155">
        <v>0</v>
      </c>
      <c r="AL44" s="156">
        <v>0</v>
      </c>
      <c r="AM44" s="155">
        <v>0</v>
      </c>
      <c r="AN44" s="156">
        <v>0</v>
      </c>
      <c r="AO44" s="155">
        <v>2</v>
      </c>
      <c r="AP44" s="156">
        <v>199.98</v>
      </c>
      <c r="AQ44" s="155">
        <v>0</v>
      </c>
      <c r="AR44" s="156">
        <v>0</v>
      </c>
    </row>
    <row r="45" spans="2:44">
      <c r="B45" s="33" t="s">
        <v>336</v>
      </c>
      <c r="C45" s="33" t="s">
        <v>393</v>
      </c>
      <c r="D45" s="33" t="s">
        <v>396</v>
      </c>
      <c r="E45" s="33" t="s">
        <v>395</v>
      </c>
      <c r="F45" s="154">
        <v>99.99</v>
      </c>
      <c r="G45" s="155">
        <v>84</v>
      </c>
      <c r="H45" s="156">
        <v>8399.16</v>
      </c>
      <c r="I45" s="155">
        <v>0</v>
      </c>
      <c r="J45" s="156">
        <v>0</v>
      </c>
      <c r="K45" s="155">
        <v>0</v>
      </c>
      <c r="L45" s="156">
        <v>0</v>
      </c>
      <c r="M45" s="155">
        <v>0</v>
      </c>
      <c r="N45" s="156">
        <v>0</v>
      </c>
      <c r="O45" s="155">
        <v>0</v>
      </c>
      <c r="P45" s="156">
        <v>0</v>
      </c>
      <c r="Q45" s="155">
        <v>0</v>
      </c>
      <c r="R45" s="156">
        <f t="shared" si="2"/>
        <v>0</v>
      </c>
      <c r="S45" s="155">
        <v>0</v>
      </c>
      <c r="T45" s="156">
        <v>0</v>
      </c>
      <c r="U45" s="155">
        <v>0</v>
      </c>
      <c r="V45" s="156">
        <f t="shared" si="3"/>
        <v>0</v>
      </c>
      <c r="W45" s="155">
        <v>0</v>
      </c>
      <c r="X45" s="156">
        <v>0</v>
      </c>
      <c r="Y45" s="155">
        <v>0</v>
      </c>
      <c r="Z45" s="156">
        <v>0</v>
      </c>
      <c r="AA45" s="155">
        <v>0</v>
      </c>
      <c r="AB45" s="156">
        <v>0</v>
      </c>
      <c r="AC45" s="155">
        <v>0</v>
      </c>
      <c r="AD45" s="156">
        <v>0</v>
      </c>
      <c r="AE45" s="155">
        <v>0</v>
      </c>
      <c r="AF45" s="156">
        <v>0</v>
      </c>
      <c r="AG45" s="155">
        <v>0</v>
      </c>
      <c r="AH45" s="156">
        <v>0</v>
      </c>
      <c r="AI45" s="155">
        <v>0</v>
      </c>
      <c r="AJ45" s="156">
        <v>0</v>
      </c>
      <c r="AK45" s="155">
        <v>0</v>
      </c>
      <c r="AL45" s="156">
        <v>0</v>
      </c>
      <c r="AM45" s="155">
        <v>0</v>
      </c>
      <c r="AN45" s="156">
        <v>0</v>
      </c>
      <c r="AO45" s="155">
        <v>0</v>
      </c>
      <c r="AP45" s="156">
        <v>0</v>
      </c>
      <c r="AQ45" s="155">
        <v>0</v>
      </c>
      <c r="AR45" s="156">
        <v>0</v>
      </c>
    </row>
    <row r="46" spans="2:44">
      <c r="B46" s="33" t="s">
        <v>336</v>
      </c>
      <c r="C46" s="33" t="s">
        <v>393</v>
      </c>
      <c r="D46" s="33" t="s">
        <v>397</v>
      </c>
      <c r="E46" s="33" t="s">
        <v>395</v>
      </c>
      <c r="F46" s="154">
        <v>66.66</v>
      </c>
      <c r="G46" s="155">
        <v>12</v>
      </c>
      <c r="H46" s="156">
        <v>799.92</v>
      </c>
      <c r="I46" s="155">
        <v>0</v>
      </c>
      <c r="J46" s="156">
        <v>0</v>
      </c>
      <c r="K46" s="155">
        <v>0</v>
      </c>
      <c r="L46" s="156">
        <v>0</v>
      </c>
      <c r="M46" s="155">
        <v>0</v>
      </c>
      <c r="N46" s="156">
        <v>0</v>
      </c>
      <c r="O46" s="155">
        <v>0</v>
      </c>
      <c r="P46" s="156">
        <v>0</v>
      </c>
      <c r="Q46" s="155">
        <v>0</v>
      </c>
      <c r="R46" s="156">
        <f t="shared" si="2"/>
        <v>0</v>
      </c>
      <c r="S46" s="155">
        <v>0</v>
      </c>
      <c r="T46" s="156">
        <v>0</v>
      </c>
      <c r="U46" s="155">
        <v>0</v>
      </c>
      <c r="V46" s="156">
        <f t="shared" si="3"/>
        <v>0</v>
      </c>
      <c r="W46" s="155">
        <v>0</v>
      </c>
      <c r="X46" s="156">
        <v>0</v>
      </c>
      <c r="Y46" s="155">
        <v>0</v>
      </c>
      <c r="Z46" s="156">
        <v>0</v>
      </c>
      <c r="AA46" s="155">
        <v>0</v>
      </c>
      <c r="AB46" s="156">
        <v>0</v>
      </c>
      <c r="AC46" s="155">
        <v>0</v>
      </c>
      <c r="AD46" s="156">
        <v>0</v>
      </c>
      <c r="AE46" s="155">
        <v>0</v>
      </c>
      <c r="AF46" s="156">
        <v>0</v>
      </c>
      <c r="AG46" s="155">
        <v>0</v>
      </c>
      <c r="AH46" s="156">
        <v>0</v>
      </c>
      <c r="AI46" s="155">
        <v>0</v>
      </c>
      <c r="AJ46" s="156">
        <v>0</v>
      </c>
      <c r="AK46" s="155">
        <v>0</v>
      </c>
      <c r="AL46" s="156">
        <v>0</v>
      </c>
      <c r="AM46" s="155">
        <v>0</v>
      </c>
      <c r="AN46" s="156">
        <v>0</v>
      </c>
      <c r="AO46" s="155">
        <v>2</v>
      </c>
      <c r="AP46" s="156">
        <v>133.32</v>
      </c>
      <c r="AQ46" s="155">
        <v>0</v>
      </c>
      <c r="AR46" s="156">
        <v>0</v>
      </c>
    </row>
    <row r="47" spans="2:44">
      <c r="B47" s="33" t="s">
        <v>336</v>
      </c>
      <c r="C47" s="33" t="s">
        <v>398</v>
      </c>
      <c r="D47" s="33" t="s">
        <v>399</v>
      </c>
      <c r="E47" s="33" t="s">
        <v>400</v>
      </c>
      <c r="F47" s="154">
        <v>14475.825000000001</v>
      </c>
      <c r="G47" s="155">
        <v>0</v>
      </c>
      <c r="H47" s="156">
        <v>0</v>
      </c>
      <c r="I47" s="155">
        <v>0</v>
      </c>
      <c r="J47" s="156">
        <v>0</v>
      </c>
      <c r="K47" s="155">
        <v>0</v>
      </c>
      <c r="L47" s="156">
        <v>0</v>
      </c>
      <c r="M47" s="155">
        <v>2</v>
      </c>
      <c r="N47" s="156">
        <v>28951.65</v>
      </c>
      <c r="O47" s="155">
        <v>0</v>
      </c>
      <c r="P47" s="156">
        <v>0</v>
      </c>
      <c r="Q47" s="155">
        <v>0</v>
      </c>
      <c r="R47" s="156">
        <f t="shared" si="2"/>
        <v>0</v>
      </c>
      <c r="S47" s="155">
        <v>2</v>
      </c>
      <c r="T47" s="156">
        <v>28951.65</v>
      </c>
      <c r="U47" s="155">
        <v>0</v>
      </c>
      <c r="V47" s="156">
        <f t="shared" si="3"/>
        <v>0</v>
      </c>
      <c r="W47" s="155">
        <v>0</v>
      </c>
      <c r="X47" s="156">
        <v>0</v>
      </c>
      <c r="Y47" s="155">
        <v>0</v>
      </c>
      <c r="Z47" s="156">
        <v>0</v>
      </c>
      <c r="AA47" s="155">
        <v>0</v>
      </c>
      <c r="AB47" s="156">
        <v>0</v>
      </c>
      <c r="AC47" s="155">
        <v>0</v>
      </c>
      <c r="AD47" s="156">
        <v>0</v>
      </c>
      <c r="AE47" s="155">
        <v>0</v>
      </c>
      <c r="AF47" s="156">
        <v>0</v>
      </c>
      <c r="AG47" s="155">
        <v>0</v>
      </c>
      <c r="AH47" s="156">
        <v>0</v>
      </c>
      <c r="AI47" s="155">
        <v>0</v>
      </c>
      <c r="AJ47" s="156">
        <v>0</v>
      </c>
      <c r="AK47" s="155">
        <v>0</v>
      </c>
      <c r="AL47" s="156">
        <v>0</v>
      </c>
      <c r="AM47" s="155">
        <v>0</v>
      </c>
      <c r="AN47" s="156">
        <v>0</v>
      </c>
      <c r="AO47" s="155">
        <v>4</v>
      </c>
      <c r="AP47" s="156">
        <v>57903.3</v>
      </c>
      <c r="AQ47" s="155">
        <v>0</v>
      </c>
      <c r="AR47" s="156">
        <v>0</v>
      </c>
    </row>
    <row r="48" spans="2:44">
      <c r="B48" s="33" t="s">
        <v>336</v>
      </c>
      <c r="C48" s="33" t="s">
        <v>401</v>
      </c>
      <c r="D48" s="33" t="s">
        <v>402</v>
      </c>
      <c r="E48" s="33" t="s">
        <v>403</v>
      </c>
      <c r="F48" s="154">
        <v>318150</v>
      </c>
      <c r="G48" s="155">
        <v>0</v>
      </c>
      <c r="H48" s="156">
        <v>0</v>
      </c>
      <c r="I48" s="155">
        <v>1</v>
      </c>
      <c r="J48" s="156">
        <v>318150</v>
      </c>
      <c r="K48" s="155">
        <v>0</v>
      </c>
      <c r="L48" s="156">
        <v>0</v>
      </c>
      <c r="M48" s="155">
        <v>0</v>
      </c>
      <c r="N48" s="156">
        <v>0</v>
      </c>
      <c r="O48" s="155">
        <v>0</v>
      </c>
      <c r="P48" s="156">
        <v>0</v>
      </c>
      <c r="Q48" s="155">
        <v>0</v>
      </c>
      <c r="R48" s="156">
        <f t="shared" si="2"/>
        <v>0</v>
      </c>
      <c r="S48" s="155">
        <v>0</v>
      </c>
      <c r="T48" s="156">
        <v>0</v>
      </c>
      <c r="U48" s="155">
        <v>0</v>
      </c>
      <c r="V48" s="156">
        <f t="shared" si="3"/>
        <v>0</v>
      </c>
      <c r="W48" s="155">
        <v>0</v>
      </c>
      <c r="X48" s="156">
        <v>0</v>
      </c>
      <c r="Y48" s="155">
        <v>0</v>
      </c>
      <c r="Z48" s="156">
        <v>0</v>
      </c>
      <c r="AA48" s="155">
        <v>0</v>
      </c>
      <c r="AB48" s="156">
        <v>0</v>
      </c>
      <c r="AC48" s="155">
        <v>0</v>
      </c>
      <c r="AD48" s="156">
        <v>0</v>
      </c>
      <c r="AE48" s="155">
        <v>0</v>
      </c>
      <c r="AF48" s="156">
        <v>0</v>
      </c>
      <c r="AG48" s="155">
        <v>0</v>
      </c>
      <c r="AH48" s="156">
        <v>0</v>
      </c>
      <c r="AI48" s="155">
        <v>0</v>
      </c>
      <c r="AJ48" s="156">
        <v>0</v>
      </c>
      <c r="AK48" s="155">
        <v>0</v>
      </c>
      <c r="AL48" s="156">
        <v>0</v>
      </c>
      <c r="AM48" s="155">
        <v>0</v>
      </c>
      <c r="AN48" s="156">
        <v>0</v>
      </c>
      <c r="AO48" s="155">
        <v>1</v>
      </c>
      <c r="AP48" s="156">
        <v>318150</v>
      </c>
      <c r="AQ48" s="155">
        <v>0</v>
      </c>
      <c r="AR48" s="156">
        <v>0</v>
      </c>
    </row>
    <row r="49" spans="2:44">
      <c r="B49" s="33" t="s">
        <v>404</v>
      </c>
      <c r="C49" s="33" t="s">
        <v>171</v>
      </c>
      <c r="D49" s="33" t="s">
        <v>173</v>
      </c>
      <c r="E49" s="33" t="s">
        <v>152</v>
      </c>
      <c r="F49" s="154">
        <v>1.2726</v>
      </c>
      <c r="G49" s="155">
        <v>106399.15</v>
      </c>
      <c r="H49" s="156">
        <v>135403.55828999999</v>
      </c>
      <c r="I49" s="155">
        <v>0</v>
      </c>
      <c r="J49" s="156">
        <v>0</v>
      </c>
      <c r="K49" s="155">
        <v>106262</v>
      </c>
      <c r="L49" s="156">
        <v>135229.02119999999</v>
      </c>
      <c r="M49" s="155">
        <v>28913</v>
      </c>
      <c r="N49" s="156">
        <v>36794.683799999999</v>
      </c>
      <c r="O49" s="155">
        <v>18134</v>
      </c>
      <c r="P49" s="156">
        <v>23077.328399999999</v>
      </c>
      <c r="Q49" s="155">
        <v>126358.54399999999</v>
      </c>
      <c r="R49" s="156">
        <f t="shared" si="2"/>
        <v>160803.88309439999</v>
      </c>
      <c r="S49" s="155">
        <v>132369</v>
      </c>
      <c r="T49" s="156">
        <v>168452.78940000001</v>
      </c>
      <c r="U49" s="155">
        <v>168448</v>
      </c>
      <c r="V49" s="156">
        <f t="shared" si="3"/>
        <v>214366.92479999998</v>
      </c>
      <c r="W49" s="155">
        <v>21353.58</v>
      </c>
      <c r="X49" s="156">
        <v>27174.565908</v>
      </c>
      <c r="Y49" s="155">
        <v>224832.95</v>
      </c>
      <c r="Z49" s="156">
        <v>286122.41217000003</v>
      </c>
      <c r="AA49" s="155">
        <v>205000</v>
      </c>
      <c r="AB49" s="156">
        <v>260883</v>
      </c>
      <c r="AC49" s="155">
        <v>38874.6</v>
      </c>
      <c r="AD49" s="156">
        <v>49471.81596</v>
      </c>
      <c r="AE49" s="155">
        <v>145141</v>
      </c>
      <c r="AF49" s="156">
        <v>184706.43659999999</v>
      </c>
      <c r="AG49" s="155">
        <v>86146.69</v>
      </c>
      <c r="AH49" s="156">
        <v>109630.277694</v>
      </c>
      <c r="AI49" s="155">
        <v>153378</v>
      </c>
      <c r="AJ49" s="156">
        <v>195188.84280000001</v>
      </c>
      <c r="AK49" s="155">
        <v>19171</v>
      </c>
      <c r="AL49" s="156">
        <v>24397.014599999999</v>
      </c>
      <c r="AM49" s="155">
        <v>35176.26</v>
      </c>
      <c r="AN49" s="156">
        <v>44765.308475999998</v>
      </c>
      <c r="AO49" s="155">
        <v>75793</v>
      </c>
      <c r="AP49" s="156">
        <v>96454.171799999996</v>
      </c>
      <c r="AQ49" s="155">
        <v>271551.19</v>
      </c>
      <c r="AR49" s="156">
        <v>345576.04439400003</v>
      </c>
    </row>
    <row r="50" spans="2:44">
      <c r="B50" s="33" t="s">
        <v>404</v>
      </c>
      <c r="C50" s="33" t="s">
        <v>405</v>
      </c>
      <c r="D50" s="33" t="s">
        <v>406</v>
      </c>
      <c r="E50" s="33" t="s">
        <v>407</v>
      </c>
      <c r="F50" s="154">
        <v>47.47</v>
      </c>
      <c r="G50" s="155">
        <v>115</v>
      </c>
      <c r="H50" s="156">
        <v>5459.05</v>
      </c>
      <c r="I50" s="155">
        <v>0</v>
      </c>
      <c r="J50" s="156">
        <v>0</v>
      </c>
      <c r="K50" s="155">
        <v>85</v>
      </c>
      <c r="L50" s="156">
        <v>4034.95</v>
      </c>
      <c r="M50" s="155">
        <v>9</v>
      </c>
      <c r="N50" s="156">
        <v>427.23</v>
      </c>
      <c r="O50" s="155">
        <v>0</v>
      </c>
      <c r="P50" s="156">
        <v>0</v>
      </c>
      <c r="Q50" s="155">
        <v>599</v>
      </c>
      <c r="R50" s="156">
        <f t="shared" si="2"/>
        <v>28434.53</v>
      </c>
      <c r="S50" s="155">
        <v>191</v>
      </c>
      <c r="T50" s="156">
        <v>9066.77</v>
      </c>
      <c r="U50" s="155">
        <v>768</v>
      </c>
      <c r="V50" s="156">
        <f t="shared" si="3"/>
        <v>36456.959999999999</v>
      </c>
      <c r="W50" s="155">
        <v>43</v>
      </c>
      <c r="X50" s="156">
        <v>2041.21</v>
      </c>
      <c r="Y50" s="155">
        <v>556</v>
      </c>
      <c r="Z50" s="156">
        <v>26393.32</v>
      </c>
      <c r="AA50" s="155">
        <v>315</v>
      </c>
      <c r="AB50" s="156">
        <v>14953.05</v>
      </c>
      <c r="AC50" s="155">
        <v>49</v>
      </c>
      <c r="AD50" s="156">
        <v>2326.0300000000002</v>
      </c>
      <c r="AE50" s="155">
        <v>271</v>
      </c>
      <c r="AF50" s="156">
        <v>12864.37</v>
      </c>
      <c r="AG50" s="155">
        <v>406</v>
      </c>
      <c r="AH50" s="156">
        <v>19272.82</v>
      </c>
      <c r="AI50" s="155">
        <v>658</v>
      </c>
      <c r="AJ50" s="156">
        <v>31235.26</v>
      </c>
      <c r="AK50" s="155">
        <v>71</v>
      </c>
      <c r="AL50" s="156">
        <v>3370.37</v>
      </c>
      <c r="AM50" s="155">
        <v>255</v>
      </c>
      <c r="AN50" s="156">
        <v>12104.85</v>
      </c>
      <c r="AO50" s="155">
        <v>226</v>
      </c>
      <c r="AP50" s="156">
        <v>10728.22</v>
      </c>
      <c r="AQ50" s="155">
        <v>0</v>
      </c>
      <c r="AR50" s="156">
        <v>0</v>
      </c>
    </row>
    <row r="51" spans="2:44">
      <c r="B51" s="33" t="s">
        <v>404</v>
      </c>
      <c r="C51" s="33" t="s">
        <v>408</v>
      </c>
      <c r="D51" s="33" t="s">
        <v>409</v>
      </c>
      <c r="E51" s="33" t="s">
        <v>410</v>
      </c>
      <c r="F51" s="154">
        <v>1.0605</v>
      </c>
      <c r="G51" s="155">
        <v>636</v>
      </c>
      <c r="H51" s="156">
        <v>674.47799999999995</v>
      </c>
      <c r="I51" s="155">
        <v>0</v>
      </c>
      <c r="J51" s="156">
        <v>0</v>
      </c>
      <c r="K51" s="155">
        <v>603</v>
      </c>
      <c r="L51" s="156">
        <v>639.48149999999998</v>
      </c>
      <c r="M51" s="155">
        <v>0</v>
      </c>
      <c r="N51" s="156">
        <v>0</v>
      </c>
      <c r="O51" s="155">
        <v>0</v>
      </c>
      <c r="P51" s="156">
        <v>0</v>
      </c>
      <c r="Q51" s="155">
        <v>0</v>
      </c>
      <c r="R51" s="156">
        <f t="shared" si="2"/>
        <v>0</v>
      </c>
      <c r="S51" s="155">
        <v>4</v>
      </c>
      <c r="T51" s="156">
        <v>4.242</v>
      </c>
      <c r="U51" s="155">
        <v>3000</v>
      </c>
      <c r="V51" s="156">
        <f t="shared" si="3"/>
        <v>3181.5</v>
      </c>
      <c r="W51" s="155">
        <v>0</v>
      </c>
      <c r="X51" s="156">
        <v>0</v>
      </c>
      <c r="Y51" s="155">
        <v>33</v>
      </c>
      <c r="Z51" s="156">
        <v>34.996499999999997</v>
      </c>
      <c r="AA51" s="155">
        <v>1100</v>
      </c>
      <c r="AB51" s="156">
        <v>1166.55</v>
      </c>
      <c r="AC51" s="155">
        <v>0</v>
      </c>
      <c r="AD51" s="156">
        <v>0</v>
      </c>
      <c r="AE51" s="155">
        <v>0</v>
      </c>
      <c r="AF51" s="156">
        <v>0</v>
      </c>
      <c r="AG51" s="155">
        <v>0</v>
      </c>
      <c r="AH51" s="156">
        <v>0</v>
      </c>
      <c r="AI51" s="155">
        <v>1890</v>
      </c>
      <c r="AJ51" s="156">
        <v>2004.345</v>
      </c>
      <c r="AK51" s="155">
        <v>0</v>
      </c>
      <c r="AL51" s="156">
        <v>0</v>
      </c>
      <c r="AM51" s="155">
        <v>0</v>
      </c>
      <c r="AN51" s="156">
        <v>0</v>
      </c>
      <c r="AO51" s="155">
        <v>0</v>
      </c>
      <c r="AP51" s="156">
        <v>0</v>
      </c>
      <c r="AQ51" s="155">
        <v>0</v>
      </c>
      <c r="AR51" s="156">
        <v>0</v>
      </c>
    </row>
    <row r="52" spans="2:44">
      <c r="B52" s="33" t="s">
        <v>404</v>
      </c>
      <c r="C52" s="33" t="s">
        <v>411</v>
      </c>
      <c r="D52" s="33" t="s">
        <v>412</v>
      </c>
      <c r="E52" s="33" t="s">
        <v>413</v>
      </c>
      <c r="F52" s="154">
        <v>37.1175</v>
      </c>
      <c r="G52" s="155">
        <v>509</v>
      </c>
      <c r="H52" s="156">
        <v>18892.807499999999</v>
      </c>
      <c r="I52" s="155">
        <v>0</v>
      </c>
      <c r="J52" s="156">
        <v>0</v>
      </c>
      <c r="K52" s="155">
        <v>482</v>
      </c>
      <c r="L52" s="156">
        <v>17890.634999999998</v>
      </c>
      <c r="M52" s="155">
        <v>200</v>
      </c>
      <c r="N52" s="156">
        <v>7423.5</v>
      </c>
      <c r="O52" s="155">
        <v>0</v>
      </c>
      <c r="P52" s="156">
        <v>0</v>
      </c>
      <c r="Q52" s="155">
        <v>0</v>
      </c>
      <c r="R52" s="156">
        <f t="shared" si="2"/>
        <v>0</v>
      </c>
      <c r="S52" s="155">
        <v>535</v>
      </c>
      <c r="T52" s="156">
        <v>19857.862499999999</v>
      </c>
      <c r="U52" s="155">
        <v>903</v>
      </c>
      <c r="V52" s="156">
        <f t="shared" si="3"/>
        <v>33517.102500000001</v>
      </c>
      <c r="W52" s="155">
        <v>0</v>
      </c>
      <c r="X52" s="156">
        <v>0</v>
      </c>
      <c r="Y52" s="155">
        <v>891</v>
      </c>
      <c r="Z52" s="156">
        <v>33071.692499999997</v>
      </c>
      <c r="AA52" s="155">
        <v>1160</v>
      </c>
      <c r="AB52" s="156">
        <v>43056.3</v>
      </c>
      <c r="AC52" s="155">
        <v>0</v>
      </c>
      <c r="AD52" s="156">
        <v>0</v>
      </c>
      <c r="AE52" s="155">
        <v>122</v>
      </c>
      <c r="AF52" s="156">
        <v>4528.335</v>
      </c>
      <c r="AG52" s="155">
        <v>0</v>
      </c>
      <c r="AH52" s="156">
        <v>0</v>
      </c>
      <c r="AI52" s="155">
        <v>830</v>
      </c>
      <c r="AJ52" s="156">
        <v>30807.525000000001</v>
      </c>
      <c r="AK52" s="155">
        <v>0</v>
      </c>
      <c r="AL52" s="156">
        <v>0</v>
      </c>
      <c r="AM52" s="155">
        <v>0</v>
      </c>
      <c r="AN52" s="156">
        <v>0</v>
      </c>
      <c r="AO52" s="155">
        <v>493</v>
      </c>
      <c r="AP52" s="156">
        <v>18298.927500000002</v>
      </c>
      <c r="AQ52" s="155">
        <v>0</v>
      </c>
      <c r="AR52" s="156">
        <v>0</v>
      </c>
    </row>
    <row r="53" spans="2:44">
      <c r="B53" s="33" t="s">
        <v>404</v>
      </c>
      <c r="C53" s="33" t="s">
        <v>414</v>
      </c>
      <c r="D53" s="33" t="s">
        <v>415</v>
      </c>
      <c r="E53" s="33" t="s">
        <v>224</v>
      </c>
      <c r="F53" s="154">
        <v>42.42</v>
      </c>
      <c r="G53" s="155">
        <v>54</v>
      </c>
      <c r="H53" s="156">
        <v>2290.6799999999998</v>
      </c>
      <c r="I53" s="155">
        <v>0</v>
      </c>
      <c r="J53" s="156">
        <v>0</v>
      </c>
      <c r="K53" s="155">
        <v>30</v>
      </c>
      <c r="L53" s="156">
        <v>1272.5999999999999</v>
      </c>
      <c r="M53" s="155">
        <v>8</v>
      </c>
      <c r="N53" s="156">
        <v>339.36</v>
      </c>
      <c r="O53" s="155">
        <v>0</v>
      </c>
      <c r="P53" s="156">
        <v>0</v>
      </c>
      <c r="Q53" s="155">
        <v>0</v>
      </c>
      <c r="R53" s="156">
        <f t="shared" si="2"/>
        <v>0</v>
      </c>
      <c r="S53" s="155">
        <v>21</v>
      </c>
      <c r="T53" s="156">
        <v>890.82</v>
      </c>
      <c r="U53" s="155">
        <v>72</v>
      </c>
      <c r="V53" s="156">
        <f t="shared" si="3"/>
        <v>3054.2400000000002</v>
      </c>
      <c r="W53" s="155">
        <v>6</v>
      </c>
      <c r="X53" s="156">
        <v>254.52</v>
      </c>
      <c r="Y53" s="155">
        <v>112</v>
      </c>
      <c r="Z53" s="156">
        <v>4751.04</v>
      </c>
      <c r="AA53" s="155">
        <v>152</v>
      </c>
      <c r="AB53" s="156">
        <v>6447.84</v>
      </c>
      <c r="AC53" s="155">
        <v>0</v>
      </c>
      <c r="AD53" s="156">
        <v>0</v>
      </c>
      <c r="AE53" s="155">
        <v>1</v>
      </c>
      <c r="AF53" s="156">
        <v>42.42</v>
      </c>
      <c r="AG53" s="155">
        <v>0</v>
      </c>
      <c r="AH53" s="156">
        <v>0</v>
      </c>
      <c r="AI53" s="155">
        <v>15</v>
      </c>
      <c r="AJ53" s="156">
        <v>636.29999999999995</v>
      </c>
      <c r="AK53" s="155">
        <v>0</v>
      </c>
      <c r="AL53" s="156">
        <v>0</v>
      </c>
      <c r="AM53" s="155">
        <v>22</v>
      </c>
      <c r="AN53" s="156">
        <v>933.24</v>
      </c>
      <c r="AO53" s="155">
        <v>1</v>
      </c>
      <c r="AP53" s="156">
        <v>42.42</v>
      </c>
      <c r="AQ53" s="155">
        <v>0</v>
      </c>
      <c r="AR53" s="156">
        <v>0</v>
      </c>
    </row>
    <row r="54" spans="2:44">
      <c r="B54" s="33" t="s">
        <v>404</v>
      </c>
      <c r="C54" s="33" t="s">
        <v>416</v>
      </c>
      <c r="D54" s="33" t="s">
        <v>417</v>
      </c>
      <c r="E54" s="33" t="s">
        <v>418</v>
      </c>
      <c r="F54" s="154">
        <v>0.32319999999999999</v>
      </c>
      <c r="G54" s="155">
        <v>1478.37</v>
      </c>
      <c r="H54" s="156">
        <v>477.80918400000002</v>
      </c>
      <c r="I54" s="155">
        <v>0</v>
      </c>
      <c r="J54" s="156">
        <v>0</v>
      </c>
      <c r="K54" s="155">
        <v>7262</v>
      </c>
      <c r="L54" s="156">
        <v>2347.0783999999999</v>
      </c>
      <c r="M54" s="155">
        <v>0</v>
      </c>
      <c r="N54" s="156">
        <v>0</v>
      </c>
      <c r="O54" s="155">
        <v>0</v>
      </c>
      <c r="P54" s="156">
        <v>0</v>
      </c>
      <c r="Q54" s="155">
        <v>12060</v>
      </c>
      <c r="R54" s="156">
        <f t="shared" si="2"/>
        <v>3897.7919999999999</v>
      </c>
      <c r="S54" s="155">
        <v>19581</v>
      </c>
      <c r="T54" s="156">
        <v>6328.5792000000001</v>
      </c>
      <c r="U54" s="155">
        <v>33912</v>
      </c>
      <c r="V54" s="156">
        <f t="shared" si="3"/>
        <v>10960.358399999999</v>
      </c>
      <c r="W54" s="155">
        <v>20463.71</v>
      </c>
      <c r="X54" s="156">
        <v>6613.8710719999999</v>
      </c>
      <c r="Y54" s="155">
        <v>1472.29</v>
      </c>
      <c r="Z54" s="156">
        <v>475.84412800000001</v>
      </c>
      <c r="AA54" s="155">
        <v>6800</v>
      </c>
      <c r="AB54" s="156">
        <v>2197.7600000000002</v>
      </c>
      <c r="AC54" s="155">
        <v>24294</v>
      </c>
      <c r="AD54" s="156">
        <v>7851.8208000000004</v>
      </c>
      <c r="AE54" s="155">
        <v>9076</v>
      </c>
      <c r="AF54" s="156">
        <v>2933.3631999999998</v>
      </c>
      <c r="AG54" s="155">
        <v>3077.8</v>
      </c>
      <c r="AH54" s="156">
        <v>994.74495999999999</v>
      </c>
      <c r="AI54" s="155">
        <v>22105</v>
      </c>
      <c r="AJ54" s="156">
        <v>7144.3360000000002</v>
      </c>
      <c r="AK54" s="155">
        <v>7319</v>
      </c>
      <c r="AL54" s="156">
        <v>2365.5007999999998</v>
      </c>
      <c r="AM54" s="155">
        <v>4237</v>
      </c>
      <c r="AN54" s="156">
        <v>1369.3984</v>
      </c>
      <c r="AO54" s="155">
        <v>7775</v>
      </c>
      <c r="AP54" s="156">
        <v>2512.88</v>
      </c>
      <c r="AQ54" s="155">
        <v>0</v>
      </c>
      <c r="AR54" s="156">
        <v>0</v>
      </c>
    </row>
    <row r="55" spans="2:44">
      <c r="B55" s="33" t="s">
        <v>404</v>
      </c>
      <c r="C55" s="33" t="s">
        <v>419</v>
      </c>
      <c r="D55" s="33" t="s">
        <v>420</v>
      </c>
      <c r="E55" s="33" t="s">
        <v>421</v>
      </c>
      <c r="F55" s="154">
        <v>42.42</v>
      </c>
      <c r="G55" s="155">
        <v>10</v>
      </c>
      <c r="H55" s="156">
        <v>424.2</v>
      </c>
      <c r="I55" s="155">
        <v>0</v>
      </c>
      <c r="J55" s="156">
        <v>0</v>
      </c>
      <c r="K55" s="155">
        <v>45</v>
      </c>
      <c r="L55" s="156">
        <v>1908.9</v>
      </c>
      <c r="M55" s="155">
        <v>4</v>
      </c>
      <c r="N55" s="156">
        <v>169.68</v>
      </c>
      <c r="O55" s="155">
        <v>0</v>
      </c>
      <c r="P55" s="156">
        <v>0</v>
      </c>
      <c r="Q55" s="155">
        <v>0</v>
      </c>
      <c r="R55" s="156">
        <f t="shared" si="2"/>
        <v>0</v>
      </c>
      <c r="S55" s="155">
        <v>20</v>
      </c>
      <c r="T55" s="156">
        <v>848.4</v>
      </c>
      <c r="U55" s="155">
        <v>45</v>
      </c>
      <c r="V55" s="156">
        <f t="shared" si="3"/>
        <v>1908.9</v>
      </c>
      <c r="W55" s="155">
        <v>3</v>
      </c>
      <c r="X55" s="156">
        <v>127.26</v>
      </c>
      <c r="Y55" s="155">
        <v>36</v>
      </c>
      <c r="Z55" s="156">
        <v>1527.12</v>
      </c>
      <c r="AA55" s="155">
        <v>4</v>
      </c>
      <c r="AB55" s="156">
        <v>169.68</v>
      </c>
      <c r="AC55" s="155">
        <v>0</v>
      </c>
      <c r="AD55" s="156">
        <v>0</v>
      </c>
      <c r="AE55" s="155">
        <v>111</v>
      </c>
      <c r="AF55" s="156">
        <v>4708.62</v>
      </c>
      <c r="AG55" s="155">
        <v>3</v>
      </c>
      <c r="AH55" s="156">
        <v>127.26</v>
      </c>
      <c r="AI55" s="155">
        <v>25</v>
      </c>
      <c r="AJ55" s="156">
        <v>1060.5</v>
      </c>
      <c r="AK55" s="155">
        <v>0</v>
      </c>
      <c r="AL55" s="156">
        <v>0</v>
      </c>
      <c r="AM55" s="155">
        <v>3</v>
      </c>
      <c r="AN55" s="156">
        <v>127.26</v>
      </c>
      <c r="AO55" s="155">
        <v>2</v>
      </c>
      <c r="AP55" s="156">
        <v>84.84</v>
      </c>
      <c r="AQ55" s="155">
        <v>0</v>
      </c>
      <c r="AR55" s="156">
        <v>0</v>
      </c>
    </row>
    <row r="56" spans="2:44">
      <c r="B56" s="33" t="s">
        <v>404</v>
      </c>
      <c r="C56" s="33" t="s">
        <v>422</v>
      </c>
      <c r="D56" s="33" t="s">
        <v>423</v>
      </c>
      <c r="E56" s="33" t="s">
        <v>407</v>
      </c>
      <c r="F56" s="154">
        <v>47.47</v>
      </c>
      <c r="G56" s="155">
        <v>0</v>
      </c>
      <c r="H56" s="156">
        <v>0</v>
      </c>
      <c r="I56" s="155">
        <v>0</v>
      </c>
      <c r="J56" s="156">
        <v>0</v>
      </c>
      <c r="K56" s="155">
        <v>0</v>
      </c>
      <c r="L56" s="156">
        <v>0</v>
      </c>
      <c r="M56" s="155">
        <v>0</v>
      </c>
      <c r="N56" s="156">
        <v>0</v>
      </c>
      <c r="O56" s="155">
        <v>0</v>
      </c>
      <c r="P56" s="156">
        <v>0</v>
      </c>
      <c r="Q56" s="155">
        <v>0</v>
      </c>
      <c r="R56" s="156">
        <f t="shared" si="2"/>
        <v>0</v>
      </c>
      <c r="S56" s="155">
        <v>0</v>
      </c>
      <c r="T56" s="156">
        <v>0</v>
      </c>
      <c r="U56" s="155">
        <v>6</v>
      </c>
      <c r="V56" s="156">
        <f t="shared" si="3"/>
        <v>284.82</v>
      </c>
      <c r="W56" s="155">
        <v>0</v>
      </c>
      <c r="X56" s="156">
        <v>0</v>
      </c>
      <c r="Y56" s="155">
        <v>2</v>
      </c>
      <c r="Z56" s="156">
        <v>94.94</v>
      </c>
      <c r="AA56" s="155">
        <v>0</v>
      </c>
      <c r="AB56" s="156">
        <v>0</v>
      </c>
      <c r="AC56" s="155">
        <v>0</v>
      </c>
      <c r="AD56" s="156">
        <v>0</v>
      </c>
      <c r="AE56" s="155">
        <v>0</v>
      </c>
      <c r="AF56" s="156">
        <v>0</v>
      </c>
      <c r="AG56" s="155">
        <v>0</v>
      </c>
      <c r="AH56" s="156">
        <v>0</v>
      </c>
      <c r="AI56" s="155">
        <v>0</v>
      </c>
      <c r="AJ56" s="156">
        <v>0</v>
      </c>
      <c r="AK56" s="155">
        <v>0</v>
      </c>
      <c r="AL56" s="156">
        <v>0</v>
      </c>
      <c r="AM56" s="155">
        <v>0</v>
      </c>
      <c r="AN56" s="156">
        <v>0</v>
      </c>
      <c r="AO56" s="155">
        <v>0</v>
      </c>
      <c r="AP56" s="156">
        <v>0</v>
      </c>
      <c r="AQ56" s="155">
        <v>0</v>
      </c>
      <c r="AR56" s="156">
        <v>0</v>
      </c>
    </row>
    <row r="57" spans="2:44">
      <c r="B57" s="33" t="s">
        <v>404</v>
      </c>
      <c r="C57" s="33" t="s">
        <v>424</v>
      </c>
      <c r="D57" s="33" t="s">
        <v>425</v>
      </c>
      <c r="E57" s="33" t="s">
        <v>426</v>
      </c>
      <c r="F57" s="154">
        <v>132.5625</v>
      </c>
      <c r="G57" s="155">
        <v>39</v>
      </c>
      <c r="H57" s="156">
        <v>5169.9375</v>
      </c>
      <c r="I57" s="155">
        <v>0</v>
      </c>
      <c r="J57" s="156">
        <v>0</v>
      </c>
      <c r="K57" s="155">
        <v>82</v>
      </c>
      <c r="L57" s="156">
        <v>10870.125</v>
      </c>
      <c r="M57" s="155">
        <v>8</v>
      </c>
      <c r="N57" s="156">
        <v>1060.5</v>
      </c>
      <c r="O57" s="155">
        <v>0</v>
      </c>
      <c r="P57" s="156">
        <v>0</v>
      </c>
      <c r="Q57" s="155">
        <v>107</v>
      </c>
      <c r="R57" s="156">
        <f t="shared" si="2"/>
        <v>14184.1875</v>
      </c>
      <c r="S57" s="155">
        <v>69</v>
      </c>
      <c r="T57" s="156">
        <v>9146.8125</v>
      </c>
      <c r="U57" s="155">
        <v>8</v>
      </c>
      <c r="V57" s="156">
        <f t="shared" si="3"/>
        <v>1060.5</v>
      </c>
      <c r="W57" s="155">
        <v>8</v>
      </c>
      <c r="X57" s="156">
        <v>1060.5</v>
      </c>
      <c r="Y57" s="155">
        <v>14</v>
      </c>
      <c r="Z57" s="156">
        <v>1855.875</v>
      </c>
      <c r="AA57" s="155">
        <v>24</v>
      </c>
      <c r="AB57" s="156">
        <v>3181.5</v>
      </c>
      <c r="AC57" s="155">
        <v>2</v>
      </c>
      <c r="AD57" s="156">
        <v>265.125</v>
      </c>
      <c r="AE57" s="155">
        <v>2</v>
      </c>
      <c r="AF57" s="156">
        <v>265.125</v>
      </c>
      <c r="AG57" s="155">
        <v>0</v>
      </c>
      <c r="AH57" s="156">
        <v>0</v>
      </c>
      <c r="AI57" s="155">
        <v>53</v>
      </c>
      <c r="AJ57" s="156">
        <v>7025.8125</v>
      </c>
      <c r="AK57" s="155">
        <v>0</v>
      </c>
      <c r="AL57" s="156">
        <v>0</v>
      </c>
      <c r="AM57" s="155">
        <v>0</v>
      </c>
      <c r="AN57" s="156">
        <v>0</v>
      </c>
      <c r="AO57" s="155">
        <v>16</v>
      </c>
      <c r="AP57" s="156">
        <v>2121</v>
      </c>
      <c r="AQ57" s="155">
        <v>0</v>
      </c>
      <c r="AR57" s="156">
        <v>0</v>
      </c>
    </row>
    <row r="58" spans="2:44">
      <c r="B58" s="33" t="s">
        <v>404</v>
      </c>
      <c r="C58" s="33" t="s">
        <v>427</v>
      </c>
      <c r="D58" s="33" t="s">
        <v>428</v>
      </c>
      <c r="E58" s="33" t="s">
        <v>429</v>
      </c>
      <c r="F58" s="154">
        <v>636.29999999999995</v>
      </c>
      <c r="G58" s="155">
        <v>11</v>
      </c>
      <c r="H58" s="156">
        <v>6999.3</v>
      </c>
      <c r="I58" s="155">
        <v>0</v>
      </c>
      <c r="J58" s="156">
        <v>0</v>
      </c>
      <c r="K58" s="155">
        <v>12</v>
      </c>
      <c r="L58" s="156">
        <v>7635.6</v>
      </c>
      <c r="M58" s="155">
        <v>3</v>
      </c>
      <c r="N58" s="156">
        <v>1908.9</v>
      </c>
      <c r="O58" s="155">
        <v>0</v>
      </c>
      <c r="P58" s="156">
        <v>0</v>
      </c>
      <c r="Q58" s="155">
        <v>21</v>
      </c>
      <c r="R58" s="156">
        <f t="shared" si="2"/>
        <v>13362.3</v>
      </c>
      <c r="S58" s="155">
        <v>17</v>
      </c>
      <c r="T58" s="156">
        <v>10817.1</v>
      </c>
      <c r="U58" s="155">
        <v>19</v>
      </c>
      <c r="V58" s="156">
        <f t="shared" si="3"/>
        <v>12089.699999999999</v>
      </c>
      <c r="W58" s="155">
        <v>1</v>
      </c>
      <c r="X58" s="156">
        <v>636.29999999999995</v>
      </c>
      <c r="Y58" s="155">
        <v>31</v>
      </c>
      <c r="Z58" s="156">
        <v>19725.3</v>
      </c>
      <c r="AA58" s="155">
        <v>20</v>
      </c>
      <c r="AB58" s="156">
        <v>12726</v>
      </c>
      <c r="AC58" s="155">
        <v>2</v>
      </c>
      <c r="AD58" s="156">
        <v>1272.5999999999999</v>
      </c>
      <c r="AE58" s="155">
        <v>19</v>
      </c>
      <c r="AF58" s="156">
        <v>12089.7</v>
      </c>
      <c r="AG58" s="155">
        <v>8</v>
      </c>
      <c r="AH58" s="156">
        <v>5090.3999999999996</v>
      </c>
      <c r="AI58" s="155">
        <v>21</v>
      </c>
      <c r="AJ58" s="156">
        <v>13362.3</v>
      </c>
      <c r="AK58" s="155">
        <v>0</v>
      </c>
      <c r="AL58" s="156">
        <v>0</v>
      </c>
      <c r="AM58" s="155">
        <v>3</v>
      </c>
      <c r="AN58" s="156">
        <v>1908.9</v>
      </c>
      <c r="AO58" s="155">
        <v>9</v>
      </c>
      <c r="AP58" s="156">
        <v>5726.7</v>
      </c>
      <c r="AQ58" s="155">
        <v>0</v>
      </c>
      <c r="AR58" s="156">
        <v>0</v>
      </c>
    </row>
    <row r="59" spans="2:44">
      <c r="B59" s="33" t="s">
        <v>404</v>
      </c>
      <c r="C59" s="33" t="s">
        <v>175</v>
      </c>
      <c r="D59" s="33" t="s">
        <v>176</v>
      </c>
      <c r="E59" s="33" t="s">
        <v>177</v>
      </c>
      <c r="F59" s="154">
        <v>424.2</v>
      </c>
      <c r="G59" s="155">
        <v>7</v>
      </c>
      <c r="H59" s="156">
        <v>2969.4</v>
      </c>
      <c r="I59" s="155">
        <v>0</v>
      </c>
      <c r="J59" s="156">
        <v>0</v>
      </c>
      <c r="K59" s="155">
        <v>12</v>
      </c>
      <c r="L59" s="156">
        <v>5090.3999999999996</v>
      </c>
      <c r="M59" s="155">
        <v>1</v>
      </c>
      <c r="N59" s="156">
        <v>424.2</v>
      </c>
      <c r="O59" s="155">
        <v>1</v>
      </c>
      <c r="P59" s="156">
        <v>424.2</v>
      </c>
      <c r="Q59" s="155">
        <v>15</v>
      </c>
      <c r="R59" s="156">
        <f t="shared" si="2"/>
        <v>6363</v>
      </c>
      <c r="S59" s="155">
        <v>8</v>
      </c>
      <c r="T59" s="156">
        <v>3393.6</v>
      </c>
      <c r="U59" s="155">
        <v>23</v>
      </c>
      <c r="V59" s="156">
        <f t="shared" si="3"/>
        <v>9756.6</v>
      </c>
      <c r="W59" s="155">
        <v>5</v>
      </c>
      <c r="X59" s="156">
        <v>2121</v>
      </c>
      <c r="Y59" s="155">
        <v>17</v>
      </c>
      <c r="Z59" s="156">
        <v>7211.4</v>
      </c>
      <c r="AA59" s="155">
        <v>5</v>
      </c>
      <c r="AB59" s="156">
        <v>2121</v>
      </c>
      <c r="AC59" s="155">
        <v>0</v>
      </c>
      <c r="AD59" s="156">
        <v>0</v>
      </c>
      <c r="AE59" s="155">
        <v>17</v>
      </c>
      <c r="AF59" s="156">
        <v>7211.4</v>
      </c>
      <c r="AG59" s="155">
        <v>16</v>
      </c>
      <c r="AH59" s="156">
        <v>6787.2</v>
      </c>
      <c r="AI59" s="155">
        <v>30</v>
      </c>
      <c r="AJ59" s="156">
        <v>12726</v>
      </c>
      <c r="AK59" s="155">
        <v>5</v>
      </c>
      <c r="AL59" s="156">
        <v>2121</v>
      </c>
      <c r="AM59" s="155">
        <v>1</v>
      </c>
      <c r="AN59" s="156">
        <v>424.2</v>
      </c>
      <c r="AO59" s="155">
        <v>10</v>
      </c>
      <c r="AP59" s="156">
        <v>4242</v>
      </c>
      <c r="AQ59" s="155">
        <v>0</v>
      </c>
      <c r="AR59" s="156">
        <v>0</v>
      </c>
    </row>
    <row r="60" spans="2:44">
      <c r="B60" s="33" t="s">
        <v>404</v>
      </c>
      <c r="C60" s="33" t="s">
        <v>430</v>
      </c>
      <c r="D60" s="33" t="s">
        <v>431</v>
      </c>
      <c r="E60" s="33" t="s">
        <v>432</v>
      </c>
      <c r="F60" s="154">
        <v>2121</v>
      </c>
      <c r="G60" s="155">
        <v>1</v>
      </c>
      <c r="H60" s="156">
        <v>2121</v>
      </c>
      <c r="I60" s="155">
        <v>0</v>
      </c>
      <c r="J60" s="156">
        <v>0</v>
      </c>
      <c r="K60" s="155">
        <v>0</v>
      </c>
      <c r="L60" s="156">
        <v>0</v>
      </c>
      <c r="M60" s="155">
        <v>0</v>
      </c>
      <c r="N60" s="156">
        <v>0</v>
      </c>
      <c r="O60" s="155">
        <v>0</v>
      </c>
      <c r="P60" s="156">
        <v>0</v>
      </c>
      <c r="Q60" s="155">
        <v>3</v>
      </c>
      <c r="R60" s="156">
        <f t="shared" si="2"/>
        <v>6363</v>
      </c>
      <c r="S60" s="155">
        <v>0</v>
      </c>
      <c r="T60" s="156">
        <v>0</v>
      </c>
      <c r="U60" s="155">
        <v>3</v>
      </c>
      <c r="V60" s="156">
        <f t="shared" si="3"/>
        <v>6363</v>
      </c>
      <c r="W60" s="155">
        <v>0</v>
      </c>
      <c r="X60" s="156">
        <v>0</v>
      </c>
      <c r="Y60" s="155">
        <v>2</v>
      </c>
      <c r="Z60" s="156">
        <v>4242</v>
      </c>
      <c r="AA60" s="155">
        <v>3</v>
      </c>
      <c r="AB60" s="156">
        <v>6363</v>
      </c>
      <c r="AC60" s="155">
        <v>0</v>
      </c>
      <c r="AD60" s="156">
        <v>0</v>
      </c>
      <c r="AE60" s="155">
        <v>1</v>
      </c>
      <c r="AF60" s="156">
        <v>2121</v>
      </c>
      <c r="AG60" s="155">
        <v>0</v>
      </c>
      <c r="AH60" s="156">
        <v>0</v>
      </c>
      <c r="AI60" s="155">
        <v>3</v>
      </c>
      <c r="AJ60" s="156">
        <v>6363</v>
      </c>
      <c r="AK60" s="155">
        <v>0</v>
      </c>
      <c r="AL60" s="156">
        <v>0</v>
      </c>
      <c r="AM60" s="155">
        <v>0</v>
      </c>
      <c r="AN60" s="156">
        <v>0</v>
      </c>
      <c r="AO60" s="155">
        <v>0</v>
      </c>
      <c r="AP60" s="156">
        <v>0</v>
      </c>
      <c r="AQ60" s="155">
        <v>1</v>
      </c>
      <c r="AR60" s="156">
        <v>2121</v>
      </c>
    </row>
    <row r="61" spans="2:44">
      <c r="B61" s="33" t="s">
        <v>404</v>
      </c>
      <c r="C61" s="33" t="s">
        <v>430</v>
      </c>
      <c r="D61" s="33" t="s">
        <v>433</v>
      </c>
      <c r="E61" s="33" t="s">
        <v>432</v>
      </c>
      <c r="F61" s="154">
        <v>1908.9</v>
      </c>
      <c r="G61" s="155">
        <v>1</v>
      </c>
      <c r="H61" s="156">
        <v>1908.9</v>
      </c>
      <c r="I61" s="155">
        <v>0</v>
      </c>
      <c r="J61" s="156">
        <v>0</v>
      </c>
      <c r="K61" s="155">
        <v>2</v>
      </c>
      <c r="L61" s="156">
        <v>3817.8</v>
      </c>
      <c r="M61" s="155">
        <v>4</v>
      </c>
      <c r="N61" s="156">
        <v>7635.6</v>
      </c>
      <c r="O61" s="155">
        <v>0</v>
      </c>
      <c r="P61" s="156">
        <v>0</v>
      </c>
      <c r="Q61" s="155">
        <v>9</v>
      </c>
      <c r="R61" s="156">
        <f t="shared" si="2"/>
        <v>17180.100000000002</v>
      </c>
      <c r="S61" s="155">
        <v>8</v>
      </c>
      <c r="T61" s="156">
        <v>15271.2</v>
      </c>
      <c r="U61" s="155">
        <v>2</v>
      </c>
      <c r="V61" s="156">
        <f t="shared" si="3"/>
        <v>3817.8</v>
      </c>
      <c r="W61" s="155">
        <v>0</v>
      </c>
      <c r="X61" s="156">
        <v>0</v>
      </c>
      <c r="Y61" s="155">
        <v>9</v>
      </c>
      <c r="Z61" s="156">
        <v>17180.099999999999</v>
      </c>
      <c r="AA61" s="155">
        <v>3</v>
      </c>
      <c r="AB61" s="156">
        <v>5726.7</v>
      </c>
      <c r="AC61" s="155">
        <v>1</v>
      </c>
      <c r="AD61" s="156">
        <v>1908.9</v>
      </c>
      <c r="AE61" s="155">
        <v>9</v>
      </c>
      <c r="AF61" s="156">
        <v>17180.099999999999</v>
      </c>
      <c r="AG61" s="155">
        <v>5</v>
      </c>
      <c r="AH61" s="156">
        <v>9544.5</v>
      </c>
      <c r="AI61" s="155">
        <v>5</v>
      </c>
      <c r="AJ61" s="156">
        <v>9544.5</v>
      </c>
      <c r="AK61" s="155">
        <v>1</v>
      </c>
      <c r="AL61" s="156">
        <v>1908.9</v>
      </c>
      <c r="AM61" s="155">
        <v>4</v>
      </c>
      <c r="AN61" s="156">
        <v>7635.6</v>
      </c>
      <c r="AO61" s="155">
        <v>1</v>
      </c>
      <c r="AP61" s="156">
        <v>1908.9</v>
      </c>
      <c r="AQ61" s="155">
        <v>9</v>
      </c>
      <c r="AR61" s="156">
        <v>17180.099999999999</v>
      </c>
    </row>
    <row r="62" spans="2:44">
      <c r="B62" s="33" t="s">
        <v>404</v>
      </c>
      <c r="C62" s="33" t="s">
        <v>430</v>
      </c>
      <c r="D62" s="33" t="s">
        <v>434</v>
      </c>
      <c r="E62" s="33" t="s">
        <v>432</v>
      </c>
      <c r="F62" s="154">
        <v>2651.25</v>
      </c>
      <c r="G62" s="155">
        <v>1</v>
      </c>
      <c r="H62" s="156">
        <v>2651.25</v>
      </c>
      <c r="I62" s="155">
        <v>0</v>
      </c>
      <c r="J62" s="156">
        <v>0</v>
      </c>
      <c r="K62" s="155">
        <v>4</v>
      </c>
      <c r="L62" s="156">
        <v>10605</v>
      </c>
      <c r="M62" s="155">
        <v>0</v>
      </c>
      <c r="N62" s="156">
        <v>0</v>
      </c>
      <c r="O62" s="155">
        <v>0</v>
      </c>
      <c r="P62" s="156">
        <v>0</v>
      </c>
      <c r="Q62" s="155">
        <v>2</v>
      </c>
      <c r="R62" s="156">
        <f t="shared" si="2"/>
        <v>5302.5</v>
      </c>
      <c r="S62" s="155">
        <v>0</v>
      </c>
      <c r="T62" s="156">
        <v>0</v>
      </c>
      <c r="U62" s="155">
        <v>4</v>
      </c>
      <c r="V62" s="156">
        <f t="shared" si="3"/>
        <v>10605</v>
      </c>
      <c r="W62" s="155">
        <v>0</v>
      </c>
      <c r="X62" s="156">
        <v>0</v>
      </c>
      <c r="Y62" s="155">
        <v>1</v>
      </c>
      <c r="Z62" s="156">
        <v>2651.25</v>
      </c>
      <c r="AA62" s="155">
        <v>2</v>
      </c>
      <c r="AB62" s="156">
        <v>5302.5</v>
      </c>
      <c r="AC62" s="155">
        <v>0</v>
      </c>
      <c r="AD62" s="156">
        <v>0</v>
      </c>
      <c r="AE62" s="155">
        <v>4</v>
      </c>
      <c r="AF62" s="156">
        <v>10605</v>
      </c>
      <c r="AG62" s="155">
        <v>1</v>
      </c>
      <c r="AH62" s="156">
        <v>2651.25</v>
      </c>
      <c r="AI62" s="155">
        <v>1</v>
      </c>
      <c r="AJ62" s="156">
        <v>2651.25</v>
      </c>
      <c r="AK62" s="155">
        <v>0</v>
      </c>
      <c r="AL62" s="156">
        <v>0</v>
      </c>
      <c r="AM62" s="155">
        <v>0</v>
      </c>
      <c r="AN62" s="156">
        <v>0</v>
      </c>
      <c r="AO62" s="155">
        <v>2</v>
      </c>
      <c r="AP62" s="156">
        <v>5302.5</v>
      </c>
      <c r="AQ62" s="155">
        <v>2</v>
      </c>
      <c r="AR62" s="156">
        <v>5302.5</v>
      </c>
    </row>
    <row r="63" spans="2:44">
      <c r="B63" s="33" t="s">
        <v>404</v>
      </c>
      <c r="C63" s="33" t="s">
        <v>435</v>
      </c>
      <c r="D63" s="33" t="s">
        <v>436</v>
      </c>
      <c r="E63" s="33" t="s">
        <v>437</v>
      </c>
      <c r="F63" s="154">
        <v>18028.5</v>
      </c>
      <c r="G63" s="155">
        <v>0</v>
      </c>
      <c r="H63" s="156">
        <v>0</v>
      </c>
      <c r="I63" s="155">
        <v>0</v>
      </c>
      <c r="J63" s="156">
        <v>0</v>
      </c>
      <c r="K63" s="155">
        <v>0</v>
      </c>
      <c r="L63" s="156">
        <v>0</v>
      </c>
      <c r="M63" s="155">
        <v>0</v>
      </c>
      <c r="N63" s="156">
        <v>0</v>
      </c>
      <c r="O63" s="155">
        <v>0</v>
      </c>
      <c r="P63" s="156">
        <v>0</v>
      </c>
      <c r="Q63" s="155">
        <v>0</v>
      </c>
      <c r="R63" s="156">
        <f t="shared" si="2"/>
        <v>0</v>
      </c>
      <c r="S63" s="155">
        <v>0</v>
      </c>
      <c r="T63" s="156">
        <v>0</v>
      </c>
      <c r="U63" s="155">
        <v>0</v>
      </c>
      <c r="V63" s="156">
        <f t="shared" si="3"/>
        <v>0</v>
      </c>
      <c r="W63" s="155">
        <v>0</v>
      </c>
      <c r="X63" s="156">
        <v>0</v>
      </c>
      <c r="Y63" s="155">
        <v>0</v>
      </c>
      <c r="Z63" s="156">
        <v>0</v>
      </c>
      <c r="AA63" s="155">
        <v>0</v>
      </c>
      <c r="AB63" s="156">
        <v>0</v>
      </c>
      <c r="AC63" s="155">
        <v>0</v>
      </c>
      <c r="AD63" s="156">
        <v>0</v>
      </c>
      <c r="AE63" s="155">
        <v>0</v>
      </c>
      <c r="AF63" s="156">
        <v>0</v>
      </c>
      <c r="AG63" s="155">
        <v>0</v>
      </c>
      <c r="AH63" s="156">
        <v>0</v>
      </c>
      <c r="AI63" s="155">
        <v>0</v>
      </c>
      <c r="AJ63" s="156">
        <v>0</v>
      </c>
      <c r="AK63" s="155">
        <v>0</v>
      </c>
      <c r="AL63" s="156">
        <v>0</v>
      </c>
      <c r="AM63" s="155">
        <v>0</v>
      </c>
      <c r="AN63" s="156">
        <v>0</v>
      </c>
      <c r="AO63" s="155">
        <v>0</v>
      </c>
      <c r="AP63" s="156">
        <v>0</v>
      </c>
      <c r="AQ63" s="155">
        <v>0</v>
      </c>
      <c r="AR63" s="156">
        <v>0</v>
      </c>
    </row>
    <row r="64" spans="2:44">
      <c r="B64" s="33" t="s">
        <v>404</v>
      </c>
      <c r="C64" s="33" t="s">
        <v>435</v>
      </c>
      <c r="D64" s="33" t="s">
        <v>438</v>
      </c>
      <c r="E64" s="33" t="s">
        <v>432</v>
      </c>
      <c r="F64" s="154">
        <v>2439.15</v>
      </c>
      <c r="G64" s="155">
        <v>1</v>
      </c>
      <c r="H64" s="156">
        <v>2439.15</v>
      </c>
      <c r="I64" s="155">
        <v>0</v>
      </c>
      <c r="J64" s="156">
        <v>0</v>
      </c>
      <c r="K64" s="155">
        <v>0</v>
      </c>
      <c r="L64" s="156">
        <v>0</v>
      </c>
      <c r="M64" s="155">
        <v>1</v>
      </c>
      <c r="N64" s="156">
        <v>2439.15</v>
      </c>
      <c r="O64" s="155">
        <v>0</v>
      </c>
      <c r="P64" s="156">
        <v>0</v>
      </c>
      <c r="Q64" s="155">
        <v>0</v>
      </c>
      <c r="R64" s="156">
        <f t="shared" si="2"/>
        <v>0</v>
      </c>
      <c r="S64" s="155">
        <v>1</v>
      </c>
      <c r="T64" s="156">
        <v>2439.15</v>
      </c>
      <c r="U64" s="155">
        <v>0</v>
      </c>
      <c r="V64" s="156">
        <f t="shared" si="3"/>
        <v>0</v>
      </c>
      <c r="W64" s="155">
        <v>0</v>
      </c>
      <c r="X64" s="156">
        <v>0</v>
      </c>
      <c r="Y64" s="155">
        <v>1</v>
      </c>
      <c r="Z64" s="156">
        <v>2439.15</v>
      </c>
      <c r="AA64" s="155">
        <v>1</v>
      </c>
      <c r="AB64" s="156">
        <v>2439.15</v>
      </c>
      <c r="AC64" s="155">
        <v>0</v>
      </c>
      <c r="AD64" s="156">
        <v>0</v>
      </c>
      <c r="AE64" s="155">
        <v>0</v>
      </c>
      <c r="AF64" s="156">
        <v>0</v>
      </c>
      <c r="AG64" s="155">
        <v>0</v>
      </c>
      <c r="AH64" s="156">
        <v>0</v>
      </c>
      <c r="AI64" s="155">
        <v>1</v>
      </c>
      <c r="AJ64" s="156">
        <v>2439.15</v>
      </c>
      <c r="AK64" s="155">
        <v>0</v>
      </c>
      <c r="AL64" s="156">
        <v>0</v>
      </c>
      <c r="AM64" s="155">
        <v>0</v>
      </c>
      <c r="AN64" s="156">
        <v>0</v>
      </c>
      <c r="AO64" s="155">
        <v>1</v>
      </c>
      <c r="AP64" s="156">
        <v>2439.15</v>
      </c>
      <c r="AQ64" s="155">
        <v>0</v>
      </c>
      <c r="AR64" s="156">
        <v>0</v>
      </c>
    </row>
    <row r="65" spans="2:44">
      <c r="B65" s="33" t="s">
        <v>404</v>
      </c>
      <c r="C65" s="33" t="s">
        <v>439</v>
      </c>
      <c r="D65" s="33" t="s">
        <v>440</v>
      </c>
      <c r="E65" s="33" t="s">
        <v>441</v>
      </c>
      <c r="F65" s="154">
        <v>1590.75</v>
      </c>
      <c r="G65" s="155">
        <v>0</v>
      </c>
      <c r="H65" s="156">
        <v>0</v>
      </c>
      <c r="I65" s="155">
        <v>0</v>
      </c>
      <c r="J65" s="156">
        <v>0</v>
      </c>
      <c r="K65" s="155">
        <v>4</v>
      </c>
      <c r="L65" s="156">
        <v>6363</v>
      </c>
      <c r="M65" s="155">
        <v>0</v>
      </c>
      <c r="N65" s="156">
        <v>0</v>
      </c>
      <c r="O65" s="155">
        <v>0</v>
      </c>
      <c r="P65" s="156">
        <v>0</v>
      </c>
      <c r="Q65" s="155">
        <v>2</v>
      </c>
      <c r="R65" s="156">
        <f t="shared" si="2"/>
        <v>3181.5</v>
      </c>
      <c r="S65" s="155">
        <v>1</v>
      </c>
      <c r="T65" s="156">
        <v>1590.75</v>
      </c>
      <c r="U65" s="155">
        <v>12</v>
      </c>
      <c r="V65" s="156">
        <f t="shared" si="3"/>
        <v>19089</v>
      </c>
      <c r="W65" s="155">
        <v>0</v>
      </c>
      <c r="X65" s="156">
        <v>0</v>
      </c>
      <c r="Y65" s="155">
        <v>2</v>
      </c>
      <c r="Z65" s="156">
        <v>3181.5</v>
      </c>
      <c r="AA65" s="155">
        <v>5</v>
      </c>
      <c r="AB65" s="156">
        <v>7953.75</v>
      </c>
      <c r="AC65" s="155">
        <v>0</v>
      </c>
      <c r="AD65" s="156">
        <v>0</v>
      </c>
      <c r="AE65" s="155">
        <v>3</v>
      </c>
      <c r="AF65" s="156">
        <v>4772.25</v>
      </c>
      <c r="AG65" s="155">
        <v>1</v>
      </c>
      <c r="AH65" s="156">
        <v>1590.75</v>
      </c>
      <c r="AI65" s="155">
        <v>4</v>
      </c>
      <c r="AJ65" s="156">
        <v>6363</v>
      </c>
      <c r="AK65" s="155">
        <v>0</v>
      </c>
      <c r="AL65" s="156">
        <v>0</v>
      </c>
      <c r="AM65" s="155">
        <v>0</v>
      </c>
      <c r="AN65" s="156">
        <v>0</v>
      </c>
      <c r="AO65" s="155">
        <v>3</v>
      </c>
      <c r="AP65" s="156">
        <v>4772.25</v>
      </c>
      <c r="AQ65" s="155">
        <v>0</v>
      </c>
      <c r="AR65" s="156">
        <v>0</v>
      </c>
    </row>
    <row r="66" spans="2:44">
      <c r="B66" s="33" t="s">
        <v>404</v>
      </c>
      <c r="C66" s="33" t="s">
        <v>439</v>
      </c>
      <c r="D66" s="33" t="s">
        <v>442</v>
      </c>
      <c r="E66" s="33" t="s">
        <v>441</v>
      </c>
      <c r="F66" s="154">
        <v>1272.5999999999999</v>
      </c>
      <c r="G66" s="155">
        <v>8</v>
      </c>
      <c r="H66" s="156">
        <v>10180.799999999999</v>
      </c>
      <c r="I66" s="155">
        <v>0</v>
      </c>
      <c r="J66" s="156">
        <v>0</v>
      </c>
      <c r="K66" s="155">
        <v>15</v>
      </c>
      <c r="L66" s="156">
        <v>19089</v>
      </c>
      <c r="M66" s="155">
        <v>0</v>
      </c>
      <c r="N66" s="156">
        <v>0</v>
      </c>
      <c r="O66" s="155">
        <v>0</v>
      </c>
      <c r="P66" s="156">
        <v>0</v>
      </c>
      <c r="Q66" s="155">
        <v>14</v>
      </c>
      <c r="R66" s="156">
        <f t="shared" si="2"/>
        <v>17816.399999999998</v>
      </c>
      <c r="S66" s="155">
        <v>21</v>
      </c>
      <c r="T66" s="156">
        <v>26724.6</v>
      </c>
      <c r="U66" s="155">
        <v>13</v>
      </c>
      <c r="V66" s="156">
        <f t="shared" si="3"/>
        <v>16543.8</v>
      </c>
      <c r="W66" s="155">
        <v>1</v>
      </c>
      <c r="X66" s="156">
        <v>1272.5999999999999</v>
      </c>
      <c r="Y66" s="155">
        <v>19</v>
      </c>
      <c r="Z66" s="156">
        <v>24179.4</v>
      </c>
      <c r="AA66" s="155">
        <v>8</v>
      </c>
      <c r="AB66" s="156">
        <v>10180.799999999999</v>
      </c>
      <c r="AC66" s="155">
        <v>2</v>
      </c>
      <c r="AD66" s="156">
        <v>2545.1999999999998</v>
      </c>
      <c r="AE66" s="155">
        <v>27</v>
      </c>
      <c r="AF66" s="156">
        <v>34360.199999999997</v>
      </c>
      <c r="AG66" s="155">
        <v>16</v>
      </c>
      <c r="AH66" s="156">
        <v>20361.599999999999</v>
      </c>
      <c r="AI66" s="155">
        <v>20</v>
      </c>
      <c r="AJ66" s="156">
        <v>25452</v>
      </c>
      <c r="AK66" s="155">
        <v>2</v>
      </c>
      <c r="AL66" s="156">
        <v>2545.1999999999998</v>
      </c>
      <c r="AM66" s="155">
        <v>3</v>
      </c>
      <c r="AN66" s="156">
        <v>3817.8</v>
      </c>
      <c r="AO66" s="155">
        <v>6</v>
      </c>
      <c r="AP66" s="156">
        <v>7635.6</v>
      </c>
      <c r="AQ66" s="155">
        <v>0</v>
      </c>
      <c r="AR66" s="156">
        <v>0</v>
      </c>
    </row>
    <row r="67" spans="2:44">
      <c r="B67" s="33" t="s">
        <v>404</v>
      </c>
      <c r="C67" s="33" t="s">
        <v>439</v>
      </c>
      <c r="D67" s="33" t="s">
        <v>443</v>
      </c>
      <c r="E67" s="33" t="s">
        <v>441</v>
      </c>
      <c r="F67" s="154">
        <v>1590.75</v>
      </c>
      <c r="G67" s="155">
        <v>5</v>
      </c>
      <c r="H67" s="156">
        <v>7953.75</v>
      </c>
      <c r="I67" s="155">
        <v>0</v>
      </c>
      <c r="J67" s="156">
        <v>0</v>
      </c>
      <c r="K67" s="155">
        <v>1</v>
      </c>
      <c r="L67" s="156">
        <v>1590.75</v>
      </c>
      <c r="M67" s="155">
        <v>0</v>
      </c>
      <c r="N67" s="156">
        <v>0</v>
      </c>
      <c r="O67" s="155">
        <v>0</v>
      </c>
      <c r="P67" s="156">
        <v>0</v>
      </c>
      <c r="Q67" s="155">
        <v>7</v>
      </c>
      <c r="R67" s="156">
        <f t="shared" si="2"/>
        <v>11135.25</v>
      </c>
      <c r="S67" s="155">
        <v>2</v>
      </c>
      <c r="T67" s="156">
        <v>3181.5</v>
      </c>
      <c r="U67" s="155">
        <v>3</v>
      </c>
      <c r="V67" s="156">
        <f t="shared" si="3"/>
        <v>4772.25</v>
      </c>
      <c r="W67" s="155">
        <v>0</v>
      </c>
      <c r="X67" s="156">
        <v>0</v>
      </c>
      <c r="Y67" s="155">
        <v>1</v>
      </c>
      <c r="Z67" s="156">
        <v>1590.75</v>
      </c>
      <c r="AA67" s="155">
        <v>5</v>
      </c>
      <c r="AB67" s="156">
        <v>7953.75</v>
      </c>
      <c r="AC67" s="155">
        <v>0</v>
      </c>
      <c r="AD67" s="156">
        <v>0</v>
      </c>
      <c r="AE67" s="155">
        <v>2</v>
      </c>
      <c r="AF67" s="156">
        <v>3181.5</v>
      </c>
      <c r="AG67" s="155">
        <v>2</v>
      </c>
      <c r="AH67" s="156">
        <v>3181.5</v>
      </c>
      <c r="AI67" s="155">
        <v>0</v>
      </c>
      <c r="AJ67" s="156">
        <v>0</v>
      </c>
      <c r="AK67" s="155">
        <v>0</v>
      </c>
      <c r="AL67" s="156">
        <v>0</v>
      </c>
      <c r="AM67" s="155">
        <v>0</v>
      </c>
      <c r="AN67" s="156">
        <v>0</v>
      </c>
      <c r="AO67" s="155">
        <v>3</v>
      </c>
      <c r="AP67" s="156">
        <v>4772.25</v>
      </c>
      <c r="AQ67" s="155">
        <v>0</v>
      </c>
      <c r="AR67" s="156">
        <v>0</v>
      </c>
    </row>
    <row r="68" spans="2:44">
      <c r="B68" s="33" t="s">
        <v>404</v>
      </c>
      <c r="C68" s="33" t="s">
        <v>439</v>
      </c>
      <c r="D68" s="33" t="s">
        <v>444</v>
      </c>
      <c r="E68" s="33" t="s">
        <v>441</v>
      </c>
      <c r="F68" s="154">
        <v>318.14999999999998</v>
      </c>
      <c r="G68" s="155">
        <v>4</v>
      </c>
      <c r="H68" s="156">
        <v>1272.5999999999999</v>
      </c>
      <c r="I68" s="155">
        <v>0</v>
      </c>
      <c r="J68" s="156">
        <v>0</v>
      </c>
      <c r="K68" s="155">
        <v>18</v>
      </c>
      <c r="L68" s="156">
        <v>5726.7</v>
      </c>
      <c r="M68" s="155">
        <v>17</v>
      </c>
      <c r="N68" s="156">
        <v>5408.55</v>
      </c>
      <c r="O68" s="155">
        <v>0</v>
      </c>
      <c r="P68" s="156">
        <v>0</v>
      </c>
      <c r="Q68" s="155">
        <v>19</v>
      </c>
      <c r="R68" s="156">
        <f t="shared" si="2"/>
        <v>6044.8499999999995</v>
      </c>
      <c r="S68" s="155">
        <v>14</v>
      </c>
      <c r="T68" s="156">
        <v>4454.1000000000004</v>
      </c>
      <c r="U68" s="155">
        <v>6</v>
      </c>
      <c r="V68" s="156">
        <f t="shared" si="3"/>
        <v>1908.8999999999999</v>
      </c>
      <c r="W68" s="155">
        <v>4</v>
      </c>
      <c r="X68" s="156">
        <v>1272.5999999999999</v>
      </c>
      <c r="Y68" s="155">
        <v>8</v>
      </c>
      <c r="Z68" s="156">
        <v>2545.1999999999998</v>
      </c>
      <c r="AA68" s="155">
        <v>3</v>
      </c>
      <c r="AB68" s="156">
        <v>954.45</v>
      </c>
      <c r="AC68" s="155">
        <v>1</v>
      </c>
      <c r="AD68" s="156">
        <v>318.14999999999998</v>
      </c>
      <c r="AE68" s="155">
        <v>4</v>
      </c>
      <c r="AF68" s="156">
        <v>1272.5999999999999</v>
      </c>
      <c r="AG68" s="155">
        <v>73</v>
      </c>
      <c r="AH68" s="156">
        <v>23224.95</v>
      </c>
      <c r="AI68" s="155">
        <v>23</v>
      </c>
      <c r="AJ68" s="156">
        <v>7317.45</v>
      </c>
      <c r="AK68" s="155">
        <v>2</v>
      </c>
      <c r="AL68" s="156">
        <v>636.29999999999995</v>
      </c>
      <c r="AM68" s="155">
        <v>5</v>
      </c>
      <c r="AN68" s="156">
        <v>1590.75</v>
      </c>
      <c r="AO68" s="155">
        <v>11</v>
      </c>
      <c r="AP68" s="156">
        <v>3499.65</v>
      </c>
      <c r="AQ68" s="155">
        <v>0</v>
      </c>
      <c r="AR68" s="156">
        <v>0</v>
      </c>
    </row>
    <row r="69" spans="2:44">
      <c r="B69" s="33" t="s">
        <v>404</v>
      </c>
      <c r="C69" s="33" t="s">
        <v>439</v>
      </c>
      <c r="D69" s="33" t="s">
        <v>445</v>
      </c>
      <c r="E69" s="33" t="s">
        <v>441</v>
      </c>
      <c r="F69" s="154">
        <v>1802.85</v>
      </c>
      <c r="G69" s="155">
        <v>0</v>
      </c>
      <c r="H69" s="156">
        <v>0</v>
      </c>
      <c r="I69" s="155">
        <v>0</v>
      </c>
      <c r="J69" s="156">
        <v>0</v>
      </c>
      <c r="K69" s="155">
        <v>0</v>
      </c>
      <c r="L69" s="156">
        <v>0</v>
      </c>
      <c r="M69" s="155">
        <v>0</v>
      </c>
      <c r="N69" s="156">
        <v>0</v>
      </c>
      <c r="O69" s="155">
        <v>0</v>
      </c>
      <c r="P69" s="156">
        <v>0</v>
      </c>
      <c r="Q69" s="155">
        <v>0</v>
      </c>
      <c r="R69" s="156">
        <f t="shared" ref="R69:R100" si="4">Q69*F69</f>
        <v>0</v>
      </c>
      <c r="S69" s="155">
        <v>0</v>
      </c>
      <c r="T69" s="156">
        <v>0</v>
      </c>
      <c r="U69" s="155">
        <v>0</v>
      </c>
      <c r="V69" s="156">
        <f t="shared" ref="V69:V100" si="5">U69*F69</f>
        <v>0</v>
      </c>
      <c r="W69" s="155">
        <v>0</v>
      </c>
      <c r="X69" s="156">
        <v>0</v>
      </c>
      <c r="Y69" s="155">
        <v>0</v>
      </c>
      <c r="Z69" s="156">
        <v>0</v>
      </c>
      <c r="AA69" s="155">
        <v>1</v>
      </c>
      <c r="AB69" s="156">
        <v>1802.85</v>
      </c>
      <c r="AC69" s="155">
        <v>0</v>
      </c>
      <c r="AD69" s="156">
        <v>0</v>
      </c>
      <c r="AE69" s="155">
        <v>7</v>
      </c>
      <c r="AF69" s="156">
        <v>12619.95</v>
      </c>
      <c r="AG69" s="155">
        <v>0</v>
      </c>
      <c r="AH69" s="156">
        <v>0</v>
      </c>
      <c r="AI69" s="155">
        <v>1</v>
      </c>
      <c r="AJ69" s="156">
        <v>1802.85</v>
      </c>
      <c r="AK69" s="155">
        <v>0</v>
      </c>
      <c r="AL69" s="156">
        <v>0</v>
      </c>
      <c r="AM69" s="155">
        <v>0</v>
      </c>
      <c r="AN69" s="156">
        <v>0</v>
      </c>
      <c r="AO69" s="155">
        <v>0</v>
      </c>
      <c r="AP69" s="156">
        <v>0</v>
      </c>
      <c r="AQ69" s="155">
        <v>0</v>
      </c>
      <c r="AR69" s="156">
        <v>0</v>
      </c>
    </row>
    <row r="70" spans="2:44">
      <c r="B70" s="33" t="s">
        <v>404</v>
      </c>
      <c r="C70" s="33" t="s">
        <v>446</v>
      </c>
      <c r="D70" s="33" t="s">
        <v>447</v>
      </c>
      <c r="E70" s="33" t="s">
        <v>448</v>
      </c>
      <c r="F70" s="154">
        <v>10.605</v>
      </c>
      <c r="G70" s="155">
        <v>0</v>
      </c>
      <c r="H70" s="156">
        <v>0</v>
      </c>
      <c r="I70" s="155">
        <v>0</v>
      </c>
      <c r="J70" s="156">
        <v>0</v>
      </c>
      <c r="K70" s="155">
        <v>0</v>
      </c>
      <c r="L70" s="156">
        <v>0</v>
      </c>
      <c r="M70" s="155">
        <v>0</v>
      </c>
      <c r="N70" s="156">
        <v>0</v>
      </c>
      <c r="O70" s="155">
        <v>0</v>
      </c>
      <c r="P70" s="156">
        <v>0</v>
      </c>
      <c r="Q70" s="155">
        <v>0</v>
      </c>
      <c r="R70" s="156">
        <f t="shared" si="4"/>
        <v>0</v>
      </c>
      <c r="S70" s="155">
        <v>102</v>
      </c>
      <c r="T70" s="156">
        <v>1081.71</v>
      </c>
      <c r="U70" s="155">
        <v>0</v>
      </c>
      <c r="V70" s="156">
        <f t="shared" si="5"/>
        <v>0</v>
      </c>
      <c r="W70" s="155">
        <v>0</v>
      </c>
      <c r="X70" s="156">
        <v>0</v>
      </c>
      <c r="Y70" s="155">
        <v>20.2</v>
      </c>
      <c r="Z70" s="156">
        <v>214.221</v>
      </c>
      <c r="AA70" s="155">
        <v>50.4</v>
      </c>
      <c r="AB70" s="156">
        <v>534.49199999999996</v>
      </c>
      <c r="AC70" s="155">
        <v>0</v>
      </c>
      <c r="AD70" s="156">
        <v>0</v>
      </c>
      <c r="AE70" s="155">
        <v>0</v>
      </c>
      <c r="AF70" s="156">
        <v>0</v>
      </c>
      <c r="AG70" s="155">
        <v>0</v>
      </c>
      <c r="AH70" s="156">
        <v>0</v>
      </c>
      <c r="AI70" s="155">
        <v>113.155</v>
      </c>
      <c r="AJ70" s="156">
        <v>1200.008775</v>
      </c>
      <c r="AK70" s="155">
        <v>0</v>
      </c>
      <c r="AL70" s="156">
        <v>0</v>
      </c>
      <c r="AM70" s="155">
        <v>43</v>
      </c>
      <c r="AN70" s="156">
        <v>456.01499999999999</v>
      </c>
      <c r="AO70" s="155">
        <v>0</v>
      </c>
      <c r="AP70" s="156">
        <v>0</v>
      </c>
      <c r="AQ70" s="155">
        <v>0</v>
      </c>
      <c r="AR70" s="156">
        <v>0</v>
      </c>
    </row>
    <row r="71" spans="2:44">
      <c r="B71" s="33" t="s">
        <v>404</v>
      </c>
      <c r="C71" s="33" t="s">
        <v>449</v>
      </c>
      <c r="D71" s="33" t="s">
        <v>450</v>
      </c>
      <c r="E71" s="33" t="s">
        <v>451</v>
      </c>
      <c r="F71" s="154">
        <v>1908.9</v>
      </c>
      <c r="G71" s="155">
        <v>3</v>
      </c>
      <c r="H71" s="156">
        <v>5726.7</v>
      </c>
      <c r="I71" s="155">
        <v>0</v>
      </c>
      <c r="J71" s="156">
        <v>0</v>
      </c>
      <c r="K71" s="155">
        <v>5</v>
      </c>
      <c r="L71" s="156">
        <v>9544.5</v>
      </c>
      <c r="M71" s="155">
        <v>1</v>
      </c>
      <c r="N71" s="156">
        <v>1908.9</v>
      </c>
      <c r="O71" s="155">
        <v>0</v>
      </c>
      <c r="P71" s="156">
        <v>0</v>
      </c>
      <c r="Q71" s="155">
        <v>13</v>
      </c>
      <c r="R71" s="156">
        <f t="shared" si="4"/>
        <v>24815.7</v>
      </c>
      <c r="S71" s="155">
        <v>6</v>
      </c>
      <c r="T71" s="156">
        <v>11453.4</v>
      </c>
      <c r="U71" s="155">
        <v>10</v>
      </c>
      <c r="V71" s="156">
        <f t="shared" si="5"/>
        <v>19089</v>
      </c>
      <c r="W71" s="155">
        <v>1</v>
      </c>
      <c r="X71" s="156">
        <v>1908.9</v>
      </c>
      <c r="Y71" s="155">
        <v>15</v>
      </c>
      <c r="Z71" s="156">
        <v>28633.5</v>
      </c>
      <c r="AA71" s="155">
        <v>5</v>
      </c>
      <c r="AB71" s="156">
        <v>9544.5</v>
      </c>
      <c r="AC71" s="155">
        <v>1</v>
      </c>
      <c r="AD71" s="156">
        <v>1908.9</v>
      </c>
      <c r="AE71" s="155">
        <v>9</v>
      </c>
      <c r="AF71" s="156">
        <v>17180.099999999999</v>
      </c>
      <c r="AG71" s="155">
        <v>4</v>
      </c>
      <c r="AH71" s="156">
        <v>7635.6</v>
      </c>
      <c r="AI71" s="155">
        <v>1</v>
      </c>
      <c r="AJ71" s="156">
        <v>1908.9</v>
      </c>
      <c r="AK71" s="155">
        <v>0</v>
      </c>
      <c r="AL71" s="156">
        <v>0</v>
      </c>
      <c r="AM71" s="155">
        <v>1</v>
      </c>
      <c r="AN71" s="156">
        <v>1908.9</v>
      </c>
      <c r="AO71" s="155">
        <v>5</v>
      </c>
      <c r="AP71" s="156">
        <v>9544.5</v>
      </c>
      <c r="AQ71" s="155">
        <v>0</v>
      </c>
      <c r="AR71" s="156">
        <v>0</v>
      </c>
    </row>
    <row r="72" spans="2:44">
      <c r="B72" s="33" t="s">
        <v>404</v>
      </c>
      <c r="C72" s="33" t="s">
        <v>179</v>
      </c>
      <c r="D72" s="33" t="s">
        <v>183</v>
      </c>
      <c r="E72" s="33" t="s">
        <v>152</v>
      </c>
      <c r="F72" s="154">
        <v>0.1515</v>
      </c>
      <c r="G72" s="155">
        <v>0</v>
      </c>
      <c r="H72" s="156">
        <v>0</v>
      </c>
      <c r="I72" s="155">
        <v>0</v>
      </c>
      <c r="J72" s="156">
        <v>0</v>
      </c>
      <c r="K72" s="155">
        <v>106262</v>
      </c>
      <c r="L72" s="156">
        <v>16098.692999999999</v>
      </c>
      <c r="M72" s="155">
        <v>27113</v>
      </c>
      <c r="N72" s="156">
        <v>4107.6194999999998</v>
      </c>
      <c r="O72" s="155">
        <v>18134</v>
      </c>
      <c r="P72" s="156">
        <v>2747.3009999999999</v>
      </c>
      <c r="Q72" s="155">
        <v>148971.60999999999</v>
      </c>
      <c r="R72" s="156">
        <f t="shared" si="4"/>
        <v>22569.198914999997</v>
      </c>
      <c r="S72" s="155">
        <v>109048</v>
      </c>
      <c r="T72" s="156">
        <v>16520.772000000001</v>
      </c>
      <c r="U72" s="155">
        <v>168064</v>
      </c>
      <c r="V72" s="156">
        <f t="shared" si="5"/>
        <v>25461.696</v>
      </c>
      <c r="W72" s="155">
        <v>21353.21</v>
      </c>
      <c r="X72" s="156">
        <v>3235.0113150000002</v>
      </c>
      <c r="Y72" s="155">
        <v>207445.97</v>
      </c>
      <c r="Z72" s="156">
        <v>31428.064455</v>
      </c>
      <c r="AA72" s="155">
        <v>250000</v>
      </c>
      <c r="AB72" s="156">
        <v>37875</v>
      </c>
      <c r="AC72" s="155">
        <v>0</v>
      </c>
      <c r="AD72" s="156">
        <v>0</v>
      </c>
      <c r="AE72" s="155">
        <v>144724</v>
      </c>
      <c r="AF72" s="156">
        <v>21925.686000000002</v>
      </c>
      <c r="AG72" s="155">
        <v>86146.69</v>
      </c>
      <c r="AH72" s="156">
        <v>13051.223534999999</v>
      </c>
      <c r="AI72" s="155">
        <v>155782</v>
      </c>
      <c r="AJ72" s="156">
        <v>23600.973000000002</v>
      </c>
      <c r="AK72" s="155">
        <v>0</v>
      </c>
      <c r="AL72" s="156">
        <v>0</v>
      </c>
      <c r="AM72" s="155">
        <v>26733</v>
      </c>
      <c r="AN72" s="156">
        <v>4050.0495000000001</v>
      </c>
      <c r="AO72" s="155">
        <v>75793</v>
      </c>
      <c r="AP72" s="156">
        <v>11482.639499999999</v>
      </c>
      <c r="AQ72" s="155">
        <v>0</v>
      </c>
      <c r="AR72" s="156">
        <v>0</v>
      </c>
    </row>
    <row r="73" spans="2:44">
      <c r="B73" s="33" t="s">
        <v>404</v>
      </c>
      <c r="C73" s="33" t="s">
        <v>179</v>
      </c>
      <c r="D73" s="33" t="s">
        <v>180</v>
      </c>
      <c r="E73" s="33" t="s">
        <v>181</v>
      </c>
      <c r="F73" s="154">
        <v>106.05</v>
      </c>
      <c r="G73" s="155">
        <v>627</v>
      </c>
      <c r="H73" s="156">
        <v>66493.350000000006</v>
      </c>
      <c r="I73" s="155">
        <v>0</v>
      </c>
      <c r="J73" s="156">
        <v>0</v>
      </c>
      <c r="K73" s="155">
        <v>440</v>
      </c>
      <c r="L73" s="156">
        <v>46662</v>
      </c>
      <c r="M73" s="155">
        <v>385</v>
      </c>
      <c r="N73" s="156">
        <v>40829.25</v>
      </c>
      <c r="O73" s="155">
        <v>136</v>
      </c>
      <c r="P73" s="156">
        <v>14422.8</v>
      </c>
      <c r="Q73" s="155">
        <v>854</v>
      </c>
      <c r="R73" s="156">
        <f t="shared" si="4"/>
        <v>90566.7</v>
      </c>
      <c r="S73" s="155">
        <v>573</v>
      </c>
      <c r="T73" s="156">
        <v>60766.65</v>
      </c>
      <c r="U73" s="155">
        <v>860</v>
      </c>
      <c r="V73" s="156">
        <f t="shared" si="5"/>
        <v>91203</v>
      </c>
      <c r="W73" s="155">
        <v>13</v>
      </c>
      <c r="X73" s="156">
        <v>1378.65</v>
      </c>
      <c r="Y73" s="155">
        <v>864</v>
      </c>
      <c r="Z73" s="156">
        <v>91627.199999999997</v>
      </c>
      <c r="AA73" s="155">
        <v>1550</v>
      </c>
      <c r="AB73" s="156">
        <v>164377.5</v>
      </c>
      <c r="AC73" s="155">
        <v>3</v>
      </c>
      <c r="AD73" s="156">
        <v>318.14999999999998</v>
      </c>
      <c r="AE73" s="155">
        <v>1201</v>
      </c>
      <c r="AF73" s="156">
        <v>127366.05</v>
      </c>
      <c r="AG73" s="155">
        <v>546</v>
      </c>
      <c r="AH73" s="156">
        <v>57903.3</v>
      </c>
      <c r="AI73" s="155">
        <v>1025</v>
      </c>
      <c r="AJ73" s="156">
        <v>108701.25</v>
      </c>
      <c r="AK73" s="155">
        <v>0</v>
      </c>
      <c r="AL73" s="156">
        <v>0</v>
      </c>
      <c r="AM73" s="155">
        <v>2</v>
      </c>
      <c r="AN73" s="156">
        <v>212.1</v>
      </c>
      <c r="AO73" s="155">
        <v>451</v>
      </c>
      <c r="AP73" s="156">
        <v>47828.55</v>
      </c>
      <c r="AQ73" s="155">
        <v>0</v>
      </c>
      <c r="AR73" s="156">
        <v>0</v>
      </c>
    </row>
    <row r="74" spans="2:44">
      <c r="B74" s="33" t="s">
        <v>404</v>
      </c>
      <c r="C74" s="33" t="s">
        <v>401</v>
      </c>
      <c r="D74" s="33" t="s">
        <v>452</v>
      </c>
      <c r="E74" s="33" t="s">
        <v>453</v>
      </c>
      <c r="F74" s="154">
        <v>3181.5</v>
      </c>
      <c r="G74" s="155">
        <v>0</v>
      </c>
      <c r="H74" s="156">
        <v>0</v>
      </c>
      <c r="I74" s="155">
        <v>0</v>
      </c>
      <c r="J74" s="156">
        <v>0</v>
      </c>
      <c r="K74" s="155">
        <v>0</v>
      </c>
      <c r="L74" s="156">
        <v>0</v>
      </c>
      <c r="M74" s="155">
        <v>0</v>
      </c>
      <c r="N74" s="156">
        <v>0</v>
      </c>
      <c r="O74" s="155">
        <v>0</v>
      </c>
      <c r="P74" s="156">
        <v>0</v>
      </c>
      <c r="Q74" s="155">
        <v>0</v>
      </c>
      <c r="R74" s="156">
        <f t="shared" si="4"/>
        <v>0</v>
      </c>
      <c r="S74" s="155">
        <v>0</v>
      </c>
      <c r="T74" s="156">
        <v>0</v>
      </c>
      <c r="U74" s="155">
        <v>1</v>
      </c>
      <c r="V74" s="156">
        <f t="shared" si="5"/>
        <v>3181.5</v>
      </c>
      <c r="W74" s="155">
        <v>0</v>
      </c>
      <c r="X74" s="156">
        <v>0</v>
      </c>
      <c r="Y74" s="155">
        <v>2</v>
      </c>
      <c r="Z74" s="156">
        <v>6363</v>
      </c>
      <c r="AA74" s="155">
        <v>1</v>
      </c>
      <c r="AB74" s="156">
        <v>3181.5</v>
      </c>
      <c r="AC74" s="155">
        <v>0</v>
      </c>
      <c r="AD74" s="156">
        <v>0</v>
      </c>
      <c r="AE74" s="155">
        <v>0</v>
      </c>
      <c r="AF74" s="156">
        <v>0</v>
      </c>
      <c r="AG74" s="155">
        <v>0</v>
      </c>
      <c r="AH74" s="156">
        <v>0</v>
      </c>
      <c r="AI74" s="155">
        <v>0</v>
      </c>
      <c r="AJ74" s="156">
        <v>0</v>
      </c>
      <c r="AK74" s="155">
        <v>0</v>
      </c>
      <c r="AL74" s="156">
        <v>0</v>
      </c>
      <c r="AM74" s="155">
        <v>0</v>
      </c>
      <c r="AN74" s="156">
        <v>0</v>
      </c>
      <c r="AO74" s="155">
        <v>1</v>
      </c>
      <c r="AP74" s="156">
        <v>3181.5</v>
      </c>
      <c r="AQ74" s="155">
        <v>1</v>
      </c>
      <c r="AR74" s="156">
        <v>3181.5</v>
      </c>
    </row>
    <row r="75" spans="2:44">
      <c r="B75" s="33" t="s">
        <v>404</v>
      </c>
      <c r="C75" s="33" t="s">
        <v>401</v>
      </c>
      <c r="D75" s="33" t="s">
        <v>454</v>
      </c>
      <c r="E75" s="33" t="s">
        <v>455</v>
      </c>
      <c r="F75" s="154">
        <v>318150</v>
      </c>
      <c r="G75" s="155">
        <v>1</v>
      </c>
      <c r="H75" s="156">
        <v>318150</v>
      </c>
      <c r="I75" s="155">
        <v>0</v>
      </c>
      <c r="J75" s="156">
        <v>0</v>
      </c>
      <c r="K75" s="155">
        <v>1</v>
      </c>
      <c r="L75" s="156">
        <v>318150</v>
      </c>
      <c r="M75" s="155">
        <v>0</v>
      </c>
      <c r="N75" s="156">
        <v>0</v>
      </c>
      <c r="O75" s="155">
        <v>6</v>
      </c>
      <c r="P75" s="156">
        <v>1908900</v>
      </c>
      <c r="Q75" s="155">
        <v>0</v>
      </c>
      <c r="R75" s="156">
        <f t="shared" si="4"/>
        <v>0</v>
      </c>
      <c r="S75" s="155">
        <v>4</v>
      </c>
      <c r="T75" s="156">
        <v>1272600</v>
      </c>
      <c r="U75" s="155">
        <v>0</v>
      </c>
      <c r="V75" s="156">
        <f t="shared" si="5"/>
        <v>0</v>
      </c>
      <c r="W75" s="155">
        <v>0</v>
      </c>
      <c r="X75" s="156">
        <v>0</v>
      </c>
      <c r="Y75" s="155">
        <v>0</v>
      </c>
      <c r="Z75" s="156">
        <v>0</v>
      </c>
      <c r="AA75" s="155">
        <v>0</v>
      </c>
      <c r="AB75" s="156">
        <v>0</v>
      </c>
      <c r="AC75" s="155">
        <v>0</v>
      </c>
      <c r="AD75" s="156">
        <v>0</v>
      </c>
      <c r="AE75" s="155">
        <v>46</v>
      </c>
      <c r="AF75" s="156">
        <v>14634900</v>
      </c>
      <c r="AG75" s="155">
        <v>0</v>
      </c>
      <c r="AH75" s="156">
        <v>0</v>
      </c>
      <c r="AI75" s="155">
        <v>0</v>
      </c>
      <c r="AJ75" s="156">
        <v>0</v>
      </c>
      <c r="AK75" s="155">
        <v>0</v>
      </c>
      <c r="AL75" s="156">
        <v>0</v>
      </c>
      <c r="AM75" s="155">
        <v>0</v>
      </c>
      <c r="AN75" s="156">
        <v>0</v>
      </c>
      <c r="AO75" s="155">
        <v>2</v>
      </c>
      <c r="AP75" s="156">
        <v>636300</v>
      </c>
      <c r="AQ75" s="155">
        <v>0</v>
      </c>
      <c r="AR75" s="156">
        <v>0</v>
      </c>
    </row>
    <row r="76" spans="2:44">
      <c r="B76" s="33" t="s">
        <v>404</v>
      </c>
      <c r="C76" s="33" t="s">
        <v>401</v>
      </c>
      <c r="D76" s="33" t="s">
        <v>456</v>
      </c>
      <c r="E76" s="33" t="s">
        <v>457</v>
      </c>
      <c r="F76" s="154">
        <v>238612.5</v>
      </c>
      <c r="G76" s="155">
        <v>1</v>
      </c>
      <c r="H76" s="156">
        <v>238612.5</v>
      </c>
      <c r="I76" s="155">
        <v>0</v>
      </c>
      <c r="J76" s="156">
        <v>0</v>
      </c>
      <c r="K76" s="155">
        <v>0</v>
      </c>
      <c r="L76" s="156">
        <v>0</v>
      </c>
      <c r="M76" s="155">
        <v>1</v>
      </c>
      <c r="N76" s="156">
        <v>238612.5</v>
      </c>
      <c r="O76" s="155">
        <v>6</v>
      </c>
      <c r="P76" s="156">
        <v>1431675</v>
      </c>
      <c r="Q76" s="155">
        <v>0</v>
      </c>
      <c r="R76" s="156">
        <f t="shared" si="4"/>
        <v>0</v>
      </c>
      <c r="S76" s="155">
        <v>1</v>
      </c>
      <c r="T76" s="156">
        <v>238612.5</v>
      </c>
      <c r="U76" s="155">
        <v>0</v>
      </c>
      <c r="V76" s="156">
        <f t="shared" si="5"/>
        <v>0</v>
      </c>
      <c r="W76" s="155">
        <v>0</v>
      </c>
      <c r="X76" s="156">
        <v>0</v>
      </c>
      <c r="Y76" s="155">
        <v>0</v>
      </c>
      <c r="Z76" s="156">
        <v>0</v>
      </c>
      <c r="AA76" s="155">
        <v>0</v>
      </c>
      <c r="AB76" s="156">
        <v>0</v>
      </c>
      <c r="AC76" s="155">
        <v>0</v>
      </c>
      <c r="AD76" s="156">
        <v>0</v>
      </c>
      <c r="AE76" s="155">
        <v>3</v>
      </c>
      <c r="AF76" s="156">
        <v>715837.5</v>
      </c>
      <c r="AG76" s="155">
        <v>0</v>
      </c>
      <c r="AH76" s="156">
        <v>0</v>
      </c>
      <c r="AI76" s="155">
        <v>0</v>
      </c>
      <c r="AJ76" s="156">
        <v>0</v>
      </c>
      <c r="AK76" s="155">
        <v>0</v>
      </c>
      <c r="AL76" s="156">
        <v>0</v>
      </c>
      <c r="AM76" s="155">
        <v>0</v>
      </c>
      <c r="AN76" s="156">
        <v>0</v>
      </c>
      <c r="AO76" s="155">
        <v>1</v>
      </c>
      <c r="AP76" s="156">
        <v>238612.5</v>
      </c>
      <c r="AQ76" s="155">
        <v>0</v>
      </c>
      <c r="AR76" s="156">
        <v>0</v>
      </c>
    </row>
    <row r="77" spans="2:44">
      <c r="B77" s="33" t="s">
        <v>186</v>
      </c>
      <c r="C77" s="33" t="s">
        <v>185</v>
      </c>
      <c r="D77" s="33" t="s">
        <v>187</v>
      </c>
      <c r="E77" s="33" t="s">
        <v>188</v>
      </c>
      <c r="F77" s="154">
        <v>2121</v>
      </c>
      <c r="G77" s="155">
        <v>31</v>
      </c>
      <c r="H77" s="156">
        <v>65751</v>
      </c>
      <c r="I77" s="155">
        <v>0</v>
      </c>
      <c r="J77" s="156">
        <v>0</v>
      </c>
      <c r="K77" s="155">
        <v>7</v>
      </c>
      <c r="L77" s="156">
        <v>14847</v>
      </c>
      <c r="M77" s="155">
        <v>1</v>
      </c>
      <c r="N77" s="156">
        <v>2121</v>
      </c>
      <c r="O77" s="155">
        <v>3</v>
      </c>
      <c r="P77" s="156">
        <v>6363</v>
      </c>
      <c r="Q77" s="155">
        <v>4</v>
      </c>
      <c r="R77" s="156">
        <f t="shared" si="4"/>
        <v>8484</v>
      </c>
      <c r="S77" s="155">
        <v>4</v>
      </c>
      <c r="T77" s="156">
        <v>8484</v>
      </c>
      <c r="U77" s="155">
        <v>6</v>
      </c>
      <c r="V77" s="156">
        <f t="shared" si="5"/>
        <v>12726</v>
      </c>
      <c r="W77" s="155">
        <v>0</v>
      </c>
      <c r="X77" s="156">
        <v>0</v>
      </c>
      <c r="Y77" s="155">
        <v>10</v>
      </c>
      <c r="Z77" s="156">
        <v>21210</v>
      </c>
      <c r="AA77" s="155">
        <v>1</v>
      </c>
      <c r="AB77" s="156">
        <v>2121</v>
      </c>
      <c r="AC77" s="155">
        <v>0</v>
      </c>
      <c r="AD77" s="156">
        <v>0</v>
      </c>
      <c r="AE77" s="155">
        <v>11</v>
      </c>
      <c r="AF77" s="156">
        <v>23331</v>
      </c>
      <c r="AG77" s="155">
        <v>1</v>
      </c>
      <c r="AH77" s="156">
        <v>2121</v>
      </c>
      <c r="AI77" s="155">
        <v>6</v>
      </c>
      <c r="AJ77" s="156">
        <v>12726</v>
      </c>
      <c r="AK77" s="155">
        <v>0</v>
      </c>
      <c r="AL77" s="156">
        <v>0</v>
      </c>
      <c r="AM77" s="155">
        <v>0</v>
      </c>
      <c r="AN77" s="156">
        <v>0</v>
      </c>
      <c r="AO77" s="155">
        <v>8</v>
      </c>
      <c r="AP77" s="156">
        <v>16968</v>
      </c>
      <c r="AQ77" s="155">
        <v>0</v>
      </c>
      <c r="AR77" s="156">
        <v>0</v>
      </c>
    </row>
    <row r="78" spans="2:44">
      <c r="B78" s="33" t="s">
        <v>186</v>
      </c>
      <c r="C78" s="33" t="s">
        <v>190</v>
      </c>
      <c r="D78" s="33" t="s">
        <v>191</v>
      </c>
      <c r="E78" s="33" t="s">
        <v>192</v>
      </c>
      <c r="F78" s="154">
        <v>1060.5</v>
      </c>
      <c r="G78" s="155">
        <v>15</v>
      </c>
      <c r="H78" s="156">
        <v>15907.5</v>
      </c>
      <c r="I78" s="155">
        <v>2</v>
      </c>
      <c r="J78" s="156">
        <v>2121</v>
      </c>
      <c r="K78" s="155">
        <v>9</v>
      </c>
      <c r="L78" s="156">
        <v>9544.5</v>
      </c>
      <c r="M78" s="155">
        <v>5</v>
      </c>
      <c r="N78" s="156">
        <v>5302.5</v>
      </c>
      <c r="O78" s="155">
        <v>1</v>
      </c>
      <c r="P78" s="156">
        <v>1060.5</v>
      </c>
      <c r="Q78" s="155">
        <v>67</v>
      </c>
      <c r="R78" s="156">
        <f t="shared" si="4"/>
        <v>71053.5</v>
      </c>
      <c r="S78" s="155">
        <v>10</v>
      </c>
      <c r="T78" s="156">
        <v>10605</v>
      </c>
      <c r="U78" s="155">
        <v>21</v>
      </c>
      <c r="V78" s="156">
        <f t="shared" si="5"/>
        <v>22270.5</v>
      </c>
      <c r="W78" s="155">
        <v>1</v>
      </c>
      <c r="X78" s="156">
        <v>1060.5</v>
      </c>
      <c r="Y78" s="155">
        <v>14</v>
      </c>
      <c r="Z78" s="156">
        <v>14847</v>
      </c>
      <c r="AA78" s="155">
        <v>32</v>
      </c>
      <c r="AB78" s="156">
        <v>33936</v>
      </c>
      <c r="AC78" s="155">
        <v>7</v>
      </c>
      <c r="AD78" s="156">
        <v>7423.5</v>
      </c>
      <c r="AE78" s="155">
        <v>28</v>
      </c>
      <c r="AF78" s="156">
        <v>29694</v>
      </c>
      <c r="AG78" s="155">
        <v>27</v>
      </c>
      <c r="AH78" s="156">
        <v>28633.5</v>
      </c>
      <c r="AI78" s="155">
        <v>13</v>
      </c>
      <c r="AJ78" s="156">
        <v>13786.5</v>
      </c>
      <c r="AK78" s="155">
        <v>0</v>
      </c>
      <c r="AL78" s="156">
        <v>0</v>
      </c>
      <c r="AM78" s="155">
        <v>4</v>
      </c>
      <c r="AN78" s="156">
        <v>4242</v>
      </c>
      <c r="AO78" s="155">
        <v>12</v>
      </c>
      <c r="AP78" s="156">
        <v>12726</v>
      </c>
      <c r="AQ78" s="155">
        <v>0</v>
      </c>
      <c r="AR78" s="156">
        <v>0</v>
      </c>
    </row>
    <row r="79" spans="2:44">
      <c r="B79" s="33" t="s">
        <v>186</v>
      </c>
      <c r="C79" s="33" t="s">
        <v>190</v>
      </c>
      <c r="D79" s="33" t="s">
        <v>458</v>
      </c>
      <c r="E79" s="33" t="s">
        <v>459</v>
      </c>
      <c r="F79" s="154">
        <v>1590.75</v>
      </c>
      <c r="G79" s="155">
        <v>3</v>
      </c>
      <c r="H79" s="156">
        <v>4772.25</v>
      </c>
      <c r="I79" s="155">
        <v>0</v>
      </c>
      <c r="J79" s="156">
        <v>0</v>
      </c>
      <c r="K79" s="155">
        <v>2</v>
      </c>
      <c r="L79" s="156">
        <v>3181.5</v>
      </c>
      <c r="M79" s="155">
        <v>3</v>
      </c>
      <c r="N79" s="156">
        <v>4772.25</v>
      </c>
      <c r="O79" s="155">
        <v>0</v>
      </c>
      <c r="P79" s="156">
        <v>0</v>
      </c>
      <c r="Q79" s="155">
        <v>6</v>
      </c>
      <c r="R79" s="156">
        <f t="shared" si="4"/>
        <v>9544.5</v>
      </c>
      <c r="S79" s="155">
        <v>3</v>
      </c>
      <c r="T79" s="156">
        <v>4772.25</v>
      </c>
      <c r="U79" s="155">
        <v>1</v>
      </c>
      <c r="V79" s="156">
        <f t="shared" si="5"/>
        <v>1590.75</v>
      </c>
      <c r="W79" s="155">
        <v>1</v>
      </c>
      <c r="X79" s="156">
        <v>1590.75</v>
      </c>
      <c r="Y79" s="155">
        <v>3</v>
      </c>
      <c r="Z79" s="156">
        <v>4772.25</v>
      </c>
      <c r="AA79" s="155">
        <v>6</v>
      </c>
      <c r="AB79" s="156">
        <v>9544.5</v>
      </c>
      <c r="AC79" s="155">
        <v>0</v>
      </c>
      <c r="AD79" s="156">
        <v>0</v>
      </c>
      <c r="AE79" s="155">
        <v>3</v>
      </c>
      <c r="AF79" s="156">
        <v>4772.25</v>
      </c>
      <c r="AG79" s="155">
        <v>6</v>
      </c>
      <c r="AH79" s="156">
        <v>9544.5</v>
      </c>
      <c r="AI79" s="155">
        <v>4</v>
      </c>
      <c r="AJ79" s="156">
        <v>6363</v>
      </c>
      <c r="AK79" s="155">
        <v>0</v>
      </c>
      <c r="AL79" s="156">
        <v>0</v>
      </c>
      <c r="AM79" s="155">
        <v>1</v>
      </c>
      <c r="AN79" s="156">
        <v>1590.75</v>
      </c>
      <c r="AO79" s="155">
        <v>4</v>
      </c>
      <c r="AP79" s="156">
        <v>6363</v>
      </c>
      <c r="AQ79" s="155">
        <v>0</v>
      </c>
      <c r="AR79" s="156">
        <v>0</v>
      </c>
    </row>
    <row r="80" spans="2:44">
      <c r="B80" s="33" t="s">
        <v>186</v>
      </c>
      <c r="C80" s="33" t="s">
        <v>194</v>
      </c>
      <c r="D80" s="33" t="s">
        <v>195</v>
      </c>
      <c r="E80" s="33" t="s">
        <v>152</v>
      </c>
      <c r="F80" s="154">
        <v>0.63629999999999998</v>
      </c>
      <c r="G80" s="155">
        <v>106399.15</v>
      </c>
      <c r="H80" s="156">
        <v>67701.779144999993</v>
      </c>
      <c r="I80" s="155">
        <v>0</v>
      </c>
      <c r="J80" s="156">
        <v>0</v>
      </c>
      <c r="K80" s="155">
        <v>106262</v>
      </c>
      <c r="L80" s="156">
        <v>67614.510599999994</v>
      </c>
      <c r="M80" s="155">
        <v>10656</v>
      </c>
      <c r="N80" s="156">
        <v>6780.4128000000001</v>
      </c>
      <c r="O80" s="155">
        <v>18134</v>
      </c>
      <c r="P80" s="156">
        <v>11538.664199999999</v>
      </c>
      <c r="Q80" s="155">
        <v>122872.39</v>
      </c>
      <c r="R80" s="156">
        <f t="shared" si="4"/>
        <v>78183.701757000003</v>
      </c>
      <c r="S80" s="155">
        <v>137901</v>
      </c>
      <c r="T80" s="156">
        <v>87746.406300000002</v>
      </c>
      <c r="U80" s="155">
        <v>168450</v>
      </c>
      <c r="V80" s="156">
        <f t="shared" si="5"/>
        <v>107184.735</v>
      </c>
      <c r="W80" s="155">
        <v>21353.21</v>
      </c>
      <c r="X80" s="156">
        <v>13587.047522999999</v>
      </c>
      <c r="Y80" s="155">
        <v>216557.86</v>
      </c>
      <c r="Z80" s="156">
        <v>137795.76631800001</v>
      </c>
      <c r="AA80" s="155">
        <v>207000</v>
      </c>
      <c r="AB80" s="156">
        <v>131714.1</v>
      </c>
      <c r="AC80" s="155">
        <v>37631.599999999999</v>
      </c>
      <c r="AD80" s="156">
        <v>23944.987079999999</v>
      </c>
      <c r="AE80" s="155">
        <v>145287</v>
      </c>
      <c r="AF80" s="156">
        <v>92446.118100000007</v>
      </c>
      <c r="AG80" s="155">
        <v>86146.69</v>
      </c>
      <c r="AH80" s="156">
        <v>54815.138847000002</v>
      </c>
      <c r="AI80" s="155">
        <v>152627</v>
      </c>
      <c r="AJ80" s="156">
        <v>97116.560100000002</v>
      </c>
      <c r="AK80" s="155">
        <v>18898</v>
      </c>
      <c r="AL80" s="156">
        <v>12024.797399999999</v>
      </c>
      <c r="AM80" s="155">
        <v>26884.26</v>
      </c>
      <c r="AN80" s="156">
        <v>17106.454637999999</v>
      </c>
      <c r="AO80" s="155">
        <v>75793</v>
      </c>
      <c r="AP80" s="156">
        <v>48227.085899999998</v>
      </c>
      <c r="AQ80" s="155">
        <v>0</v>
      </c>
      <c r="AR80" s="156">
        <v>0</v>
      </c>
    </row>
    <row r="81" spans="2:44">
      <c r="B81" s="33" t="s">
        <v>186</v>
      </c>
      <c r="C81" s="33" t="s">
        <v>198</v>
      </c>
      <c r="D81" s="33" t="s">
        <v>199</v>
      </c>
      <c r="E81" s="33" t="s">
        <v>200</v>
      </c>
      <c r="F81" s="154">
        <v>4984.3500000000004</v>
      </c>
      <c r="G81" s="155">
        <v>3</v>
      </c>
      <c r="H81" s="156">
        <v>14953.05</v>
      </c>
      <c r="I81" s="155">
        <v>15</v>
      </c>
      <c r="J81" s="156">
        <v>74765.25</v>
      </c>
      <c r="K81" s="155">
        <v>10</v>
      </c>
      <c r="L81" s="156">
        <v>49843.5</v>
      </c>
      <c r="M81" s="155">
        <v>1</v>
      </c>
      <c r="N81" s="156">
        <v>4984.3500000000004</v>
      </c>
      <c r="O81" s="155">
        <v>4</v>
      </c>
      <c r="P81" s="156">
        <v>19937.400000000001</v>
      </c>
      <c r="Q81" s="155">
        <v>11</v>
      </c>
      <c r="R81" s="156">
        <f t="shared" si="4"/>
        <v>54827.850000000006</v>
      </c>
      <c r="S81" s="155">
        <v>12</v>
      </c>
      <c r="T81" s="156">
        <v>59812.2</v>
      </c>
      <c r="U81" s="155">
        <v>23</v>
      </c>
      <c r="V81" s="156">
        <f t="shared" si="5"/>
        <v>114640.05</v>
      </c>
      <c r="W81" s="155">
        <v>1</v>
      </c>
      <c r="X81" s="156">
        <v>4984.3500000000004</v>
      </c>
      <c r="Y81" s="155">
        <v>10</v>
      </c>
      <c r="Z81" s="156">
        <v>49843.5</v>
      </c>
      <c r="AA81" s="155">
        <v>0</v>
      </c>
      <c r="AB81" s="156">
        <v>0</v>
      </c>
      <c r="AC81" s="155">
        <v>2</v>
      </c>
      <c r="AD81" s="156">
        <v>9968.7000000000007</v>
      </c>
      <c r="AE81" s="155">
        <v>6</v>
      </c>
      <c r="AF81" s="156">
        <v>29906.1</v>
      </c>
      <c r="AG81" s="155">
        <v>6</v>
      </c>
      <c r="AH81" s="156">
        <v>29906.1</v>
      </c>
      <c r="AI81" s="155">
        <v>0</v>
      </c>
      <c r="AJ81" s="156">
        <v>0</v>
      </c>
      <c r="AK81" s="155">
        <v>0</v>
      </c>
      <c r="AL81" s="156">
        <v>0</v>
      </c>
      <c r="AM81" s="155">
        <v>2</v>
      </c>
      <c r="AN81" s="156">
        <v>9968.7000000000007</v>
      </c>
      <c r="AO81" s="155">
        <v>7</v>
      </c>
      <c r="AP81" s="156">
        <v>34890.449999999997</v>
      </c>
      <c r="AQ81" s="155">
        <v>12</v>
      </c>
      <c r="AR81" s="156">
        <v>59812.2</v>
      </c>
    </row>
    <row r="82" spans="2:44">
      <c r="B82" s="33" t="s">
        <v>186</v>
      </c>
      <c r="C82" s="33" t="s">
        <v>202</v>
      </c>
      <c r="D82" s="33" t="s">
        <v>203</v>
      </c>
      <c r="E82" s="33" t="s">
        <v>204</v>
      </c>
      <c r="F82" s="154">
        <v>31.815000000000001</v>
      </c>
      <c r="G82" s="155">
        <v>105</v>
      </c>
      <c r="H82" s="156">
        <v>3340.5749999999998</v>
      </c>
      <c r="I82" s="155">
        <v>1000</v>
      </c>
      <c r="J82" s="156">
        <v>31815</v>
      </c>
      <c r="K82" s="155">
        <v>300</v>
      </c>
      <c r="L82" s="156">
        <v>9544.5</v>
      </c>
      <c r="M82" s="155">
        <v>8</v>
      </c>
      <c r="N82" s="156">
        <v>254.52</v>
      </c>
      <c r="O82" s="155">
        <v>18</v>
      </c>
      <c r="P82" s="156">
        <v>572.66999999999996</v>
      </c>
      <c r="Q82" s="155">
        <v>0</v>
      </c>
      <c r="R82" s="156">
        <f t="shared" si="4"/>
        <v>0</v>
      </c>
      <c r="S82" s="155">
        <v>280</v>
      </c>
      <c r="T82" s="156">
        <v>8908.2000000000007</v>
      </c>
      <c r="U82" s="155">
        <v>87</v>
      </c>
      <c r="V82" s="156">
        <f t="shared" si="5"/>
        <v>2767.9050000000002</v>
      </c>
      <c r="W82" s="155">
        <v>0</v>
      </c>
      <c r="X82" s="156">
        <v>0</v>
      </c>
      <c r="Y82" s="155">
        <v>0</v>
      </c>
      <c r="Z82" s="156">
        <v>0</v>
      </c>
      <c r="AA82" s="155">
        <v>0</v>
      </c>
      <c r="AB82" s="156">
        <v>0</v>
      </c>
      <c r="AC82" s="155">
        <v>52</v>
      </c>
      <c r="AD82" s="156">
        <v>1654.38</v>
      </c>
      <c r="AE82" s="155">
        <v>150</v>
      </c>
      <c r="AF82" s="156">
        <v>4772.25</v>
      </c>
      <c r="AG82" s="155">
        <v>0</v>
      </c>
      <c r="AH82" s="156">
        <v>0</v>
      </c>
      <c r="AI82" s="155">
        <v>0</v>
      </c>
      <c r="AJ82" s="156">
        <v>0</v>
      </c>
      <c r="AK82" s="155">
        <v>0</v>
      </c>
      <c r="AL82" s="156">
        <v>0</v>
      </c>
      <c r="AM82" s="155">
        <v>0</v>
      </c>
      <c r="AN82" s="156">
        <v>0</v>
      </c>
      <c r="AO82" s="155">
        <v>72</v>
      </c>
      <c r="AP82" s="156">
        <v>2290.6799999999998</v>
      </c>
      <c r="AQ82" s="155">
        <v>0</v>
      </c>
      <c r="AR82" s="156">
        <v>0</v>
      </c>
    </row>
    <row r="83" spans="2:44">
      <c r="B83" s="33" t="s">
        <v>186</v>
      </c>
      <c r="C83" s="33" t="s">
        <v>460</v>
      </c>
      <c r="D83" s="33" t="s">
        <v>461</v>
      </c>
      <c r="E83" s="33" t="s">
        <v>462</v>
      </c>
      <c r="F83" s="154">
        <v>15907.5</v>
      </c>
      <c r="G83" s="155">
        <v>0</v>
      </c>
      <c r="H83" s="156">
        <v>0</v>
      </c>
      <c r="I83" s="155">
        <v>0</v>
      </c>
      <c r="J83" s="156">
        <v>0</v>
      </c>
      <c r="K83" s="155">
        <v>0</v>
      </c>
      <c r="L83" s="156">
        <v>0</v>
      </c>
      <c r="M83" s="155">
        <v>0</v>
      </c>
      <c r="N83" s="156">
        <v>0</v>
      </c>
      <c r="O83" s="155">
        <v>0</v>
      </c>
      <c r="P83" s="156">
        <v>0</v>
      </c>
      <c r="Q83" s="155">
        <v>0</v>
      </c>
      <c r="R83" s="156">
        <f t="shared" si="4"/>
        <v>0</v>
      </c>
      <c r="S83" s="155">
        <v>2</v>
      </c>
      <c r="T83" s="156">
        <v>31815</v>
      </c>
      <c r="U83" s="155">
        <v>0</v>
      </c>
      <c r="V83" s="156">
        <f t="shared" si="5"/>
        <v>0</v>
      </c>
      <c r="W83" s="155">
        <v>0</v>
      </c>
      <c r="X83" s="156">
        <v>0</v>
      </c>
      <c r="Y83" s="155">
        <v>0</v>
      </c>
      <c r="Z83" s="156">
        <v>0</v>
      </c>
      <c r="AA83" s="155">
        <v>0</v>
      </c>
      <c r="AB83" s="156">
        <v>0</v>
      </c>
      <c r="AC83" s="155">
        <v>0</v>
      </c>
      <c r="AD83" s="156">
        <v>0</v>
      </c>
      <c r="AE83" s="155">
        <v>3</v>
      </c>
      <c r="AF83" s="156">
        <v>47722.5</v>
      </c>
      <c r="AG83" s="155">
        <v>4</v>
      </c>
      <c r="AH83" s="156">
        <v>63630</v>
      </c>
      <c r="AI83" s="155">
        <v>0</v>
      </c>
      <c r="AJ83" s="156">
        <v>0</v>
      </c>
      <c r="AK83" s="155">
        <v>0</v>
      </c>
      <c r="AL83" s="156">
        <v>0</v>
      </c>
      <c r="AM83" s="155">
        <v>0</v>
      </c>
      <c r="AN83" s="156">
        <v>0</v>
      </c>
      <c r="AO83" s="155">
        <v>4</v>
      </c>
      <c r="AP83" s="156">
        <v>63630</v>
      </c>
      <c r="AQ83" s="155">
        <v>0</v>
      </c>
      <c r="AR83" s="156">
        <v>0</v>
      </c>
    </row>
    <row r="84" spans="2:44">
      <c r="B84" s="33" t="s">
        <v>186</v>
      </c>
      <c r="C84" s="33" t="s">
        <v>463</v>
      </c>
      <c r="D84" s="33" t="s">
        <v>464</v>
      </c>
      <c r="E84" s="33" t="s">
        <v>465</v>
      </c>
      <c r="F84" s="154">
        <v>1060.5</v>
      </c>
      <c r="G84" s="155">
        <v>2</v>
      </c>
      <c r="H84" s="156">
        <v>2121</v>
      </c>
      <c r="I84" s="155">
        <v>0</v>
      </c>
      <c r="J84" s="156">
        <v>0</v>
      </c>
      <c r="K84" s="155">
        <v>0</v>
      </c>
      <c r="L84" s="156">
        <v>0</v>
      </c>
      <c r="M84" s="155">
        <v>0</v>
      </c>
      <c r="N84" s="156">
        <v>0</v>
      </c>
      <c r="O84" s="155">
        <v>0</v>
      </c>
      <c r="P84" s="156">
        <v>0</v>
      </c>
      <c r="Q84" s="155">
        <v>0</v>
      </c>
      <c r="R84" s="156">
        <f t="shared" si="4"/>
        <v>0</v>
      </c>
      <c r="S84" s="155">
        <v>0</v>
      </c>
      <c r="T84" s="156">
        <v>0</v>
      </c>
      <c r="U84" s="155">
        <v>0</v>
      </c>
      <c r="V84" s="156">
        <f t="shared" si="5"/>
        <v>0</v>
      </c>
      <c r="W84" s="155">
        <v>0</v>
      </c>
      <c r="X84" s="156">
        <v>0</v>
      </c>
      <c r="Y84" s="155">
        <v>0</v>
      </c>
      <c r="Z84" s="156">
        <v>0</v>
      </c>
      <c r="AA84" s="155">
        <v>0</v>
      </c>
      <c r="AB84" s="156">
        <v>0</v>
      </c>
      <c r="AC84" s="155">
        <v>0</v>
      </c>
      <c r="AD84" s="156">
        <v>0</v>
      </c>
      <c r="AE84" s="155">
        <v>0</v>
      </c>
      <c r="AF84" s="156">
        <v>0</v>
      </c>
      <c r="AG84" s="155">
        <v>0</v>
      </c>
      <c r="AH84" s="156">
        <v>0</v>
      </c>
      <c r="AI84" s="155">
        <v>7</v>
      </c>
      <c r="AJ84" s="156">
        <v>7423.5</v>
      </c>
      <c r="AK84" s="155">
        <v>0</v>
      </c>
      <c r="AL84" s="156">
        <v>0</v>
      </c>
      <c r="AM84" s="155">
        <v>0</v>
      </c>
      <c r="AN84" s="156">
        <v>0</v>
      </c>
      <c r="AO84" s="155">
        <v>0</v>
      </c>
      <c r="AP84" s="156">
        <v>0</v>
      </c>
      <c r="AQ84" s="155">
        <v>0</v>
      </c>
      <c r="AR84" s="156">
        <v>0</v>
      </c>
    </row>
    <row r="85" spans="2:44">
      <c r="B85" s="33" t="s">
        <v>186</v>
      </c>
      <c r="C85" s="33" t="s">
        <v>463</v>
      </c>
      <c r="D85" s="33" t="s">
        <v>466</v>
      </c>
      <c r="E85" s="33" t="s">
        <v>467</v>
      </c>
      <c r="F85" s="154">
        <v>509.04</v>
      </c>
      <c r="G85" s="155">
        <v>0</v>
      </c>
      <c r="H85" s="156">
        <v>0</v>
      </c>
      <c r="I85" s="155">
        <v>0</v>
      </c>
      <c r="J85" s="156">
        <v>0</v>
      </c>
      <c r="K85" s="155">
        <v>1</v>
      </c>
      <c r="L85" s="156">
        <v>509.04</v>
      </c>
      <c r="M85" s="155">
        <v>3</v>
      </c>
      <c r="N85" s="156">
        <v>1527.12</v>
      </c>
      <c r="O85" s="155">
        <v>0</v>
      </c>
      <c r="P85" s="156">
        <v>0</v>
      </c>
      <c r="Q85" s="155">
        <v>0</v>
      </c>
      <c r="R85" s="156">
        <f t="shared" si="4"/>
        <v>0</v>
      </c>
      <c r="S85" s="155">
        <v>0</v>
      </c>
      <c r="T85" s="156">
        <v>0</v>
      </c>
      <c r="U85" s="155">
        <v>0</v>
      </c>
      <c r="V85" s="156">
        <f t="shared" si="5"/>
        <v>0</v>
      </c>
      <c r="W85" s="155">
        <v>0</v>
      </c>
      <c r="X85" s="156">
        <v>0</v>
      </c>
      <c r="Y85" s="155">
        <v>0</v>
      </c>
      <c r="Z85" s="156">
        <v>0</v>
      </c>
      <c r="AA85" s="155">
        <v>0</v>
      </c>
      <c r="AB85" s="156">
        <v>0</v>
      </c>
      <c r="AC85" s="155">
        <v>0</v>
      </c>
      <c r="AD85" s="156">
        <v>0</v>
      </c>
      <c r="AE85" s="155">
        <v>0</v>
      </c>
      <c r="AF85" s="156">
        <v>0</v>
      </c>
      <c r="AG85" s="155">
        <v>0</v>
      </c>
      <c r="AH85" s="156">
        <v>0</v>
      </c>
      <c r="AI85" s="155">
        <v>4</v>
      </c>
      <c r="AJ85" s="156">
        <v>2036.16</v>
      </c>
      <c r="AK85" s="155">
        <v>0</v>
      </c>
      <c r="AL85" s="156">
        <v>0</v>
      </c>
      <c r="AM85" s="155">
        <v>0</v>
      </c>
      <c r="AN85" s="156">
        <v>0</v>
      </c>
      <c r="AO85" s="155">
        <v>0</v>
      </c>
      <c r="AP85" s="156">
        <v>0</v>
      </c>
      <c r="AQ85" s="155">
        <v>0</v>
      </c>
      <c r="AR85" s="156">
        <v>0</v>
      </c>
    </row>
    <row r="86" spans="2:44">
      <c r="B86" s="33" t="s">
        <v>186</v>
      </c>
      <c r="C86" s="33" t="s">
        <v>468</v>
      </c>
      <c r="D86" s="33" t="s">
        <v>469</v>
      </c>
      <c r="E86" s="33" t="s">
        <v>470</v>
      </c>
      <c r="F86" s="154">
        <v>159.07499999999999</v>
      </c>
      <c r="G86" s="155">
        <v>0</v>
      </c>
      <c r="H86" s="156">
        <v>0</v>
      </c>
      <c r="I86" s="155">
        <v>0</v>
      </c>
      <c r="J86" s="156">
        <v>0</v>
      </c>
      <c r="K86" s="155">
        <v>0</v>
      </c>
      <c r="L86" s="156">
        <v>0</v>
      </c>
      <c r="M86" s="155">
        <v>7</v>
      </c>
      <c r="N86" s="156">
        <v>1113.5250000000001</v>
      </c>
      <c r="O86" s="155">
        <v>0</v>
      </c>
      <c r="P86" s="156">
        <v>0</v>
      </c>
      <c r="Q86" s="155">
        <v>0</v>
      </c>
      <c r="R86" s="156">
        <f t="shared" si="4"/>
        <v>0</v>
      </c>
      <c r="S86" s="155">
        <v>3</v>
      </c>
      <c r="T86" s="156">
        <v>477.22500000000002</v>
      </c>
      <c r="U86" s="155">
        <v>0</v>
      </c>
      <c r="V86" s="156">
        <f t="shared" si="5"/>
        <v>0</v>
      </c>
      <c r="W86" s="155">
        <v>0</v>
      </c>
      <c r="X86" s="156">
        <v>0</v>
      </c>
      <c r="Y86" s="155">
        <v>0</v>
      </c>
      <c r="Z86" s="156">
        <v>0</v>
      </c>
      <c r="AA86" s="155">
        <v>0</v>
      </c>
      <c r="AB86" s="156">
        <v>0</v>
      </c>
      <c r="AC86" s="155">
        <v>0</v>
      </c>
      <c r="AD86" s="156">
        <v>0</v>
      </c>
      <c r="AE86" s="155">
        <v>0</v>
      </c>
      <c r="AF86" s="156">
        <v>0</v>
      </c>
      <c r="AG86" s="155">
        <v>0</v>
      </c>
      <c r="AH86" s="156">
        <v>0</v>
      </c>
      <c r="AI86" s="155">
        <v>0</v>
      </c>
      <c r="AJ86" s="156">
        <v>0</v>
      </c>
      <c r="AK86" s="155">
        <v>0</v>
      </c>
      <c r="AL86" s="156">
        <v>0</v>
      </c>
      <c r="AM86" s="155">
        <v>0</v>
      </c>
      <c r="AN86" s="156">
        <v>0</v>
      </c>
      <c r="AO86" s="155">
        <v>169</v>
      </c>
      <c r="AP86" s="156">
        <v>26883.674999999999</v>
      </c>
      <c r="AQ86" s="155">
        <v>0</v>
      </c>
      <c r="AR86" s="156">
        <v>0</v>
      </c>
    </row>
    <row r="87" spans="2:44">
      <c r="B87" s="33" t="s">
        <v>186</v>
      </c>
      <c r="C87" s="33" t="s">
        <v>471</v>
      </c>
      <c r="D87" s="33" t="s">
        <v>472</v>
      </c>
      <c r="E87" s="33" t="s">
        <v>473</v>
      </c>
      <c r="F87" s="154">
        <v>15377.25</v>
      </c>
      <c r="G87" s="155">
        <v>6</v>
      </c>
      <c r="H87" s="156">
        <v>92263.5</v>
      </c>
      <c r="I87" s="155">
        <v>0</v>
      </c>
      <c r="J87" s="156">
        <v>0</v>
      </c>
      <c r="K87" s="155">
        <v>0</v>
      </c>
      <c r="L87" s="156">
        <v>0</v>
      </c>
      <c r="M87" s="155">
        <v>0</v>
      </c>
      <c r="N87" s="156">
        <v>0</v>
      </c>
      <c r="O87" s="155">
        <v>0</v>
      </c>
      <c r="P87" s="156">
        <v>0</v>
      </c>
      <c r="Q87" s="155">
        <v>0</v>
      </c>
      <c r="R87" s="156">
        <f t="shared" si="4"/>
        <v>0</v>
      </c>
      <c r="S87" s="155">
        <v>0</v>
      </c>
      <c r="T87" s="156">
        <v>0</v>
      </c>
      <c r="U87" s="155">
        <v>0</v>
      </c>
      <c r="V87" s="156">
        <f t="shared" si="5"/>
        <v>0</v>
      </c>
      <c r="W87" s="155">
        <v>0</v>
      </c>
      <c r="X87" s="156">
        <v>0</v>
      </c>
      <c r="Y87" s="155">
        <v>1</v>
      </c>
      <c r="Z87" s="156">
        <v>15377.25</v>
      </c>
      <c r="AA87" s="155">
        <v>0</v>
      </c>
      <c r="AB87" s="156">
        <v>0</v>
      </c>
      <c r="AC87" s="155">
        <v>0</v>
      </c>
      <c r="AD87" s="156">
        <v>0</v>
      </c>
      <c r="AE87" s="155">
        <v>0</v>
      </c>
      <c r="AF87" s="156">
        <v>0</v>
      </c>
      <c r="AG87" s="155">
        <v>0</v>
      </c>
      <c r="AH87" s="156">
        <v>0</v>
      </c>
      <c r="AI87" s="155">
        <v>0</v>
      </c>
      <c r="AJ87" s="156">
        <v>0</v>
      </c>
      <c r="AK87" s="155">
        <v>0</v>
      </c>
      <c r="AL87" s="156">
        <v>0</v>
      </c>
      <c r="AM87" s="155">
        <v>0</v>
      </c>
      <c r="AN87" s="156">
        <v>0</v>
      </c>
      <c r="AO87" s="155">
        <v>0</v>
      </c>
      <c r="AP87" s="156">
        <v>0</v>
      </c>
      <c r="AQ87" s="155">
        <v>1</v>
      </c>
      <c r="AR87" s="156">
        <v>15377.25</v>
      </c>
    </row>
    <row r="88" spans="2:44">
      <c r="B88" s="33" t="s">
        <v>207</v>
      </c>
      <c r="C88" s="33" t="s">
        <v>256</v>
      </c>
      <c r="D88" s="33" t="s">
        <v>257</v>
      </c>
      <c r="E88" s="33" t="s">
        <v>258</v>
      </c>
      <c r="F88" s="154">
        <v>31.815000000000001</v>
      </c>
      <c r="G88" s="155">
        <v>607</v>
      </c>
      <c r="H88" s="156">
        <v>19311.705000000002</v>
      </c>
      <c r="I88" s="155">
        <v>0</v>
      </c>
      <c r="J88" s="156">
        <v>0</v>
      </c>
      <c r="K88" s="155">
        <v>1040</v>
      </c>
      <c r="L88" s="156">
        <v>33087.599999999999</v>
      </c>
      <c r="M88" s="155">
        <v>290</v>
      </c>
      <c r="N88" s="156">
        <v>9226.35</v>
      </c>
      <c r="O88" s="155">
        <v>0</v>
      </c>
      <c r="P88" s="156">
        <v>0</v>
      </c>
      <c r="Q88" s="155">
        <v>0</v>
      </c>
      <c r="R88" s="156">
        <f t="shared" si="4"/>
        <v>0</v>
      </c>
      <c r="S88" s="155">
        <v>1294</v>
      </c>
      <c r="T88" s="156">
        <v>41168.61</v>
      </c>
      <c r="U88" s="155">
        <v>1575</v>
      </c>
      <c r="V88" s="156">
        <f t="shared" si="5"/>
        <v>50108.625</v>
      </c>
      <c r="W88" s="155">
        <v>103</v>
      </c>
      <c r="X88" s="156">
        <v>3276.9450000000002</v>
      </c>
      <c r="Y88" s="155">
        <v>1770</v>
      </c>
      <c r="Z88" s="156">
        <v>56312.55</v>
      </c>
      <c r="AA88" s="155">
        <v>1356</v>
      </c>
      <c r="AB88" s="156">
        <v>43141.14</v>
      </c>
      <c r="AC88" s="155">
        <v>239</v>
      </c>
      <c r="AD88" s="156">
        <v>7603.7849999999999</v>
      </c>
      <c r="AE88" s="155">
        <v>831</v>
      </c>
      <c r="AF88" s="156">
        <v>26438.264999999999</v>
      </c>
      <c r="AG88" s="155">
        <v>804</v>
      </c>
      <c r="AH88" s="156">
        <v>25579.26</v>
      </c>
      <c r="AI88" s="155">
        <v>1809</v>
      </c>
      <c r="AJ88" s="156">
        <v>57553.334999999999</v>
      </c>
      <c r="AK88" s="155">
        <v>89</v>
      </c>
      <c r="AL88" s="156">
        <v>2831.5349999999999</v>
      </c>
      <c r="AM88" s="155">
        <v>176</v>
      </c>
      <c r="AN88" s="156">
        <v>5599.44</v>
      </c>
      <c r="AO88" s="155">
        <v>593</v>
      </c>
      <c r="AP88" s="156">
        <v>18866.294999999998</v>
      </c>
      <c r="AQ88" s="155">
        <v>1624</v>
      </c>
      <c r="AR88" s="156">
        <v>51667.56</v>
      </c>
    </row>
    <row r="89" spans="2:44">
      <c r="B89" s="33" t="s">
        <v>207</v>
      </c>
      <c r="C89" s="33" t="s">
        <v>218</v>
      </c>
      <c r="D89" s="33" t="s">
        <v>219</v>
      </c>
      <c r="E89" s="33" t="s">
        <v>220</v>
      </c>
      <c r="F89" s="154">
        <v>9.5950000000000006</v>
      </c>
      <c r="G89" s="155">
        <v>1050</v>
      </c>
      <c r="H89" s="156">
        <v>10074.75</v>
      </c>
      <c r="I89" s="155">
        <v>0</v>
      </c>
      <c r="J89" s="156">
        <v>0</v>
      </c>
      <c r="K89" s="155">
        <v>832</v>
      </c>
      <c r="L89" s="156">
        <v>7983.04</v>
      </c>
      <c r="M89" s="155">
        <v>344</v>
      </c>
      <c r="N89" s="156">
        <v>3300.68</v>
      </c>
      <c r="O89" s="155">
        <v>205</v>
      </c>
      <c r="P89" s="156">
        <v>1966.9749999999999</v>
      </c>
      <c r="Q89" s="155">
        <v>1665</v>
      </c>
      <c r="R89" s="156">
        <f t="shared" si="4"/>
        <v>15975.675000000001</v>
      </c>
      <c r="S89" s="155">
        <v>1051</v>
      </c>
      <c r="T89" s="156">
        <v>10084.344999999999</v>
      </c>
      <c r="U89" s="155">
        <v>1875</v>
      </c>
      <c r="V89" s="156">
        <f t="shared" si="5"/>
        <v>17990.625</v>
      </c>
      <c r="W89" s="155">
        <v>219</v>
      </c>
      <c r="X89" s="156">
        <v>2101.3049999999998</v>
      </c>
      <c r="Y89" s="155">
        <v>2216</v>
      </c>
      <c r="Z89" s="156">
        <v>21262.52</v>
      </c>
      <c r="AA89" s="155">
        <v>1272</v>
      </c>
      <c r="AB89" s="156">
        <v>12204.84</v>
      </c>
      <c r="AC89" s="155">
        <v>303</v>
      </c>
      <c r="AD89" s="156">
        <v>2907.2849999999999</v>
      </c>
      <c r="AE89" s="155">
        <v>1491</v>
      </c>
      <c r="AF89" s="156">
        <v>14306.145</v>
      </c>
      <c r="AG89" s="155">
        <v>768</v>
      </c>
      <c r="AH89" s="156">
        <v>7368.96</v>
      </c>
      <c r="AI89" s="155">
        <v>1679</v>
      </c>
      <c r="AJ89" s="156">
        <v>16110.004999999999</v>
      </c>
      <c r="AK89" s="155">
        <v>115</v>
      </c>
      <c r="AL89" s="156">
        <v>1103.425</v>
      </c>
      <c r="AM89" s="155">
        <v>361</v>
      </c>
      <c r="AN89" s="156">
        <v>3463.7950000000001</v>
      </c>
      <c r="AO89" s="155">
        <v>740</v>
      </c>
      <c r="AP89" s="156">
        <v>7100.3</v>
      </c>
      <c r="AQ89" s="155">
        <v>2163</v>
      </c>
      <c r="AR89" s="156">
        <v>20753.985000000001</v>
      </c>
    </row>
    <row r="90" spans="2:44">
      <c r="B90" s="33" t="s">
        <v>207</v>
      </c>
      <c r="C90" s="33" t="s">
        <v>206</v>
      </c>
      <c r="D90" s="33" t="s">
        <v>208</v>
      </c>
      <c r="E90" s="33" t="s">
        <v>209</v>
      </c>
      <c r="F90" s="154">
        <v>0.16159999999999999</v>
      </c>
      <c r="G90" s="155">
        <v>106041.05</v>
      </c>
      <c r="H90" s="156">
        <v>17136.233680000001</v>
      </c>
      <c r="I90" s="155">
        <v>0</v>
      </c>
      <c r="J90" s="156">
        <v>0</v>
      </c>
      <c r="K90" s="155">
        <v>40400</v>
      </c>
      <c r="L90" s="156">
        <v>6528.64</v>
      </c>
      <c r="M90" s="155">
        <v>27213</v>
      </c>
      <c r="N90" s="156">
        <v>4397.6207999999997</v>
      </c>
      <c r="O90" s="155">
        <v>18134</v>
      </c>
      <c r="P90" s="156">
        <v>2930.4544000000001</v>
      </c>
      <c r="Q90" s="155">
        <v>38351.199999999997</v>
      </c>
      <c r="R90" s="156">
        <f t="shared" si="4"/>
        <v>6197.5539199999994</v>
      </c>
      <c r="S90" s="155">
        <v>104891</v>
      </c>
      <c r="T90" s="156">
        <v>16950.385600000001</v>
      </c>
      <c r="U90" s="155">
        <v>155926</v>
      </c>
      <c r="V90" s="156">
        <f t="shared" si="5"/>
        <v>25197.641599999999</v>
      </c>
      <c r="W90" s="155">
        <v>5708</v>
      </c>
      <c r="X90" s="156">
        <v>922.41279999999995</v>
      </c>
      <c r="Y90" s="155">
        <v>71271.37</v>
      </c>
      <c r="Z90" s="156">
        <v>11517.453391999999</v>
      </c>
      <c r="AA90" s="155">
        <v>199000</v>
      </c>
      <c r="AB90" s="156">
        <v>32158.400000000001</v>
      </c>
      <c r="AC90" s="155">
        <v>0</v>
      </c>
      <c r="AD90" s="156">
        <v>0</v>
      </c>
      <c r="AE90" s="155">
        <v>145234</v>
      </c>
      <c r="AF90" s="156">
        <v>23469.814399999999</v>
      </c>
      <c r="AG90" s="155">
        <v>81211.179999999993</v>
      </c>
      <c r="AH90" s="156">
        <v>13123.726688000001</v>
      </c>
      <c r="AI90" s="155">
        <v>103381</v>
      </c>
      <c r="AJ90" s="156">
        <v>16706.369600000002</v>
      </c>
      <c r="AK90" s="155">
        <v>0</v>
      </c>
      <c r="AL90" s="156">
        <v>0</v>
      </c>
      <c r="AM90" s="155">
        <v>5663</v>
      </c>
      <c r="AN90" s="156">
        <v>915.14080000000001</v>
      </c>
      <c r="AO90" s="155">
        <v>75793</v>
      </c>
      <c r="AP90" s="156">
        <v>12248.148800000001</v>
      </c>
      <c r="AQ90" s="155">
        <v>271551.19</v>
      </c>
      <c r="AR90" s="156">
        <v>43882.672304</v>
      </c>
    </row>
    <row r="91" spans="2:44">
      <c r="B91" s="33" t="s">
        <v>207</v>
      </c>
      <c r="C91" s="33" t="s">
        <v>214</v>
      </c>
      <c r="D91" s="33" t="s">
        <v>215</v>
      </c>
      <c r="E91" s="33" t="s">
        <v>152</v>
      </c>
      <c r="F91" s="154">
        <v>0.32319999999999999</v>
      </c>
      <c r="G91" s="155">
        <v>106041.05</v>
      </c>
      <c r="H91" s="156">
        <v>34272.467360000002</v>
      </c>
      <c r="I91" s="155">
        <v>0</v>
      </c>
      <c r="J91" s="156">
        <v>0</v>
      </c>
      <c r="K91" s="155">
        <v>80262</v>
      </c>
      <c r="L91" s="156">
        <v>25940.678400000001</v>
      </c>
      <c r="M91" s="155">
        <v>11064</v>
      </c>
      <c r="N91" s="156">
        <v>3575.8847999999998</v>
      </c>
      <c r="O91" s="155">
        <v>5692</v>
      </c>
      <c r="P91" s="156">
        <v>1839.6543999999999</v>
      </c>
      <c r="Q91" s="155">
        <v>38978.85</v>
      </c>
      <c r="R91" s="156">
        <f t="shared" si="4"/>
        <v>12597.964319999999</v>
      </c>
      <c r="S91" s="155">
        <v>90639</v>
      </c>
      <c r="T91" s="156">
        <v>29294.524799999999</v>
      </c>
      <c r="U91" s="155">
        <v>164120</v>
      </c>
      <c r="V91" s="156">
        <f t="shared" si="5"/>
        <v>53043.583999999995</v>
      </c>
      <c r="W91" s="155">
        <v>21303.21</v>
      </c>
      <c r="X91" s="156">
        <v>6885.1974719999998</v>
      </c>
      <c r="Y91" s="155">
        <v>225399.18</v>
      </c>
      <c r="Z91" s="156">
        <v>72849.014976000006</v>
      </c>
      <c r="AA91" s="155">
        <v>190000</v>
      </c>
      <c r="AB91" s="156">
        <v>61408</v>
      </c>
      <c r="AC91" s="155">
        <v>38874.6</v>
      </c>
      <c r="AD91" s="156">
        <v>12564.27072</v>
      </c>
      <c r="AE91" s="155">
        <v>33857</v>
      </c>
      <c r="AF91" s="156">
        <v>10942.582399999999</v>
      </c>
      <c r="AG91" s="155">
        <v>86146.69</v>
      </c>
      <c r="AH91" s="156">
        <v>27842.610207999998</v>
      </c>
      <c r="AI91" s="155">
        <v>150067</v>
      </c>
      <c r="AJ91" s="156">
        <v>48501.654399999999</v>
      </c>
      <c r="AK91" s="155">
        <v>18758</v>
      </c>
      <c r="AL91" s="156">
        <v>6062.5856000000003</v>
      </c>
      <c r="AM91" s="155">
        <v>30656.26</v>
      </c>
      <c r="AN91" s="156">
        <v>9908.1032319999995</v>
      </c>
      <c r="AO91" s="155">
        <v>75793</v>
      </c>
      <c r="AP91" s="156">
        <v>24496.297600000002</v>
      </c>
      <c r="AQ91" s="155">
        <v>271551.19</v>
      </c>
      <c r="AR91" s="156">
        <v>87765.344607999999</v>
      </c>
    </row>
    <row r="92" spans="2:44">
      <c r="B92" s="33" t="s">
        <v>207</v>
      </c>
      <c r="C92" s="33" t="s">
        <v>474</v>
      </c>
      <c r="D92" s="33" t="s">
        <v>475</v>
      </c>
      <c r="E92" s="33" t="s">
        <v>476</v>
      </c>
      <c r="F92" s="154">
        <v>79.790000000000006</v>
      </c>
      <c r="G92" s="155">
        <v>6</v>
      </c>
      <c r="H92" s="156">
        <v>478.74</v>
      </c>
      <c r="I92" s="155">
        <v>0</v>
      </c>
      <c r="J92" s="156">
        <v>0</v>
      </c>
      <c r="K92" s="155">
        <v>30</v>
      </c>
      <c r="L92" s="156">
        <v>2393.6999999999998</v>
      </c>
      <c r="M92" s="155">
        <v>3</v>
      </c>
      <c r="N92" s="156">
        <v>239.37</v>
      </c>
      <c r="O92" s="155">
        <v>0</v>
      </c>
      <c r="P92" s="156">
        <v>0</v>
      </c>
      <c r="Q92" s="155">
        <v>0</v>
      </c>
      <c r="R92" s="156">
        <f t="shared" si="4"/>
        <v>0</v>
      </c>
      <c r="S92" s="155">
        <v>151</v>
      </c>
      <c r="T92" s="156">
        <v>12048.29</v>
      </c>
      <c r="U92" s="155">
        <v>131</v>
      </c>
      <c r="V92" s="156">
        <f t="shared" si="5"/>
        <v>10452.490000000002</v>
      </c>
      <c r="W92" s="155">
        <v>5</v>
      </c>
      <c r="X92" s="156">
        <v>398.95</v>
      </c>
      <c r="Y92" s="155">
        <v>73</v>
      </c>
      <c r="Z92" s="156">
        <v>5824.67</v>
      </c>
      <c r="AA92" s="155">
        <v>16</v>
      </c>
      <c r="AB92" s="156">
        <v>1276.6400000000001</v>
      </c>
      <c r="AC92" s="155">
        <v>3</v>
      </c>
      <c r="AD92" s="156">
        <v>239.37</v>
      </c>
      <c r="AE92" s="155">
        <v>20</v>
      </c>
      <c r="AF92" s="156">
        <v>1595.8</v>
      </c>
      <c r="AG92" s="155">
        <v>27</v>
      </c>
      <c r="AH92" s="156">
        <v>2154.33</v>
      </c>
      <c r="AI92" s="155">
        <v>39</v>
      </c>
      <c r="AJ92" s="156">
        <v>3111.81</v>
      </c>
      <c r="AK92" s="155">
        <v>0</v>
      </c>
      <c r="AL92" s="156">
        <v>0</v>
      </c>
      <c r="AM92" s="155">
        <v>12</v>
      </c>
      <c r="AN92" s="156">
        <v>957.48</v>
      </c>
      <c r="AO92" s="155">
        <v>2</v>
      </c>
      <c r="AP92" s="156">
        <v>159.58000000000001</v>
      </c>
      <c r="AQ92" s="155">
        <v>0</v>
      </c>
      <c r="AR92" s="156">
        <v>0</v>
      </c>
    </row>
    <row r="93" spans="2:44">
      <c r="B93" s="33" t="s">
        <v>207</v>
      </c>
      <c r="C93" s="33" t="s">
        <v>211</v>
      </c>
      <c r="D93" s="33" t="s">
        <v>212</v>
      </c>
      <c r="E93" s="33" t="s">
        <v>209</v>
      </c>
      <c r="F93" s="154">
        <v>0.63629999999999998</v>
      </c>
      <c r="G93" s="155">
        <v>106041.05</v>
      </c>
      <c r="H93" s="156">
        <v>67473.920115000001</v>
      </c>
      <c r="I93" s="155">
        <v>0</v>
      </c>
      <c r="J93" s="156">
        <v>0</v>
      </c>
      <c r="K93" s="155">
        <v>106262</v>
      </c>
      <c r="L93" s="156">
        <v>67614.510599999994</v>
      </c>
      <c r="M93" s="155">
        <v>28368</v>
      </c>
      <c r="N93" s="156">
        <v>18050.558400000002</v>
      </c>
      <c r="O93" s="155">
        <v>17625</v>
      </c>
      <c r="P93" s="156">
        <v>11214.7875</v>
      </c>
      <c r="Q93" s="155">
        <v>102152.84</v>
      </c>
      <c r="R93" s="156">
        <f t="shared" si="4"/>
        <v>64999.852091999994</v>
      </c>
      <c r="S93" s="155">
        <v>122231</v>
      </c>
      <c r="T93" s="156">
        <v>77775.585300000006</v>
      </c>
      <c r="U93" s="155">
        <v>157287</v>
      </c>
      <c r="V93" s="156">
        <f t="shared" si="5"/>
        <v>100081.7181</v>
      </c>
      <c r="W93" s="155">
        <v>19576.400000000001</v>
      </c>
      <c r="X93" s="156">
        <v>12456.463320000001</v>
      </c>
      <c r="Y93" s="155">
        <v>132250.22</v>
      </c>
      <c r="Z93" s="156">
        <v>84150.814985999998</v>
      </c>
      <c r="AA93" s="155">
        <v>190000</v>
      </c>
      <c r="AB93" s="156">
        <v>120897</v>
      </c>
      <c r="AC93" s="155">
        <v>26673</v>
      </c>
      <c r="AD93" s="156">
        <v>16972.029900000001</v>
      </c>
      <c r="AE93" s="155">
        <v>103708</v>
      </c>
      <c r="AF93" s="156">
        <v>65989.400399999999</v>
      </c>
      <c r="AG93" s="155">
        <v>73489.919999999998</v>
      </c>
      <c r="AH93" s="156">
        <v>46761.636096000002</v>
      </c>
      <c r="AI93" s="155">
        <v>147893</v>
      </c>
      <c r="AJ93" s="156">
        <v>94104.315900000001</v>
      </c>
      <c r="AK93" s="155">
        <v>16324</v>
      </c>
      <c r="AL93" s="156">
        <v>10386.9612</v>
      </c>
      <c r="AM93" s="155">
        <v>26474</v>
      </c>
      <c r="AN93" s="156">
        <v>16845.406200000001</v>
      </c>
      <c r="AO93" s="155">
        <v>75793</v>
      </c>
      <c r="AP93" s="156">
        <v>48227.085899999998</v>
      </c>
      <c r="AQ93" s="155">
        <v>271551.19</v>
      </c>
      <c r="AR93" s="156">
        <v>172788.02219700001</v>
      </c>
    </row>
    <row r="94" spans="2:44">
      <c r="B94" s="33" t="s">
        <v>207</v>
      </c>
      <c r="C94" s="33" t="s">
        <v>477</v>
      </c>
      <c r="D94" s="33" t="s">
        <v>478</v>
      </c>
      <c r="E94" s="33" t="s">
        <v>479</v>
      </c>
      <c r="F94" s="154">
        <v>2.121</v>
      </c>
      <c r="G94" s="155">
        <v>3842</v>
      </c>
      <c r="H94" s="156">
        <v>8148.8819999999996</v>
      </c>
      <c r="I94" s="155">
        <v>0</v>
      </c>
      <c r="J94" s="156">
        <v>0</v>
      </c>
      <c r="K94" s="155">
        <v>6900</v>
      </c>
      <c r="L94" s="156">
        <v>14634.9</v>
      </c>
      <c r="M94" s="155">
        <v>6</v>
      </c>
      <c r="N94" s="156">
        <v>12.726000000000001</v>
      </c>
      <c r="O94" s="155">
        <v>0</v>
      </c>
      <c r="P94" s="156">
        <v>0</v>
      </c>
      <c r="Q94" s="155">
        <v>6</v>
      </c>
      <c r="R94" s="156">
        <f t="shared" si="4"/>
        <v>12.725999999999999</v>
      </c>
      <c r="S94" s="155">
        <v>35</v>
      </c>
      <c r="T94" s="156">
        <v>74.234999999999999</v>
      </c>
      <c r="U94" s="155">
        <v>7852</v>
      </c>
      <c r="V94" s="156">
        <f t="shared" si="5"/>
        <v>16654.092000000001</v>
      </c>
      <c r="W94" s="155">
        <v>0</v>
      </c>
      <c r="X94" s="156">
        <v>0</v>
      </c>
      <c r="Y94" s="155">
        <v>1</v>
      </c>
      <c r="Z94" s="156">
        <v>2.121</v>
      </c>
      <c r="AA94" s="155">
        <v>5750</v>
      </c>
      <c r="AB94" s="156">
        <v>12195.75</v>
      </c>
      <c r="AC94" s="155">
        <v>0</v>
      </c>
      <c r="AD94" s="156">
        <v>0</v>
      </c>
      <c r="AE94" s="155">
        <v>115</v>
      </c>
      <c r="AF94" s="156">
        <v>243.91499999999999</v>
      </c>
      <c r="AG94" s="155">
        <v>0</v>
      </c>
      <c r="AH94" s="156">
        <v>0</v>
      </c>
      <c r="AI94" s="155">
        <v>0</v>
      </c>
      <c r="AJ94" s="156">
        <v>0</v>
      </c>
      <c r="AK94" s="155">
        <v>138</v>
      </c>
      <c r="AL94" s="156">
        <v>292.69799999999998</v>
      </c>
      <c r="AM94" s="155">
        <v>0</v>
      </c>
      <c r="AN94" s="156">
        <v>0</v>
      </c>
      <c r="AO94" s="155">
        <v>5</v>
      </c>
      <c r="AP94" s="156">
        <v>10.605</v>
      </c>
      <c r="AQ94" s="155">
        <v>0</v>
      </c>
      <c r="AR94" s="156">
        <v>0</v>
      </c>
    </row>
    <row r="95" spans="2:44">
      <c r="B95" s="33" t="s">
        <v>207</v>
      </c>
      <c r="C95" s="33" t="s">
        <v>222</v>
      </c>
      <c r="D95" s="33" t="s">
        <v>223</v>
      </c>
      <c r="E95" s="33" t="s">
        <v>224</v>
      </c>
      <c r="F95" s="154">
        <v>2651.25</v>
      </c>
      <c r="G95" s="155">
        <v>3</v>
      </c>
      <c r="H95" s="156">
        <v>7953.75</v>
      </c>
      <c r="I95" s="155">
        <v>0</v>
      </c>
      <c r="J95" s="156">
        <v>0</v>
      </c>
      <c r="K95" s="155">
        <v>3</v>
      </c>
      <c r="L95" s="156">
        <v>7953.75</v>
      </c>
      <c r="M95" s="155">
        <v>1</v>
      </c>
      <c r="N95" s="156">
        <v>2651.25</v>
      </c>
      <c r="O95" s="155">
        <v>1</v>
      </c>
      <c r="P95" s="156">
        <v>2651.25</v>
      </c>
      <c r="Q95" s="155">
        <v>5</v>
      </c>
      <c r="R95" s="156">
        <f t="shared" si="4"/>
        <v>13256.25</v>
      </c>
      <c r="S95" s="155">
        <v>3</v>
      </c>
      <c r="T95" s="156">
        <v>7953.75</v>
      </c>
      <c r="U95" s="155">
        <v>3</v>
      </c>
      <c r="V95" s="156">
        <f t="shared" si="5"/>
        <v>7953.75</v>
      </c>
      <c r="W95" s="155">
        <v>0</v>
      </c>
      <c r="X95" s="156">
        <v>0</v>
      </c>
      <c r="Y95" s="155">
        <v>1</v>
      </c>
      <c r="Z95" s="156">
        <v>2651.25</v>
      </c>
      <c r="AA95" s="155">
        <v>2</v>
      </c>
      <c r="AB95" s="156">
        <v>5302.5</v>
      </c>
      <c r="AC95" s="155">
        <v>1</v>
      </c>
      <c r="AD95" s="156">
        <v>2651.25</v>
      </c>
      <c r="AE95" s="155">
        <v>5</v>
      </c>
      <c r="AF95" s="156">
        <v>13256.25</v>
      </c>
      <c r="AG95" s="155">
        <v>3</v>
      </c>
      <c r="AH95" s="156">
        <v>7953.75</v>
      </c>
      <c r="AI95" s="155">
        <v>4</v>
      </c>
      <c r="AJ95" s="156">
        <v>10605</v>
      </c>
      <c r="AK95" s="155">
        <v>0</v>
      </c>
      <c r="AL95" s="156">
        <v>0</v>
      </c>
      <c r="AM95" s="155">
        <v>1</v>
      </c>
      <c r="AN95" s="156">
        <v>2651.25</v>
      </c>
      <c r="AO95" s="155">
        <v>2</v>
      </c>
      <c r="AP95" s="156">
        <v>5302.5</v>
      </c>
      <c r="AQ95" s="155">
        <v>0</v>
      </c>
      <c r="AR95" s="156">
        <v>0</v>
      </c>
    </row>
    <row r="96" spans="2:44">
      <c r="B96" s="33" t="s">
        <v>207</v>
      </c>
      <c r="C96" s="33" t="s">
        <v>226</v>
      </c>
      <c r="D96" s="33" t="s">
        <v>227</v>
      </c>
      <c r="E96" s="33" t="s">
        <v>228</v>
      </c>
      <c r="F96" s="154">
        <v>21.21</v>
      </c>
      <c r="G96" s="155">
        <v>296</v>
      </c>
      <c r="H96" s="156">
        <v>6278.16</v>
      </c>
      <c r="I96" s="155">
        <v>0</v>
      </c>
      <c r="J96" s="156">
        <v>0</v>
      </c>
      <c r="K96" s="155">
        <v>271</v>
      </c>
      <c r="L96" s="156">
        <v>5747.91</v>
      </c>
      <c r="M96" s="155">
        <v>89</v>
      </c>
      <c r="N96" s="156">
        <v>1887.69</v>
      </c>
      <c r="O96" s="155">
        <v>68</v>
      </c>
      <c r="P96" s="156">
        <v>1442.28</v>
      </c>
      <c r="Q96" s="155">
        <v>494</v>
      </c>
      <c r="R96" s="156">
        <f t="shared" si="4"/>
        <v>10477.74</v>
      </c>
      <c r="S96" s="155">
        <v>366</v>
      </c>
      <c r="T96" s="156">
        <v>7762.86</v>
      </c>
      <c r="U96" s="155">
        <v>604</v>
      </c>
      <c r="V96" s="156">
        <f t="shared" si="5"/>
        <v>12810.84</v>
      </c>
      <c r="W96" s="155">
        <v>49</v>
      </c>
      <c r="X96" s="156">
        <v>1039.29</v>
      </c>
      <c r="Y96" s="155">
        <v>689</v>
      </c>
      <c r="Z96" s="156">
        <v>14613.69</v>
      </c>
      <c r="AA96" s="155">
        <v>340</v>
      </c>
      <c r="AB96" s="156">
        <v>7211.4</v>
      </c>
      <c r="AC96" s="155">
        <v>25</v>
      </c>
      <c r="AD96" s="156">
        <v>530.25</v>
      </c>
      <c r="AE96" s="155">
        <v>499</v>
      </c>
      <c r="AF96" s="156">
        <v>10583.79</v>
      </c>
      <c r="AG96" s="155">
        <v>272</v>
      </c>
      <c r="AH96" s="156">
        <v>5769.12</v>
      </c>
      <c r="AI96" s="155">
        <v>797</v>
      </c>
      <c r="AJ96" s="156">
        <v>16904.37</v>
      </c>
      <c r="AK96" s="155">
        <v>65</v>
      </c>
      <c r="AL96" s="156">
        <v>1378.65</v>
      </c>
      <c r="AM96" s="155">
        <v>51</v>
      </c>
      <c r="AN96" s="156">
        <v>1081.71</v>
      </c>
      <c r="AO96" s="155">
        <v>304</v>
      </c>
      <c r="AP96" s="156">
        <v>6447.84</v>
      </c>
      <c r="AQ96" s="155">
        <v>995</v>
      </c>
      <c r="AR96" s="156">
        <v>21103.95</v>
      </c>
    </row>
    <row r="97" spans="2:44">
      <c r="B97" s="33" t="s">
        <v>207</v>
      </c>
      <c r="C97" s="33" t="s">
        <v>480</v>
      </c>
      <c r="D97" s="33" t="s">
        <v>481</v>
      </c>
      <c r="E97" s="33" t="s">
        <v>482</v>
      </c>
      <c r="F97" s="154">
        <v>1272.5999999999999</v>
      </c>
      <c r="G97" s="155">
        <v>2</v>
      </c>
      <c r="H97" s="156">
        <v>2545.1999999999998</v>
      </c>
      <c r="I97" s="155">
        <v>0</v>
      </c>
      <c r="J97" s="156">
        <v>0</v>
      </c>
      <c r="K97" s="155">
        <v>5</v>
      </c>
      <c r="L97" s="156">
        <v>6363</v>
      </c>
      <c r="M97" s="155">
        <v>1</v>
      </c>
      <c r="N97" s="156">
        <v>1272.5999999999999</v>
      </c>
      <c r="O97" s="155">
        <v>0</v>
      </c>
      <c r="P97" s="156">
        <v>0</v>
      </c>
      <c r="Q97" s="155">
        <v>0</v>
      </c>
      <c r="R97" s="156">
        <f t="shared" si="4"/>
        <v>0</v>
      </c>
      <c r="S97" s="155">
        <v>1</v>
      </c>
      <c r="T97" s="156">
        <v>1272.5999999999999</v>
      </c>
      <c r="U97" s="155">
        <v>3</v>
      </c>
      <c r="V97" s="156">
        <f t="shared" si="5"/>
        <v>3817.7999999999997</v>
      </c>
      <c r="W97" s="155">
        <v>2</v>
      </c>
      <c r="X97" s="156">
        <v>2545.1999999999998</v>
      </c>
      <c r="Y97" s="155">
        <v>0</v>
      </c>
      <c r="Z97" s="156">
        <v>0</v>
      </c>
      <c r="AA97" s="155">
        <v>2</v>
      </c>
      <c r="AB97" s="156">
        <v>2545.1999999999998</v>
      </c>
      <c r="AC97" s="155">
        <v>2</v>
      </c>
      <c r="AD97" s="156">
        <v>2545.1999999999998</v>
      </c>
      <c r="AE97" s="155">
        <v>1</v>
      </c>
      <c r="AF97" s="156">
        <v>1272.5999999999999</v>
      </c>
      <c r="AG97" s="155">
        <v>0</v>
      </c>
      <c r="AH97" s="156">
        <v>0</v>
      </c>
      <c r="AI97" s="155">
        <v>1</v>
      </c>
      <c r="AJ97" s="156">
        <v>1272.5999999999999</v>
      </c>
      <c r="AK97" s="155">
        <v>1</v>
      </c>
      <c r="AL97" s="156">
        <v>1272.5999999999999</v>
      </c>
      <c r="AM97" s="155">
        <v>5</v>
      </c>
      <c r="AN97" s="156">
        <v>6363</v>
      </c>
      <c r="AO97" s="155">
        <v>1</v>
      </c>
      <c r="AP97" s="156">
        <v>1272.5999999999999</v>
      </c>
      <c r="AQ97" s="155">
        <v>2</v>
      </c>
      <c r="AR97" s="156">
        <v>2545.1999999999998</v>
      </c>
    </row>
    <row r="98" spans="2:44">
      <c r="B98" s="33" t="s">
        <v>207</v>
      </c>
      <c r="C98" s="33" t="s">
        <v>483</v>
      </c>
      <c r="D98" s="33" t="s">
        <v>484</v>
      </c>
      <c r="E98" s="33" t="s">
        <v>392</v>
      </c>
      <c r="F98" s="154">
        <v>2121</v>
      </c>
      <c r="G98" s="155">
        <v>0</v>
      </c>
      <c r="H98" s="156">
        <v>0</v>
      </c>
      <c r="I98" s="155">
        <v>0</v>
      </c>
      <c r="J98" s="156">
        <v>0</v>
      </c>
      <c r="K98" s="155">
        <v>0</v>
      </c>
      <c r="L98" s="156">
        <v>0</v>
      </c>
      <c r="M98" s="155">
        <v>0</v>
      </c>
      <c r="N98" s="156">
        <v>0</v>
      </c>
      <c r="O98" s="155">
        <v>0</v>
      </c>
      <c r="P98" s="156">
        <v>0</v>
      </c>
      <c r="Q98" s="155">
        <v>0</v>
      </c>
      <c r="R98" s="156">
        <f t="shared" si="4"/>
        <v>0</v>
      </c>
      <c r="S98" s="155">
        <v>0</v>
      </c>
      <c r="T98" s="156">
        <v>0</v>
      </c>
      <c r="U98" s="155">
        <v>0</v>
      </c>
      <c r="V98" s="156">
        <f t="shared" si="5"/>
        <v>0</v>
      </c>
      <c r="W98" s="155">
        <v>0</v>
      </c>
      <c r="X98" s="156">
        <v>0</v>
      </c>
      <c r="Y98" s="155">
        <v>2</v>
      </c>
      <c r="Z98" s="156">
        <v>4242</v>
      </c>
      <c r="AA98" s="155">
        <v>1</v>
      </c>
      <c r="AB98" s="156">
        <v>2121</v>
      </c>
      <c r="AC98" s="155">
        <v>0</v>
      </c>
      <c r="AD98" s="156">
        <v>0</v>
      </c>
      <c r="AE98" s="155">
        <v>0</v>
      </c>
      <c r="AF98" s="156">
        <v>0</v>
      </c>
      <c r="AG98" s="155">
        <v>0</v>
      </c>
      <c r="AH98" s="156">
        <v>0</v>
      </c>
      <c r="AI98" s="155">
        <v>0</v>
      </c>
      <c r="AJ98" s="156">
        <v>0</v>
      </c>
      <c r="AK98" s="155">
        <v>0</v>
      </c>
      <c r="AL98" s="156">
        <v>0</v>
      </c>
      <c r="AM98" s="155">
        <v>0</v>
      </c>
      <c r="AN98" s="156">
        <v>0</v>
      </c>
      <c r="AO98" s="155">
        <v>0</v>
      </c>
      <c r="AP98" s="156">
        <v>0</v>
      </c>
      <c r="AQ98" s="155">
        <v>0</v>
      </c>
      <c r="AR98" s="156">
        <v>0</v>
      </c>
    </row>
    <row r="99" spans="2:44">
      <c r="B99" s="33" t="s">
        <v>207</v>
      </c>
      <c r="C99" s="33" t="s">
        <v>485</v>
      </c>
      <c r="D99" s="33" t="s">
        <v>486</v>
      </c>
      <c r="E99" s="33" t="s">
        <v>487</v>
      </c>
      <c r="F99" s="154">
        <v>265.125</v>
      </c>
      <c r="G99" s="155">
        <v>0</v>
      </c>
      <c r="H99" s="156">
        <v>0</v>
      </c>
      <c r="I99" s="155">
        <v>0</v>
      </c>
      <c r="J99" s="156">
        <v>0</v>
      </c>
      <c r="K99" s="155">
        <v>10</v>
      </c>
      <c r="L99" s="156">
        <v>2651.25</v>
      </c>
      <c r="M99" s="155">
        <v>5</v>
      </c>
      <c r="N99" s="156">
        <v>1325.625</v>
      </c>
      <c r="O99" s="155">
        <v>0</v>
      </c>
      <c r="P99" s="156">
        <v>0</v>
      </c>
      <c r="Q99" s="155">
        <v>0</v>
      </c>
      <c r="R99" s="156">
        <f t="shared" si="4"/>
        <v>0</v>
      </c>
      <c r="S99" s="155">
        <v>0</v>
      </c>
      <c r="T99" s="156">
        <v>0</v>
      </c>
      <c r="U99" s="155">
        <v>28</v>
      </c>
      <c r="V99" s="156">
        <f t="shared" si="5"/>
        <v>7423.5</v>
      </c>
      <c r="W99" s="155">
        <v>1</v>
      </c>
      <c r="X99" s="156">
        <v>265.125</v>
      </c>
      <c r="Y99" s="155">
        <v>1</v>
      </c>
      <c r="Z99" s="156">
        <v>265.125</v>
      </c>
      <c r="AA99" s="155">
        <v>7</v>
      </c>
      <c r="AB99" s="156">
        <v>1855.875</v>
      </c>
      <c r="AC99" s="155">
        <v>0</v>
      </c>
      <c r="AD99" s="156">
        <v>0</v>
      </c>
      <c r="AE99" s="155">
        <v>6</v>
      </c>
      <c r="AF99" s="156">
        <v>1590.75</v>
      </c>
      <c r="AG99" s="155">
        <v>17</v>
      </c>
      <c r="AH99" s="156">
        <v>4507.125</v>
      </c>
      <c r="AI99" s="155">
        <v>3</v>
      </c>
      <c r="AJ99" s="156">
        <v>795.375</v>
      </c>
      <c r="AK99" s="155">
        <v>0</v>
      </c>
      <c r="AL99" s="156">
        <v>0</v>
      </c>
      <c r="AM99" s="155">
        <v>2</v>
      </c>
      <c r="AN99" s="156">
        <v>530.25</v>
      </c>
      <c r="AO99" s="155">
        <v>26</v>
      </c>
      <c r="AP99" s="156">
        <v>6893.25</v>
      </c>
      <c r="AQ99" s="155">
        <v>0</v>
      </c>
      <c r="AR99" s="156">
        <v>0</v>
      </c>
    </row>
    <row r="100" spans="2:44">
      <c r="B100" s="33" t="s">
        <v>207</v>
      </c>
      <c r="C100" s="33" t="s">
        <v>488</v>
      </c>
      <c r="D100" s="33" t="s">
        <v>489</v>
      </c>
      <c r="E100" s="33" t="s">
        <v>490</v>
      </c>
      <c r="F100" s="154">
        <v>0.5353</v>
      </c>
      <c r="G100" s="155">
        <v>3644.98</v>
      </c>
      <c r="H100" s="156">
        <v>1951.157794</v>
      </c>
      <c r="I100" s="155">
        <v>0</v>
      </c>
      <c r="J100" s="156">
        <v>0</v>
      </c>
      <c r="K100" s="155">
        <v>20000</v>
      </c>
      <c r="L100" s="156">
        <v>10706</v>
      </c>
      <c r="M100" s="155">
        <v>1</v>
      </c>
      <c r="N100" s="156">
        <v>0.5353</v>
      </c>
      <c r="O100" s="155">
        <v>0</v>
      </c>
      <c r="P100" s="156">
        <v>0</v>
      </c>
      <c r="Q100" s="155">
        <v>208</v>
      </c>
      <c r="R100" s="156">
        <f t="shared" si="4"/>
        <v>111.3424</v>
      </c>
      <c r="S100" s="155">
        <v>7075</v>
      </c>
      <c r="T100" s="156">
        <v>3787.2474999999999</v>
      </c>
      <c r="U100" s="155">
        <v>3</v>
      </c>
      <c r="V100" s="156">
        <f t="shared" si="5"/>
        <v>1.6059000000000001</v>
      </c>
      <c r="W100" s="155">
        <v>80</v>
      </c>
      <c r="X100" s="156">
        <v>42.823999999999998</v>
      </c>
      <c r="Y100" s="155">
        <v>326</v>
      </c>
      <c r="Z100" s="156">
        <v>174.5078</v>
      </c>
      <c r="AA100" s="155">
        <v>21000</v>
      </c>
      <c r="AB100" s="156">
        <v>11241.3</v>
      </c>
      <c r="AC100" s="155">
        <v>0</v>
      </c>
      <c r="AD100" s="156">
        <v>0</v>
      </c>
      <c r="AE100" s="155">
        <v>0</v>
      </c>
      <c r="AF100" s="156">
        <v>0</v>
      </c>
      <c r="AG100" s="155">
        <v>614.1</v>
      </c>
      <c r="AH100" s="156">
        <v>328.72773000000001</v>
      </c>
      <c r="AI100" s="155">
        <v>2428</v>
      </c>
      <c r="AJ100" s="156">
        <v>1299.7084</v>
      </c>
      <c r="AK100" s="155">
        <v>0</v>
      </c>
      <c r="AL100" s="156">
        <v>0</v>
      </c>
      <c r="AM100" s="155">
        <v>0</v>
      </c>
      <c r="AN100" s="156">
        <v>0</v>
      </c>
      <c r="AO100" s="155">
        <v>6</v>
      </c>
      <c r="AP100" s="156">
        <v>3.2118000000000002</v>
      </c>
      <c r="AQ100" s="155">
        <v>0</v>
      </c>
      <c r="AR100" s="156">
        <v>0</v>
      </c>
    </row>
    <row r="101" spans="2:44">
      <c r="B101" s="33" t="s">
        <v>231</v>
      </c>
      <c r="C101" s="33" t="s">
        <v>230</v>
      </c>
      <c r="D101" s="33" t="s">
        <v>232</v>
      </c>
      <c r="E101" s="33" t="s">
        <v>233</v>
      </c>
      <c r="F101" s="154">
        <v>1484.7</v>
      </c>
      <c r="G101" s="155">
        <v>29</v>
      </c>
      <c r="H101" s="156">
        <v>43056.3</v>
      </c>
      <c r="I101" s="155">
        <v>76</v>
      </c>
      <c r="J101" s="156">
        <v>112837.2</v>
      </c>
      <c r="K101" s="155">
        <v>25</v>
      </c>
      <c r="L101" s="156">
        <v>37117.5</v>
      </c>
      <c r="M101" s="155">
        <v>12</v>
      </c>
      <c r="N101" s="156">
        <v>17816.400000000001</v>
      </c>
      <c r="O101" s="155">
        <v>10</v>
      </c>
      <c r="P101" s="156">
        <v>14847</v>
      </c>
      <c r="Q101" s="155">
        <v>44</v>
      </c>
      <c r="R101" s="156">
        <f t="shared" ref="R101:R127" si="6">Q101*F101</f>
        <v>65326.8</v>
      </c>
      <c r="S101" s="155">
        <v>21</v>
      </c>
      <c r="T101" s="156">
        <v>31178.7</v>
      </c>
      <c r="U101" s="155">
        <v>76</v>
      </c>
      <c r="V101" s="156">
        <f t="shared" ref="V101:V127" si="7">U101*F101</f>
        <v>112837.2</v>
      </c>
      <c r="W101" s="155">
        <v>8</v>
      </c>
      <c r="X101" s="156">
        <v>11877.6</v>
      </c>
      <c r="Y101" s="155">
        <v>69</v>
      </c>
      <c r="Z101" s="156">
        <v>102444.3</v>
      </c>
      <c r="AA101" s="155">
        <v>50</v>
      </c>
      <c r="AB101" s="156">
        <v>74235</v>
      </c>
      <c r="AC101" s="155">
        <v>14</v>
      </c>
      <c r="AD101" s="156">
        <v>20785.8</v>
      </c>
      <c r="AE101" s="155">
        <v>39</v>
      </c>
      <c r="AF101" s="156">
        <v>57903.3</v>
      </c>
      <c r="AG101" s="155">
        <v>33</v>
      </c>
      <c r="AH101" s="156">
        <v>48995.1</v>
      </c>
      <c r="AI101" s="155">
        <v>71</v>
      </c>
      <c r="AJ101" s="156">
        <v>105413.7</v>
      </c>
      <c r="AK101" s="155">
        <v>11</v>
      </c>
      <c r="AL101" s="156">
        <v>16331.7</v>
      </c>
      <c r="AM101" s="155">
        <v>9</v>
      </c>
      <c r="AN101" s="156">
        <v>13362.3</v>
      </c>
      <c r="AO101" s="155">
        <v>28</v>
      </c>
      <c r="AP101" s="156">
        <v>41571.599999999999</v>
      </c>
      <c r="AQ101" s="155">
        <v>59</v>
      </c>
      <c r="AR101" s="156">
        <v>87597.3</v>
      </c>
    </row>
    <row r="102" spans="2:44">
      <c r="B102" s="33" t="s">
        <v>231</v>
      </c>
      <c r="C102" s="33" t="s">
        <v>230</v>
      </c>
      <c r="D102" s="33" t="s">
        <v>285</v>
      </c>
      <c r="E102" s="33" t="s">
        <v>233</v>
      </c>
      <c r="F102" s="154">
        <v>1696.8</v>
      </c>
      <c r="G102" s="155">
        <v>16</v>
      </c>
      <c r="H102" s="156">
        <v>27148.799999999999</v>
      </c>
      <c r="I102" s="155">
        <v>25</v>
      </c>
      <c r="J102" s="156">
        <v>42420</v>
      </c>
      <c r="K102" s="155">
        <v>3</v>
      </c>
      <c r="L102" s="156">
        <v>5090.3999999999996</v>
      </c>
      <c r="M102" s="155">
        <v>4</v>
      </c>
      <c r="N102" s="156">
        <v>6787.2</v>
      </c>
      <c r="O102" s="155">
        <v>6</v>
      </c>
      <c r="P102" s="156">
        <v>10180.799999999999</v>
      </c>
      <c r="Q102" s="155">
        <v>53</v>
      </c>
      <c r="R102" s="156">
        <f t="shared" si="6"/>
        <v>89930.4</v>
      </c>
      <c r="S102" s="155">
        <v>32</v>
      </c>
      <c r="T102" s="156">
        <v>54297.599999999999</v>
      </c>
      <c r="U102" s="155">
        <v>34</v>
      </c>
      <c r="V102" s="156">
        <f t="shared" si="7"/>
        <v>57691.199999999997</v>
      </c>
      <c r="W102" s="155">
        <v>0</v>
      </c>
      <c r="X102" s="156">
        <v>0</v>
      </c>
      <c r="Y102" s="155">
        <v>19</v>
      </c>
      <c r="Z102" s="156">
        <v>32239.200000000001</v>
      </c>
      <c r="AA102" s="155">
        <v>26</v>
      </c>
      <c r="AB102" s="156">
        <v>44116.800000000003</v>
      </c>
      <c r="AC102" s="155">
        <v>0</v>
      </c>
      <c r="AD102" s="156">
        <v>0</v>
      </c>
      <c r="AE102" s="155">
        <v>39</v>
      </c>
      <c r="AF102" s="156">
        <v>66175.199999999997</v>
      </c>
      <c r="AG102" s="155">
        <v>2</v>
      </c>
      <c r="AH102" s="156">
        <v>3393.6</v>
      </c>
      <c r="AI102" s="155">
        <v>16</v>
      </c>
      <c r="AJ102" s="156">
        <v>27148.799999999999</v>
      </c>
      <c r="AK102" s="155">
        <v>2</v>
      </c>
      <c r="AL102" s="156">
        <v>3393.6</v>
      </c>
      <c r="AM102" s="155">
        <v>0</v>
      </c>
      <c r="AN102" s="156">
        <v>0</v>
      </c>
      <c r="AO102" s="155">
        <v>14</v>
      </c>
      <c r="AP102" s="156">
        <v>23755.200000000001</v>
      </c>
      <c r="AQ102" s="155">
        <v>14</v>
      </c>
      <c r="AR102" s="156">
        <v>23755.200000000001</v>
      </c>
    </row>
    <row r="103" spans="2:44">
      <c r="B103" s="33" t="s">
        <v>231</v>
      </c>
      <c r="C103" s="33" t="s">
        <v>230</v>
      </c>
      <c r="D103" s="33" t="s">
        <v>491</v>
      </c>
      <c r="E103" s="33" t="s">
        <v>233</v>
      </c>
      <c r="F103" s="154">
        <v>1908.9</v>
      </c>
      <c r="G103" s="155">
        <v>3</v>
      </c>
      <c r="H103" s="156">
        <v>5726.7</v>
      </c>
      <c r="I103" s="155">
        <v>0</v>
      </c>
      <c r="J103" s="156">
        <v>0</v>
      </c>
      <c r="K103" s="155">
        <v>16</v>
      </c>
      <c r="L103" s="156">
        <v>30542.400000000001</v>
      </c>
      <c r="M103" s="155">
        <v>0</v>
      </c>
      <c r="N103" s="156">
        <v>0</v>
      </c>
      <c r="O103" s="155">
        <v>0</v>
      </c>
      <c r="P103" s="156">
        <v>0</v>
      </c>
      <c r="Q103" s="155">
        <v>0</v>
      </c>
      <c r="R103" s="156">
        <f t="shared" si="6"/>
        <v>0</v>
      </c>
      <c r="S103" s="155">
        <v>2</v>
      </c>
      <c r="T103" s="156">
        <v>3817.8</v>
      </c>
      <c r="U103" s="155">
        <v>1</v>
      </c>
      <c r="V103" s="156">
        <f t="shared" si="7"/>
        <v>1908.9</v>
      </c>
      <c r="W103" s="155">
        <v>0</v>
      </c>
      <c r="X103" s="156">
        <v>0</v>
      </c>
      <c r="Y103" s="155">
        <v>0</v>
      </c>
      <c r="Z103" s="156">
        <v>0</v>
      </c>
      <c r="AA103" s="155">
        <v>0</v>
      </c>
      <c r="AB103" s="156">
        <v>0</v>
      </c>
      <c r="AC103" s="155">
        <v>0</v>
      </c>
      <c r="AD103" s="156">
        <v>0</v>
      </c>
      <c r="AE103" s="155">
        <v>0</v>
      </c>
      <c r="AF103" s="156">
        <v>0</v>
      </c>
      <c r="AG103" s="155">
        <v>0</v>
      </c>
      <c r="AH103" s="156">
        <v>0</v>
      </c>
      <c r="AI103" s="155">
        <v>0</v>
      </c>
      <c r="AJ103" s="156">
        <v>0</v>
      </c>
      <c r="AK103" s="155">
        <v>0</v>
      </c>
      <c r="AL103" s="156">
        <v>0</v>
      </c>
      <c r="AM103" s="155">
        <v>0</v>
      </c>
      <c r="AN103" s="156">
        <v>0</v>
      </c>
      <c r="AO103" s="155">
        <v>0</v>
      </c>
      <c r="AP103" s="156">
        <v>0</v>
      </c>
      <c r="AQ103" s="155">
        <v>0</v>
      </c>
      <c r="AR103" s="156">
        <v>0</v>
      </c>
    </row>
    <row r="104" spans="2:44">
      <c r="B104" s="33" t="s">
        <v>231</v>
      </c>
      <c r="C104" s="33" t="s">
        <v>237</v>
      </c>
      <c r="D104" s="33" t="s">
        <v>238</v>
      </c>
      <c r="E104" s="33" t="s">
        <v>239</v>
      </c>
      <c r="F104" s="154">
        <v>265.125</v>
      </c>
      <c r="G104" s="155">
        <v>7</v>
      </c>
      <c r="H104" s="156">
        <v>1855.875</v>
      </c>
      <c r="I104" s="155">
        <v>4</v>
      </c>
      <c r="J104" s="156">
        <v>1060.5</v>
      </c>
      <c r="K104" s="155">
        <v>2</v>
      </c>
      <c r="L104" s="156">
        <v>530.25</v>
      </c>
      <c r="M104" s="155">
        <v>2</v>
      </c>
      <c r="N104" s="156">
        <v>530.25</v>
      </c>
      <c r="O104" s="155">
        <v>1</v>
      </c>
      <c r="P104" s="156">
        <v>265.125</v>
      </c>
      <c r="Q104" s="155">
        <v>7</v>
      </c>
      <c r="R104" s="156">
        <f t="shared" si="6"/>
        <v>1855.875</v>
      </c>
      <c r="S104" s="155">
        <v>5</v>
      </c>
      <c r="T104" s="156">
        <v>1325.625</v>
      </c>
      <c r="U104" s="155">
        <v>14</v>
      </c>
      <c r="V104" s="156">
        <f t="shared" si="7"/>
        <v>3711.75</v>
      </c>
      <c r="W104" s="155">
        <v>0</v>
      </c>
      <c r="X104" s="156">
        <v>0</v>
      </c>
      <c r="Y104" s="155">
        <v>4</v>
      </c>
      <c r="Z104" s="156">
        <v>1060.5</v>
      </c>
      <c r="AA104" s="155">
        <v>0</v>
      </c>
      <c r="AB104" s="156">
        <v>0</v>
      </c>
      <c r="AC104" s="155">
        <v>2</v>
      </c>
      <c r="AD104" s="156">
        <v>530.25</v>
      </c>
      <c r="AE104" s="155">
        <v>0</v>
      </c>
      <c r="AF104" s="156">
        <v>0</v>
      </c>
      <c r="AG104" s="155">
        <v>0</v>
      </c>
      <c r="AH104" s="156">
        <v>0</v>
      </c>
      <c r="AI104" s="155">
        <v>2</v>
      </c>
      <c r="AJ104" s="156">
        <v>530.25</v>
      </c>
      <c r="AK104" s="155">
        <v>0</v>
      </c>
      <c r="AL104" s="156">
        <v>0</v>
      </c>
      <c r="AM104" s="155">
        <v>2</v>
      </c>
      <c r="AN104" s="156">
        <v>530.25</v>
      </c>
      <c r="AO104" s="155">
        <v>0</v>
      </c>
      <c r="AP104" s="156">
        <v>0</v>
      </c>
      <c r="AQ104" s="155">
        <v>4</v>
      </c>
      <c r="AR104" s="156">
        <v>1060.5</v>
      </c>
    </row>
    <row r="105" spans="2:44">
      <c r="B105" s="33" t="s">
        <v>231</v>
      </c>
      <c r="C105" s="33" t="s">
        <v>492</v>
      </c>
      <c r="D105" s="33" t="s">
        <v>493</v>
      </c>
      <c r="E105" s="33" t="s">
        <v>494</v>
      </c>
      <c r="F105" s="154">
        <v>742.35</v>
      </c>
      <c r="G105" s="155">
        <v>0</v>
      </c>
      <c r="H105" s="156">
        <v>0</v>
      </c>
      <c r="I105" s="155">
        <v>1</v>
      </c>
      <c r="J105" s="156">
        <v>742.35</v>
      </c>
      <c r="K105" s="155">
        <v>0</v>
      </c>
      <c r="L105" s="156">
        <v>0</v>
      </c>
      <c r="M105" s="155">
        <v>0</v>
      </c>
      <c r="N105" s="156">
        <v>0</v>
      </c>
      <c r="O105" s="155">
        <v>0</v>
      </c>
      <c r="P105" s="156">
        <v>0</v>
      </c>
      <c r="Q105" s="155">
        <v>0</v>
      </c>
      <c r="R105" s="156">
        <f t="shared" si="6"/>
        <v>0</v>
      </c>
      <c r="S105" s="155">
        <v>0</v>
      </c>
      <c r="T105" s="156">
        <v>0</v>
      </c>
      <c r="U105" s="155">
        <v>4</v>
      </c>
      <c r="V105" s="156">
        <f t="shared" si="7"/>
        <v>2969.4</v>
      </c>
      <c r="W105" s="155">
        <v>0</v>
      </c>
      <c r="X105" s="156">
        <v>0</v>
      </c>
      <c r="Y105" s="155">
        <v>0</v>
      </c>
      <c r="Z105" s="156">
        <v>0</v>
      </c>
      <c r="AA105" s="155">
        <v>8</v>
      </c>
      <c r="AB105" s="156">
        <v>5938.8</v>
      </c>
      <c r="AC105" s="155">
        <v>0</v>
      </c>
      <c r="AD105" s="156">
        <v>0</v>
      </c>
      <c r="AE105" s="155">
        <v>0</v>
      </c>
      <c r="AF105" s="156">
        <v>0</v>
      </c>
      <c r="AG105" s="155">
        <v>0</v>
      </c>
      <c r="AH105" s="156">
        <v>0</v>
      </c>
      <c r="AI105" s="155">
        <v>0</v>
      </c>
      <c r="AJ105" s="156">
        <v>0</v>
      </c>
      <c r="AK105" s="155">
        <v>0</v>
      </c>
      <c r="AL105" s="156">
        <v>0</v>
      </c>
      <c r="AM105" s="155">
        <v>0</v>
      </c>
      <c r="AN105" s="156">
        <v>0</v>
      </c>
      <c r="AO105" s="155">
        <v>0</v>
      </c>
      <c r="AP105" s="156">
        <v>0</v>
      </c>
      <c r="AQ105" s="155">
        <v>0</v>
      </c>
      <c r="AR105" s="156">
        <v>0</v>
      </c>
    </row>
    <row r="106" spans="2:44">
      <c r="B106" s="33" t="s">
        <v>231</v>
      </c>
      <c r="C106" s="33" t="s">
        <v>495</v>
      </c>
      <c r="D106" s="33" t="s">
        <v>496</v>
      </c>
      <c r="E106" s="33" t="s">
        <v>497</v>
      </c>
      <c r="F106" s="154">
        <v>848.4</v>
      </c>
      <c r="G106" s="155">
        <v>2</v>
      </c>
      <c r="H106" s="156">
        <v>1696.8</v>
      </c>
      <c r="I106" s="155">
        <v>0</v>
      </c>
      <c r="J106" s="156">
        <v>0</v>
      </c>
      <c r="K106" s="155">
        <v>0</v>
      </c>
      <c r="L106" s="156">
        <v>0</v>
      </c>
      <c r="M106" s="155">
        <v>2</v>
      </c>
      <c r="N106" s="156">
        <v>1696.8</v>
      </c>
      <c r="O106" s="155">
        <v>0</v>
      </c>
      <c r="P106" s="156">
        <v>0</v>
      </c>
      <c r="Q106" s="155">
        <v>0</v>
      </c>
      <c r="R106" s="156">
        <f t="shared" si="6"/>
        <v>0</v>
      </c>
      <c r="S106" s="155">
        <v>1</v>
      </c>
      <c r="T106" s="156">
        <v>848.4</v>
      </c>
      <c r="U106" s="155">
        <v>3</v>
      </c>
      <c r="V106" s="156">
        <f t="shared" si="7"/>
        <v>2545.1999999999998</v>
      </c>
      <c r="W106" s="155">
        <v>0</v>
      </c>
      <c r="X106" s="156">
        <v>0</v>
      </c>
      <c r="Y106" s="155">
        <v>5</v>
      </c>
      <c r="Z106" s="156">
        <v>4242</v>
      </c>
      <c r="AA106" s="155">
        <v>0</v>
      </c>
      <c r="AB106" s="156">
        <v>0</v>
      </c>
      <c r="AC106" s="155">
        <v>0</v>
      </c>
      <c r="AD106" s="156">
        <v>0</v>
      </c>
      <c r="AE106" s="155">
        <v>0</v>
      </c>
      <c r="AF106" s="156">
        <v>0</v>
      </c>
      <c r="AG106" s="155">
        <v>1</v>
      </c>
      <c r="AH106" s="156">
        <v>848.4</v>
      </c>
      <c r="AI106" s="155">
        <v>0</v>
      </c>
      <c r="AJ106" s="156">
        <v>0</v>
      </c>
      <c r="AK106" s="155">
        <v>0</v>
      </c>
      <c r="AL106" s="156">
        <v>0</v>
      </c>
      <c r="AM106" s="155">
        <v>4</v>
      </c>
      <c r="AN106" s="156">
        <v>3393.6</v>
      </c>
      <c r="AO106" s="155">
        <v>3</v>
      </c>
      <c r="AP106" s="156">
        <v>2545.1999999999998</v>
      </c>
      <c r="AQ106" s="155">
        <v>5</v>
      </c>
      <c r="AR106" s="156">
        <v>4242</v>
      </c>
    </row>
    <row r="107" spans="2:44">
      <c r="B107" s="33" t="s">
        <v>242</v>
      </c>
      <c r="C107" s="33" t="s">
        <v>241</v>
      </c>
      <c r="D107" s="33" t="s">
        <v>243</v>
      </c>
      <c r="E107" s="33" t="s">
        <v>244</v>
      </c>
      <c r="F107" s="154">
        <v>318.14999999999998</v>
      </c>
      <c r="G107" s="155">
        <v>10</v>
      </c>
      <c r="H107" s="156">
        <v>3181.5</v>
      </c>
      <c r="I107" s="155">
        <v>0</v>
      </c>
      <c r="J107" s="156">
        <v>0</v>
      </c>
      <c r="K107" s="155">
        <v>30</v>
      </c>
      <c r="L107" s="156">
        <v>9544.5</v>
      </c>
      <c r="M107" s="155">
        <v>3</v>
      </c>
      <c r="N107" s="156">
        <v>954.45</v>
      </c>
      <c r="O107" s="155">
        <v>2</v>
      </c>
      <c r="P107" s="156">
        <v>636.29999999999995</v>
      </c>
      <c r="Q107" s="155">
        <v>9</v>
      </c>
      <c r="R107" s="156">
        <f t="shared" si="6"/>
        <v>2863.35</v>
      </c>
      <c r="S107" s="155">
        <v>19</v>
      </c>
      <c r="T107" s="156">
        <v>6044.85</v>
      </c>
      <c r="U107" s="155">
        <v>63</v>
      </c>
      <c r="V107" s="156">
        <f t="shared" si="7"/>
        <v>20043.449999999997</v>
      </c>
      <c r="W107" s="155">
        <v>2</v>
      </c>
      <c r="X107" s="156">
        <v>636.29999999999995</v>
      </c>
      <c r="Y107" s="155">
        <v>13</v>
      </c>
      <c r="Z107" s="156">
        <v>4135.95</v>
      </c>
      <c r="AA107" s="155">
        <v>34</v>
      </c>
      <c r="AB107" s="156">
        <v>10817.1</v>
      </c>
      <c r="AC107" s="155">
        <v>8</v>
      </c>
      <c r="AD107" s="156">
        <v>2545.1999999999998</v>
      </c>
      <c r="AE107" s="155">
        <v>7</v>
      </c>
      <c r="AF107" s="156">
        <v>2227.0500000000002</v>
      </c>
      <c r="AG107" s="155">
        <v>60</v>
      </c>
      <c r="AH107" s="156">
        <v>19089</v>
      </c>
      <c r="AI107" s="155">
        <v>16</v>
      </c>
      <c r="AJ107" s="156">
        <v>5090.3999999999996</v>
      </c>
      <c r="AK107" s="155">
        <v>7</v>
      </c>
      <c r="AL107" s="156">
        <v>2227.0500000000002</v>
      </c>
      <c r="AM107" s="155">
        <v>5</v>
      </c>
      <c r="AN107" s="156">
        <v>1590.75</v>
      </c>
      <c r="AO107" s="155">
        <v>22</v>
      </c>
      <c r="AP107" s="156">
        <v>6999.3</v>
      </c>
      <c r="AQ107" s="155">
        <v>0</v>
      </c>
      <c r="AR107" s="156">
        <v>0</v>
      </c>
    </row>
    <row r="108" spans="2:44">
      <c r="B108" s="33" t="s">
        <v>242</v>
      </c>
      <c r="C108" s="33" t="s">
        <v>498</v>
      </c>
      <c r="D108" s="33" t="s">
        <v>499</v>
      </c>
      <c r="E108" s="33" t="s">
        <v>500</v>
      </c>
      <c r="F108" s="154">
        <v>1.4341999999999999</v>
      </c>
      <c r="G108" s="155">
        <v>106399.05</v>
      </c>
      <c r="H108" s="156">
        <v>152597.51751000001</v>
      </c>
      <c r="I108" s="155">
        <v>0</v>
      </c>
      <c r="J108" s="156">
        <v>0</v>
      </c>
      <c r="K108" s="155">
        <v>104262</v>
      </c>
      <c r="L108" s="156">
        <v>149532.56039999999</v>
      </c>
      <c r="M108" s="155">
        <v>30810</v>
      </c>
      <c r="N108" s="156">
        <v>44187.701999999997</v>
      </c>
      <c r="O108" s="155">
        <v>18134</v>
      </c>
      <c r="P108" s="156">
        <v>26007.782800000001</v>
      </c>
      <c r="Q108" s="155">
        <v>122972.39</v>
      </c>
      <c r="R108" s="156">
        <f t="shared" si="6"/>
        <v>176367.00173799999</v>
      </c>
      <c r="S108" s="155">
        <v>137843</v>
      </c>
      <c r="T108" s="156">
        <v>197694.43059999999</v>
      </c>
      <c r="U108" s="155">
        <v>167584</v>
      </c>
      <c r="V108" s="156">
        <f t="shared" si="7"/>
        <v>240348.97279999999</v>
      </c>
      <c r="W108" s="155">
        <v>20186.21</v>
      </c>
      <c r="X108" s="156">
        <v>28951.062382</v>
      </c>
      <c r="Y108" s="155">
        <v>238870.75</v>
      </c>
      <c r="Z108" s="156">
        <v>342588.42965000001</v>
      </c>
      <c r="AA108" s="155">
        <v>247600</v>
      </c>
      <c r="AB108" s="156">
        <v>355107.92</v>
      </c>
      <c r="AC108" s="155">
        <v>38874.6</v>
      </c>
      <c r="AD108" s="156">
        <v>55753.95132</v>
      </c>
      <c r="AE108" s="155">
        <v>169645.52</v>
      </c>
      <c r="AF108" s="156">
        <v>243305.604784</v>
      </c>
      <c r="AG108" s="155">
        <v>86146.69</v>
      </c>
      <c r="AH108" s="156">
        <v>123551.582798</v>
      </c>
      <c r="AI108" s="155">
        <v>153378</v>
      </c>
      <c r="AJ108" s="156">
        <v>219974.72760000001</v>
      </c>
      <c r="AK108" s="155">
        <v>19771</v>
      </c>
      <c r="AL108" s="156">
        <v>28355.568200000002</v>
      </c>
      <c r="AM108" s="155">
        <v>31415.26</v>
      </c>
      <c r="AN108" s="156">
        <v>45055.765892000003</v>
      </c>
      <c r="AO108" s="155">
        <v>75793</v>
      </c>
      <c r="AP108" s="156">
        <v>108702.32060000001</v>
      </c>
      <c r="AQ108" s="155">
        <v>271551.19</v>
      </c>
      <c r="AR108" s="156">
        <v>389458.71669799997</v>
      </c>
    </row>
    <row r="109" spans="2:44">
      <c r="B109" s="33" t="s">
        <v>242</v>
      </c>
      <c r="C109" s="33" t="s">
        <v>501</v>
      </c>
      <c r="D109" s="33" t="s">
        <v>502</v>
      </c>
      <c r="E109" s="33" t="s">
        <v>503</v>
      </c>
      <c r="F109" s="154">
        <v>1272.5999999999999</v>
      </c>
      <c r="G109" s="155">
        <v>4</v>
      </c>
      <c r="H109" s="156">
        <v>5090.3999999999996</v>
      </c>
      <c r="I109" s="155">
        <v>0</v>
      </c>
      <c r="J109" s="156">
        <v>0</v>
      </c>
      <c r="K109" s="155">
        <v>7</v>
      </c>
      <c r="L109" s="156">
        <v>8908.2000000000007</v>
      </c>
      <c r="M109" s="155">
        <v>2</v>
      </c>
      <c r="N109" s="156">
        <v>2545.1999999999998</v>
      </c>
      <c r="O109" s="155">
        <v>0</v>
      </c>
      <c r="P109" s="156">
        <v>0</v>
      </c>
      <c r="Q109" s="155">
        <v>51</v>
      </c>
      <c r="R109" s="156">
        <f t="shared" si="6"/>
        <v>64902.6</v>
      </c>
      <c r="S109" s="155">
        <v>11</v>
      </c>
      <c r="T109" s="156">
        <v>13998.6</v>
      </c>
      <c r="U109" s="155">
        <v>41</v>
      </c>
      <c r="V109" s="156">
        <f t="shared" si="7"/>
        <v>52176.6</v>
      </c>
      <c r="W109" s="155">
        <v>1</v>
      </c>
      <c r="X109" s="156">
        <v>1272.5999999999999</v>
      </c>
      <c r="Y109" s="155">
        <v>2</v>
      </c>
      <c r="Z109" s="156">
        <v>2545.1999999999998</v>
      </c>
      <c r="AA109" s="155">
        <v>0</v>
      </c>
      <c r="AB109" s="156">
        <v>0</v>
      </c>
      <c r="AC109" s="155">
        <v>20</v>
      </c>
      <c r="AD109" s="156">
        <v>25452</v>
      </c>
      <c r="AE109" s="155">
        <v>0</v>
      </c>
      <c r="AF109" s="156">
        <v>0</v>
      </c>
      <c r="AG109" s="155">
        <v>23</v>
      </c>
      <c r="AH109" s="156">
        <v>29269.8</v>
      </c>
      <c r="AI109" s="155">
        <v>29</v>
      </c>
      <c r="AJ109" s="156">
        <v>36905.4</v>
      </c>
      <c r="AK109" s="155">
        <v>6</v>
      </c>
      <c r="AL109" s="156">
        <v>7635.6</v>
      </c>
      <c r="AM109" s="155">
        <v>1</v>
      </c>
      <c r="AN109" s="156">
        <v>1272.5999999999999</v>
      </c>
      <c r="AO109" s="155">
        <v>4</v>
      </c>
      <c r="AP109" s="156">
        <v>5090.3999999999996</v>
      </c>
      <c r="AQ109" s="155">
        <v>0</v>
      </c>
      <c r="AR109" s="156">
        <v>0</v>
      </c>
    </row>
    <row r="110" spans="2:44">
      <c r="B110" s="33" t="s">
        <v>242</v>
      </c>
      <c r="C110" s="33" t="s">
        <v>504</v>
      </c>
      <c r="D110" s="33" t="s">
        <v>505</v>
      </c>
      <c r="E110" s="33" t="s">
        <v>506</v>
      </c>
      <c r="F110" s="154">
        <v>0.84840000000000004</v>
      </c>
      <c r="G110" s="155">
        <v>19558</v>
      </c>
      <c r="H110" s="156">
        <v>16593.0072</v>
      </c>
      <c r="I110" s="155">
        <v>0</v>
      </c>
      <c r="J110" s="156">
        <v>0</v>
      </c>
      <c r="K110" s="155">
        <v>22600</v>
      </c>
      <c r="L110" s="156">
        <v>19173.84</v>
      </c>
      <c r="M110" s="155">
        <v>6000</v>
      </c>
      <c r="N110" s="156">
        <v>5090.3999999999996</v>
      </c>
      <c r="O110" s="155">
        <v>0</v>
      </c>
      <c r="P110" s="156">
        <v>0</v>
      </c>
      <c r="Q110" s="155">
        <v>72229.210000000006</v>
      </c>
      <c r="R110" s="156">
        <f t="shared" si="6"/>
        <v>61279.26176400001</v>
      </c>
      <c r="S110" s="155">
        <v>38933</v>
      </c>
      <c r="T110" s="156">
        <v>33030.7572</v>
      </c>
      <c r="U110" s="155">
        <v>89095</v>
      </c>
      <c r="V110" s="156">
        <f t="shared" si="7"/>
        <v>75588.198000000004</v>
      </c>
      <c r="W110" s="155">
        <v>5000</v>
      </c>
      <c r="X110" s="156">
        <v>4242</v>
      </c>
      <c r="Y110" s="155">
        <v>48338.42</v>
      </c>
      <c r="Z110" s="156">
        <v>41010.315527999999</v>
      </c>
      <c r="AA110" s="155">
        <v>104875</v>
      </c>
      <c r="AB110" s="156">
        <v>88975.95</v>
      </c>
      <c r="AC110" s="155">
        <v>11450</v>
      </c>
      <c r="AD110" s="156">
        <v>9714.18</v>
      </c>
      <c r="AE110" s="155">
        <v>0</v>
      </c>
      <c r="AF110" s="156">
        <v>0</v>
      </c>
      <c r="AG110" s="155">
        <v>22254.03</v>
      </c>
      <c r="AH110" s="156">
        <v>18880.319051999999</v>
      </c>
      <c r="AI110" s="155">
        <v>65921</v>
      </c>
      <c r="AJ110" s="156">
        <v>55927.376400000001</v>
      </c>
      <c r="AK110" s="155">
        <v>5298</v>
      </c>
      <c r="AL110" s="156">
        <v>4494.8231999999998</v>
      </c>
      <c r="AM110" s="155">
        <v>7057</v>
      </c>
      <c r="AN110" s="156">
        <v>5987.1588000000002</v>
      </c>
      <c r="AO110" s="155">
        <v>29200</v>
      </c>
      <c r="AP110" s="156">
        <v>24773.279999999999</v>
      </c>
      <c r="AQ110" s="155">
        <v>0</v>
      </c>
      <c r="AR110" s="156">
        <v>0</v>
      </c>
    </row>
    <row r="111" spans="2:44">
      <c r="B111" s="33" t="s">
        <v>242</v>
      </c>
      <c r="C111" s="33" t="s">
        <v>246</v>
      </c>
      <c r="D111" s="33" t="s">
        <v>247</v>
      </c>
      <c r="E111" s="33" t="s">
        <v>248</v>
      </c>
      <c r="F111" s="154">
        <v>265.125</v>
      </c>
      <c r="G111" s="155">
        <v>14</v>
      </c>
      <c r="H111" s="156">
        <v>3711.75</v>
      </c>
      <c r="I111" s="155">
        <v>34</v>
      </c>
      <c r="J111" s="156">
        <v>9014.25</v>
      </c>
      <c r="K111" s="155">
        <v>8</v>
      </c>
      <c r="L111" s="156">
        <v>2121</v>
      </c>
      <c r="M111" s="155">
        <v>5</v>
      </c>
      <c r="N111" s="156">
        <v>1325.625</v>
      </c>
      <c r="O111" s="155">
        <v>5</v>
      </c>
      <c r="P111" s="156">
        <v>1325.625</v>
      </c>
      <c r="Q111" s="155">
        <v>36</v>
      </c>
      <c r="R111" s="156">
        <f t="shared" si="6"/>
        <v>9544.5</v>
      </c>
      <c r="S111" s="155">
        <v>21</v>
      </c>
      <c r="T111" s="156">
        <v>5567.625</v>
      </c>
      <c r="U111" s="155">
        <v>48</v>
      </c>
      <c r="V111" s="156">
        <f t="shared" si="7"/>
        <v>12726</v>
      </c>
      <c r="W111" s="155">
        <v>8</v>
      </c>
      <c r="X111" s="156">
        <v>2121</v>
      </c>
      <c r="Y111" s="155">
        <v>29</v>
      </c>
      <c r="Z111" s="156">
        <v>7688.625</v>
      </c>
      <c r="AA111" s="155">
        <v>33</v>
      </c>
      <c r="AB111" s="156">
        <v>8749.125</v>
      </c>
      <c r="AC111" s="155">
        <v>13</v>
      </c>
      <c r="AD111" s="156">
        <v>3446.625</v>
      </c>
      <c r="AE111" s="155">
        <v>52</v>
      </c>
      <c r="AF111" s="156">
        <v>13786.5</v>
      </c>
      <c r="AG111" s="155">
        <v>10</v>
      </c>
      <c r="AH111" s="156">
        <v>2651.25</v>
      </c>
      <c r="AI111" s="155">
        <v>35</v>
      </c>
      <c r="AJ111" s="156">
        <v>9279.375</v>
      </c>
      <c r="AK111" s="155">
        <v>7</v>
      </c>
      <c r="AL111" s="156">
        <v>1855.875</v>
      </c>
      <c r="AM111" s="155">
        <v>9</v>
      </c>
      <c r="AN111" s="156">
        <v>2386.125</v>
      </c>
      <c r="AO111" s="155">
        <v>14</v>
      </c>
      <c r="AP111" s="156">
        <v>3711.75</v>
      </c>
      <c r="AQ111" s="155">
        <v>29</v>
      </c>
      <c r="AR111" s="156">
        <v>7688.625</v>
      </c>
    </row>
    <row r="112" spans="2:44">
      <c r="B112" s="33" t="s">
        <v>242</v>
      </c>
      <c r="C112" s="33" t="s">
        <v>260</v>
      </c>
      <c r="D112" s="33" t="s">
        <v>261</v>
      </c>
      <c r="E112" s="33" t="s">
        <v>262</v>
      </c>
      <c r="F112" s="154">
        <v>318.14999999999998</v>
      </c>
      <c r="G112" s="155">
        <v>96</v>
      </c>
      <c r="H112" s="156">
        <v>30542.400000000001</v>
      </c>
      <c r="I112" s="155">
        <v>101</v>
      </c>
      <c r="J112" s="156">
        <v>32133.15</v>
      </c>
      <c r="K112" s="155">
        <v>18</v>
      </c>
      <c r="L112" s="156">
        <v>5726.7</v>
      </c>
      <c r="M112" s="155">
        <v>10</v>
      </c>
      <c r="N112" s="156">
        <v>3181.5</v>
      </c>
      <c r="O112" s="155">
        <v>0</v>
      </c>
      <c r="P112" s="156">
        <v>0</v>
      </c>
      <c r="Q112" s="155">
        <v>107</v>
      </c>
      <c r="R112" s="156">
        <f t="shared" si="6"/>
        <v>34042.049999999996</v>
      </c>
      <c r="S112" s="155">
        <v>154</v>
      </c>
      <c r="T112" s="156">
        <v>48995.1</v>
      </c>
      <c r="U112" s="155">
        <v>162</v>
      </c>
      <c r="V112" s="156">
        <f t="shared" si="7"/>
        <v>51540.299999999996</v>
      </c>
      <c r="W112" s="155">
        <v>7</v>
      </c>
      <c r="X112" s="156">
        <v>2227.0500000000002</v>
      </c>
      <c r="Y112" s="155">
        <v>89</v>
      </c>
      <c r="Z112" s="156">
        <v>28315.35</v>
      </c>
      <c r="AA112" s="155">
        <v>51</v>
      </c>
      <c r="AB112" s="156">
        <v>16225.65</v>
      </c>
      <c r="AC112" s="155">
        <v>0</v>
      </c>
      <c r="AD112" s="156">
        <v>0</v>
      </c>
      <c r="AE112" s="155">
        <v>0</v>
      </c>
      <c r="AF112" s="156">
        <v>0</v>
      </c>
      <c r="AG112" s="155">
        <v>42</v>
      </c>
      <c r="AH112" s="156">
        <v>13362.3</v>
      </c>
      <c r="AI112" s="155">
        <v>78</v>
      </c>
      <c r="AJ112" s="156">
        <v>24815.7</v>
      </c>
      <c r="AK112" s="155">
        <v>1</v>
      </c>
      <c r="AL112" s="156">
        <v>318.14999999999998</v>
      </c>
      <c r="AM112" s="155">
        <v>3</v>
      </c>
      <c r="AN112" s="156">
        <v>954.45</v>
      </c>
      <c r="AO112" s="155">
        <v>84</v>
      </c>
      <c r="AP112" s="156">
        <v>26724.6</v>
      </c>
      <c r="AQ112" s="155">
        <v>89</v>
      </c>
      <c r="AR112" s="156">
        <v>28315.35</v>
      </c>
    </row>
    <row r="113" spans="2:44">
      <c r="B113" s="33" t="s">
        <v>242</v>
      </c>
      <c r="C113" s="33" t="s">
        <v>507</v>
      </c>
      <c r="D113" s="33" t="s">
        <v>508</v>
      </c>
      <c r="E113" s="33" t="s">
        <v>509</v>
      </c>
      <c r="F113" s="154">
        <v>2121</v>
      </c>
      <c r="G113" s="155">
        <v>0</v>
      </c>
      <c r="H113" s="156">
        <v>0</v>
      </c>
      <c r="I113" s="155">
        <v>0</v>
      </c>
      <c r="J113" s="156">
        <v>0</v>
      </c>
      <c r="K113" s="155">
        <v>10</v>
      </c>
      <c r="L113" s="156">
        <v>21210</v>
      </c>
      <c r="M113" s="155">
        <v>2</v>
      </c>
      <c r="N113" s="156">
        <v>4242</v>
      </c>
      <c r="O113" s="155">
        <v>0</v>
      </c>
      <c r="P113" s="156">
        <v>0</v>
      </c>
      <c r="Q113" s="155">
        <v>0</v>
      </c>
      <c r="R113" s="156">
        <f t="shared" si="6"/>
        <v>0</v>
      </c>
      <c r="S113" s="155">
        <v>0</v>
      </c>
      <c r="T113" s="156">
        <v>0</v>
      </c>
      <c r="U113" s="155">
        <v>0</v>
      </c>
      <c r="V113" s="156">
        <f t="shared" si="7"/>
        <v>0</v>
      </c>
      <c r="W113" s="155">
        <v>0</v>
      </c>
      <c r="X113" s="156">
        <v>0</v>
      </c>
      <c r="Y113" s="155">
        <v>4</v>
      </c>
      <c r="Z113" s="156">
        <v>8484</v>
      </c>
      <c r="AA113" s="155">
        <v>2</v>
      </c>
      <c r="AB113" s="156">
        <v>4242</v>
      </c>
      <c r="AC113" s="155">
        <v>0</v>
      </c>
      <c r="AD113" s="156">
        <v>0</v>
      </c>
      <c r="AE113" s="155">
        <v>0</v>
      </c>
      <c r="AF113" s="156">
        <v>0</v>
      </c>
      <c r="AG113" s="155">
        <v>0</v>
      </c>
      <c r="AH113" s="156">
        <v>0</v>
      </c>
      <c r="AI113" s="155">
        <v>0</v>
      </c>
      <c r="AJ113" s="156">
        <v>0</v>
      </c>
      <c r="AK113" s="155">
        <v>0</v>
      </c>
      <c r="AL113" s="156">
        <v>0</v>
      </c>
      <c r="AM113" s="155">
        <v>0</v>
      </c>
      <c r="AN113" s="156">
        <v>0</v>
      </c>
      <c r="AO113" s="155">
        <v>0</v>
      </c>
      <c r="AP113" s="156">
        <v>0</v>
      </c>
      <c r="AQ113" s="155">
        <v>2</v>
      </c>
      <c r="AR113" s="156">
        <v>4242</v>
      </c>
    </row>
    <row r="114" spans="2:44">
      <c r="B114" s="33" t="s">
        <v>242</v>
      </c>
      <c r="C114" s="33" t="s">
        <v>510</v>
      </c>
      <c r="D114" s="33" t="s">
        <v>511</v>
      </c>
      <c r="E114" s="33" t="s">
        <v>512</v>
      </c>
      <c r="F114" s="154">
        <v>212.1</v>
      </c>
      <c r="G114" s="155">
        <v>8</v>
      </c>
      <c r="H114" s="156">
        <v>1696.8</v>
      </c>
      <c r="I114" s="155">
        <v>0</v>
      </c>
      <c r="J114" s="156">
        <v>0</v>
      </c>
      <c r="K114" s="155">
        <v>11</v>
      </c>
      <c r="L114" s="156">
        <v>2333.1</v>
      </c>
      <c r="M114" s="155">
        <v>2</v>
      </c>
      <c r="N114" s="156">
        <v>424.2</v>
      </c>
      <c r="O114" s="155">
        <v>0</v>
      </c>
      <c r="P114" s="156">
        <v>0</v>
      </c>
      <c r="Q114" s="155">
        <v>11</v>
      </c>
      <c r="R114" s="156">
        <f t="shared" si="6"/>
        <v>2333.1</v>
      </c>
      <c r="S114" s="155">
        <v>12</v>
      </c>
      <c r="T114" s="156">
        <v>2545.1999999999998</v>
      </c>
      <c r="U114" s="155">
        <v>47</v>
      </c>
      <c r="V114" s="156">
        <f t="shared" si="7"/>
        <v>9968.6999999999989</v>
      </c>
      <c r="W114" s="155">
        <v>2</v>
      </c>
      <c r="X114" s="156">
        <v>424.2</v>
      </c>
      <c r="Y114" s="155">
        <v>31</v>
      </c>
      <c r="Z114" s="156">
        <v>6575.1</v>
      </c>
      <c r="AA114" s="155">
        <v>27</v>
      </c>
      <c r="AB114" s="156">
        <v>5726.7</v>
      </c>
      <c r="AC114" s="155">
        <v>9</v>
      </c>
      <c r="AD114" s="156">
        <v>1908.9</v>
      </c>
      <c r="AE114" s="155">
        <v>0</v>
      </c>
      <c r="AF114" s="156">
        <v>0</v>
      </c>
      <c r="AG114" s="155">
        <v>20</v>
      </c>
      <c r="AH114" s="156">
        <v>4242</v>
      </c>
      <c r="AI114" s="155">
        <v>62</v>
      </c>
      <c r="AJ114" s="156">
        <v>13150.2</v>
      </c>
      <c r="AK114" s="155">
        <v>4</v>
      </c>
      <c r="AL114" s="156">
        <v>848.4</v>
      </c>
      <c r="AM114" s="155">
        <v>12</v>
      </c>
      <c r="AN114" s="156">
        <v>2545.1999999999998</v>
      </c>
      <c r="AO114" s="155">
        <v>12</v>
      </c>
      <c r="AP114" s="156">
        <v>2545.1999999999998</v>
      </c>
      <c r="AQ114" s="155">
        <v>0</v>
      </c>
      <c r="AR114" s="156">
        <v>0</v>
      </c>
    </row>
    <row r="115" spans="2:44">
      <c r="B115" s="33" t="s">
        <v>242</v>
      </c>
      <c r="C115" s="33" t="s">
        <v>513</v>
      </c>
      <c r="D115" s="33" t="s">
        <v>514</v>
      </c>
      <c r="E115" s="33" t="s">
        <v>453</v>
      </c>
      <c r="F115" s="154">
        <v>848.4</v>
      </c>
      <c r="G115" s="155">
        <v>0</v>
      </c>
      <c r="H115" s="156">
        <v>0</v>
      </c>
      <c r="I115" s="155">
        <v>0</v>
      </c>
      <c r="J115" s="156">
        <v>0</v>
      </c>
      <c r="K115" s="155">
        <v>0</v>
      </c>
      <c r="L115" s="156">
        <v>0</v>
      </c>
      <c r="M115" s="155">
        <v>0</v>
      </c>
      <c r="N115" s="156">
        <v>0</v>
      </c>
      <c r="O115" s="155">
        <v>0</v>
      </c>
      <c r="P115" s="156">
        <v>0</v>
      </c>
      <c r="Q115" s="155">
        <v>0</v>
      </c>
      <c r="R115" s="156">
        <f t="shared" si="6"/>
        <v>0</v>
      </c>
      <c r="S115" s="155">
        <v>0</v>
      </c>
      <c r="T115" s="156">
        <v>0</v>
      </c>
      <c r="U115" s="155">
        <v>0</v>
      </c>
      <c r="V115" s="156">
        <f t="shared" si="7"/>
        <v>0</v>
      </c>
      <c r="W115" s="155">
        <v>0</v>
      </c>
      <c r="X115" s="156">
        <v>0</v>
      </c>
      <c r="Y115" s="155">
        <v>1</v>
      </c>
      <c r="Z115" s="156">
        <v>848.4</v>
      </c>
      <c r="AA115" s="155">
        <v>2</v>
      </c>
      <c r="AB115" s="156">
        <v>1696.8</v>
      </c>
      <c r="AC115" s="155">
        <v>0</v>
      </c>
      <c r="AD115" s="156">
        <v>0</v>
      </c>
      <c r="AE115" s="155">
        <v>0</v>
      </c>
      <c r="AF115" s="156">
        <v>0</v>
      </c>
      <c r="AG115" s="155">
        <v>0</v>
      </c>
      <c r="AH115" s="156">
        <v>0</v>
      </c>
      <c r="AI115" s="155">
        <v>0</v>
      </c>
      <c r="AJ115" s="156">
        <v>0</v>
      </c>
      <c r="AK115" s="155">
        <v>0</v>
      </c>
      <c r="AL115" s="156">
        <v>0</v>
      </c>
      <c r="AM115" s="155">
        <v>0</v>
      </c>
      <c r="AN115" s="156">
        <v>0</v>
      </c>
      <c r="AO115" s="155">
        <v>0</v>
      </c>
      <c r="AP115" s="156">
        <v>0</v>
      </c>
      <c r="AQ115" s="155">
        <v>0</v>
      </c>
      <c r="AR115" s="156">
        <v>0</v>
      </c>
    </row>
    <row r="116" spans="2:44">
      <c r="B116" s="33" t="s">
        <v>242</v>
      </c>
      <c r="C116" s="33" t="s">
        <v>515</v>
      </c>
      <c r="D116" s="33" t="s">
        <v>516</v>
      </c>
      <c r="E116" s="33" t="s">
        <v>517</v>
      </c>
      <c r="F116" s="154">
        <v>3181.5</v>
      </c>
      <c r="G116" s="155">
        <v>0</v>
      </c>
      <c r="H116" s="156">
        <v>0</v>
      </c>
      <c r="I116" s="155">
        <v>0</v>
      </c>
      <c r="J116" s="156">
        <v>0</v>
      </c>
      <c r="K116" s="155">
        <v>0</v>
      </c>
      <c r="L116" s="156">
        <v>0</v>
      </c>
      <c r="M116" s="155">
        <v>0</v>
      </c>
      <c r="N116" s="156">
        <v>0</v>
      </c>
      <c r="O116" s="155">
        <v>0</v>
      </c>
      <c r="P116" s="156">
        <v>0</v>
      </c>
      <c r="Q116" s="155">
        <v>3</v>
      </c>
      <c r="R116" s="156">
        <f t="shared" si="6"/>
        <v>9544.5</v>
      </c>
      <c r="S116" s="155">
        <v>1</v>
      </c>
      <c r="T116" s="156">
        <v>3181.5</v>
      </c>
      <c r="U116" s="155">
        <v>1</v>
      </c>
      <c r="V116" s="156">
        <f t="shared" si="7"/>
        <v>3181.5</v>
      </c>
      <c r="W116" s="155">
        <v>0</v>
      </c>
      <c r="X116" s="156">
        <v>0</v>
      </c>
      <c r="Y116" s="155">
        <v>1</v>
      </c>
      <c r="Z116" s="156">
        <v>3181.5</v>
      </c>
      <c r="AA116" s="155">
        <v>2</v>
      </c>
      <c r="AB116" s="156">
        <v>6363</v>
      </c>
      <c r="AC116" s="155">
        <v>0</v>
      </c>
      <c r="AD116" s="156">
        <v>0</v>
      </c>
      <c r="AE116" s="155">
        <v>0</v>
      </c>
      <c r="AF116" s="156">
        <v>0</v>
      </c>
      <c r="AG116" s="155">
        <v>0</v>
      </c>
      <c r="AH116" s="156">
        <v>0</v>
      </c>
      <c r="AI116" s="155">
        <v>0</v>
      </c>
      <c r="AJ116" s="156">
        <v>0</v>
      </c>
      <c r="AK116" s="155">
        <v>0</v>
      </c>
      <c r="AL116" s="156">
        <v>0</v>
      </c>
      <c r="AM116" s="155">
        <v>0</v>
      </c>
      <c r="AN116" s="156">
        <v>0</v>
      </c>
      <c r="AO116" s="155">
        <v>2</v>
      </c>
      <c r="AP116" s="156">
        <v>6363</v>
      </c>
      <c r="AQ116" s="155">
        <v>0</v>
      </c>
      <c r="AR116" s="156">
        <v>0</v>
      </c>
    </row>
    <row r="117" spans="2:44">
      <c r="B117" s="33" t="s">
        <v>242</v>
      </c>
      <c r="C117" s="33" t="s">
        <v>518</v>
      </c>
      <c r="D117" s="33" t="s">
        <v>519</v>
      </c>
      <c r="E117" s="33" t="s">
        <v>517</v>
      </c>
      <c r="F117" s="154">
        <v>3181.5</v>
      </c>
      <c r="G117" s="155">
        <v>0</v>
      </c>
      <c r="H117" s="156">
        <v>0</v>
      </c>
      <c r="I117" s="155">
        <v>0</v>
      </c>
      <c r="J117" s="156">
        <v>0</v>
      </c>
      <c r="K117" s="155">
        <v>3</v>
      </c>
      <c r="L117" s="156">
        <v>9544.5</v>
      </c>
      <c r="M117" s="155">
        <v>0</v>
      </c>
      <c r="N117" s="156">
        <v>0</v>
      </c>
      <c r="O117" s="155">
        <v>0</v>
      </c>
      <c r="P117" s="156">
        <v>0</v>
      </c>
      <c r="Q117" s="155">
        <v>0</v>
      </c>
      <c r="R117" s="156">
        <f t="shared" si="6"/>
        <v>0</v>
      </c>
      <c r="S117" s="155">
        <v>0</v>
      </c>
      <c r="T117" s="156">
        <v>0</v>
      </c>
      <c r="U117" s="155">
        <v>1</v>
      </c>
      <c r="V117" s="156">
        <f t="shared" si="7"/>
        <v>3181.5</v>
      </c>
      <c r="W117" s="155">
        <v>0</v>
      </c>
      <c r="X117" s="156">
        <v>0</v>
      </c>
      <c r="Y117" s="155">
        <v>1</v>
      </c>
      <c r="Z117" s="156">
        <v>3181.5</v>
      </c>
      <c r="AA117" s="155">
        <v>1</v>
      </c>
      <c r="AB117" s="156">
        <v>3181.5</v>
      </c>
      <c r="AC117" s="155">
        <v>0</v>
      </c>
      <c r="AD117" s="156">
        <v>0</v>
      </c>
      <c r="AE117" s="155">
        <v>0</v>
      </c>
      <c r="AF117" s="156">
        <v>0</v>
      </c>
      <c r="AG117" s="155">
        <v>0</v>
      </c>
      <c r="AH117" s="156">
        <v>0</v>
      </c>
      <c r="AI117" s="155">
        <v>0</v>
      </c>
      <c r="AJ117" s="156">
        <v>0</v>
      </c>
      <c r="AK117" s="155">
        <v>0</v>
      </c>
      <c r="AL117" s="156">
        <v>0</v>
      </c>
      <c r="AM117" s="155">
        <v>0</v>
      </c>
      <c r="AN117" s="156">
        <v>0</v>
      </c>
      <c r="AO117" s="155">
        <v>0</v>
      </c>
      <c r="AP117" s="156">
        <v>0</v>
      </c>
      <c r="AQ117" s="155">
        <v>0</v>
      </c>
      <c r="AR117" s="156">
        <v>0</v>
      </c>
    </row>
    <row r="118" spans="2:44">
      <c r="B118" s="33" t="s">
        <v>242</v>
      </c>
      <c r="C118" s="33" t="s">
        <v>520</v>
      </c>
      <c r="D118" s="33" t="s">
        <v>521</v>
      </c>
      <c r="E118" s="33" t="s">
        <v>517</v>
      </c>
      <c r="F118" s="154">
        <v>2651.25</v>
      </c>
      <c r="G118" s="155">
        <v>0</v>
      </c>
      <c r="H118" s="156">
        <v>0</v>
      </c>
      <c r="I118" s="155">
        <v>0</v>
      </c>
      <c r="J118" s="156">
        <v>0</v>
      </c>
      <c r="K118" s="155">
        <v>0</v>
      </c>
      <c r="L118" s="156">
        <v>0</v>
      </c>
      <c r="M118" s="155">
        <v>0</v>
      </c>
      <c r="N118" s="156">
        <v>0</v>
      </c>
      <c r="O118" s="155">
        <v>0</v>
      </c>
      <c r="P118" s="156">
        <v>0</v>
      </c>
      <c r="Q118" s="155">
        <v>0</v>
      </c>
      <c r="R118" s="156">
        <f t="shared" si="6"/>
        <v>0</v>
      </c>
      <c r="S118" s="155">
        <v>0</v>
      </c>
      <c r="T118" s="156">
        <v>0</v>
      </c>
      <c r="U118" s="155">
        <v>1</v>
      </c>
      <c r="V118" s="156">
        <f t="shared" si="7"/>
        <v>2651.25</v>
      </c>
      <c r="W118" s="155">
        <v>0</v>
      </c>
      <c r="X118" s="156">
        <v>0</v>
      </c>
      <c r="Y118" s="155">
        <v>0</v>
      </c>
      <c r="Z118" s="156">
        <v>0</v>
      </c>
      <c r="AA118" s="155">
        <v>0</v>
      </c>
      <c r="AB118" s="156">
        <v>0</v>
      </c>
      <c r="AC118" s="155">
        <v>0</v>
      </c>
      <c r="AD118" s="156">
        <v>0</v>
      </c>
      <c r="AE118" s="155">
        <v>0</v>
      </c>
      <c r="AF118" s="156">
        <v>0</v>
      </c>
      <c r="AG118" s="155">
        <v>0</v>
      </c>
      <c r="AH118" s="156">
        <v>0</v>
      </c>
      <c r="AI118" s="155">
        <v>0</v>
      </c>
      <c r="AJ118" s="156">
        <v>0</v>
      </c>
      <c r="AK118" s="155">
        <v>0</v>
      </c>
      <c r="AL118" s="156">
        <v>0</v>
      </c>
      <c r="AM118" s="155">
        <v>0</v>
      </c>
      <c r="AN118" s="156">
        <v>0</v>
      </c>
      <c r="AO118" s="155">
        <v>0</v>
      </c>
      <c r="AP118" s="156">
        <v>0</v>
      </c>
      <c r="AQ118" s="155">
        <v>0</v>
      </c>
      <c r="AR118" s="156">
        <v>0</v>
      </c>
    </row>
    <row r="119" spans="2:44">
      <c r="B119" s="33" t="s">
        <v>242</v>
      </c>
      <c r="C119" s="33" t="s">
        <v>522</v>
      </c>
      <c r="D119" s="33" t="s">
        <v>523</v>
      </c>
      <c r="E119" s="33" t="s">
        <v>517</v>
      </c>
      <c r="F119" s="154">
        <v>1272.5999999999999</v>
      </c>
      <c r="G119" s="155">
        <v>0</v>
      </c>
      <c r="H119" s="156">
        <v>0</v>
      </c>
      <c r="I119" s="155">
        <v>0</v>
      </c>
      <c r="J119" s="156">
        <v>0</v>
      </c>
      <c r="K119" s="155">
        <v>0</v>
      </c>
      <c r="L119" s="156">
        <v>0</v>
      </c>
      <c r="M119" s="155">
        <v>0</v>
      </c>
      <c r="N119" s="156">
        <v>0</v>
      </c>
      <c r="O119" s="155">
        <v>0</v>
      </c>
      <c r="P119" s="156">
        <v>0</v>
      </c>
      <c r="Q119" s="155">
        <v>0</v>
      </c>
      <c r="R119" s="156">
        <f t="shared" si="6"/>
        <v>0</v>
      </c>
      <c r="S119" s="155">
        <v>0</v>
      </c>
      <c r="T119" s="156">
        <v>0</v>
      </c>
      <c r="U119" s="155">
        <v>0</v>
      </c>
      <c r="V119" s="156">
        <f t="shared" si="7"/>
        <v>0</v>
      </c>
      <c r="W119" s="155">
        <v>0</v>
      </c>
      <c r="X119" s="156">
        <v>0</v>
      </c>
      <c r="Y119" s="155">
        <v>0</v>
      </c>
      <c r="Z119" s="156">
        <v>0</v>
      </c>
      <c r="AA119" s="155">
        <v>2</v>
      </c>
      <c r="AB119" s="156">
        <v>2545.1999999999998</v>
      </c>
      <c r="AC119" s="155">
        <v>0</v>
      </c>
      <c r="AD119" s="156">
        <v>0</v>
      </c>
      <c r="AE119" s="155">
        <v>0</v>
      </c>
      <c r="AF119" s="156">
        <v>0</v>
      </c>
      <c r="AG119" s="155">
        <v>0</v>
      </c>
      <c r="AH119" s="156">
        <v>0</v>
      </c>
      <c r="AI119" s="155">
        <v>0</v>
      </c>
      <c r="AJ119" s="156">
        <v>0</v>
      </c>
      <c r="AK119" s="155">
        <v>0</v>
      </c>
      <c r="AL119" s="156">
        <v>0</v>
      </c>
      <c r="AM119" s="155">
        <v>0</v>
      </c>
      <c r="AN119" s="156">
        <v>0</v>
      </c>
      <c r="AO119" s="155">
        <v>0</v>
      </c>
      <c r="AP119" s="156">
        <v>0</v>
      </c>
      <c r="AQ119" s="155">
        <v>0</v>
      </c>
      <c r="AR119" s="156">
        <v>0</v>
      </c>
    </row>
    <row r="120" spans="2:44">
      <c r="B120" s="33" t="s">
        <v>242</v>
      </c>
      <c r="C120" s="33" t="s">
        <v>524</v>
      </c>
      <c r="D120" s="33" t="s">
        <v>525</v>
      </c>
      <c r="E120" s="33" t="s">
        <v>503</v>
      </c>
      <c r="F120" s="154">
        <v>15907.5</v>
      </c>
      <c r="G120" s="155">
        <v>0</v>
      </c>
      <c r="H120" s="156">
        <v>0</v>
      </c>
      <c r="I120" s="155">
        <v>0</v>
      </c>
      <c r="J120" s="156">
        <v>0</v>
      </c>
      <c r="K120" s="155">
        <v>0</v>
      </c>
      <c r="L120" s="156">
        <v>0</v>
      </c>
      <c r="M120" s="155">
        <v>0</v>
      </c>
      <c r="N120" s="156">
        <v>0</v>
      </c>
      <c r="O120" s="155">
        <v>0</v>
      </c>
      <c r="P120" s="156">
        <v>0</v>
      </c>
      <c r="Q120" s="155">
        <v>0</v>
      </c>
      <c r="R120" s="156">
        <f t="shared" si="6"/>
        <v>0</v>
      </c>
      <c r="S120" s="155">
        <v>0</v>
      </c>
      <c r="T120" s="156">
        <v>0</v>
      </c>
      <c r="U120" s="155">
        <v>0</v>
      </c>
      <c r="V120" s="156">
        <f t="shared" si="7"/>
        <v>0</v>
      </c>
      <c r="W120" s="155">
        <v>0</v>
      </c>
      <c r="X120" s="156">
        <v>0</v>
      </c>
      <c r="Y120" s="155">
        <v>0</v>
      </c>
      <c r="Z120" s="156">
        <v>0</v>
      </c>
      <c r="AA120" s="155">
        <v>2</v>
      </c>
      <c r="AB120" s="156">
        <v>31815</v>
      </c>
      <c r="AC120" s="155">
        <v>0</v>
      </c>
      <c r="AD120" s="156">
        <v>0</v>
      </c>
      <c r="AE120" s="155">
        <v>0</v>
      </c>
      <c r="AF120" s="156">
        <v>0</v>
      </c>
      <c r="AG120" s="155">
        <v>0</v>
      </c>
      <c r="AH120" s="156">
        <v>0</v>
      </c>
      <c r="AI120" s="155">
        <v>0</v>
      </c>
      <c r="AJ120" s="156">
        <v>0</v>
      </c>
      <c r="AK120" s="155">
        <v>0</v>
      </c>
      <c r="AL120" s="156">
        <v>0</v>
      </c>
      <c r="AM120" s="155">
        <v>0</v>
      </c>
      <c r="AN120" s="156">
        <v>0</v>
      </c>
      <c r="AO120" s="155">
        <v>0</v>
      </c>
      <c r="AP120" s="156">
        <v>0</v>
      </c>
      <c r="AQ120" s="155">
        <v>0</v>
      </c>
      <c r="AR120" s="156">
        <v>0</v>
      </c>
    </row>
    <row r="121" spans="2:44">
      <c r="B121" s="33" t="s">
        <v>242</v>
      </c>
      <c r="C121" s="33" t="s">
        <v>526</v>
      </c>
      <c r="D121" s="33" t="s">
        <v>527</v>
      </c>
      <c r="E121" s="33" t="s">
        <v>528</v>
      </c>
      <c r="F121" s="154">
        <v>0.42420000000000002</v>
      </c>
      <c r="G121" s="155">
        <v>11936</v>
      </c>
      <c r="H121" s="156">
        <v>5063.2511999999997</v>
      </c>
      <c r="I121" s="155">
        <v>0</v>
      </c>
      <c r="J121" s="156">
        <v>0</v>
      </c>
      <c r="K121" s="155">
        <v>0</v>
      </c>
      <c r="L121" s="156">
        <v>0</v>
      </c>
      <c r="M121" s="155">
        <v>0</v>
      </c>
      <c r="N121" s="156">
        <v>0</v>
      </c>
      <c r="O121" s="155">
        <v>0</v>
      </c>
      <c r="P121" s="156">
        <v>0</v>
      </c>
      <c r="Q121" s="155">
        <v>65452</v>
      </c>
      <c r="R121" s="156">
        <f t="shared" si="6"/>
        <v>27764.738400000002</v>
      </c>
      <c r="S121" s="155">
        <v>45060</v>
      </c>
      <c r="T121" s="156">
        <v>19114.452000000001</v>
      </c>
      <c r="U121" s="155">
        <v>73230</v>
      </c>
      <c r="V121" s="156">
        <f t="shared" si="7"/>
        <v>31064.166000000001</v>
      </c>
      <c r="W121" s="155">
        <v>7947.35</v>
      </c>
      <c r="X121" s="156">
        <v>3371.2658700000002</v>
      </c>
      <c r="Y121" s="155">
        <v>112045.66</v>
      </c>
      <c r="Z121" s="156">
        <v>47529.768971999998</v>
      </c>
      <c r="AA121" s="155">
        <v>0</v>
      </c>
      <c r="AB121" s="156">
        <v>0</v>
      </c>
      <c r="AC121" s="155">
        <v>0</v>
      </c>
      <c r="AD121" s="156">
        <v>0</v>
      </c>
      <c r="AE121" s="155">
        <v>0</v>
      </c>
      <c r="AF121" s="156">
        <v>0</v>
      </c>
      <c r="AG121" s="155">
        <v>4514.62</v>
      </c>
      <c r="AH121" s="156">
        <v>1915.1018039999999</v>
      </c>
      <c r="AI121" s="155">
        <v>160125</v>
      </c>
      <c r="AJ121" s="156">
        <v>67925.024999999994</v>
      </c>
      <c r="AK121" s="155">
        <v>0</v>
      </c>
      <c r="AL121" s="156">
        <v>0</v>
      </c>
      <c r="AM121" s="155">
        <v>20456</v>
      </c>
      <c r="AN121" s="156">
        <v>8677.4351999999999</v>
      </c>
      <c r="AO121" s="155">
        <v>30279</v>
      </c>
      <c r="AP121" s="156">
        <v>12844.3518</v>
      </c>
      <c r="AQ121" s="155">
        <v>0</v>
      </c>
      <c r="AR121" s="156">
        <v>0</v>
      </c>
    </row>
    <row r="122" spans="2:44">
      <c r="B122" s="33" t="s">
        <v>242</v>
      </c>
      <c r="C122" s="33" t="s">
        <v>529</v>
      </c>
      <c r="D122" s="33" t="s">
        <v>530</v>
      </c>
      <c r="E122" s="33" t="s">
        <v>531</v>
      </c>
      <c r="F122" s="154">
        <v>212.1</v>
      </c>
      <c r="G122" s="155">
        <v>10</v>
      </c>
      <c r="H122" s="156">
        <v>2121</v>
      </c>
      <c r="I122" s="155">
        <v>0</v>
      </c>
      <c r="J122" s="156">
        <v>0</v>
      </c>
      <c r="K122" s="155">
        <v>9</v>
      </c>
      <c r="L122" s="156">
        <v>1908.9</v>
      </c>
      <c r="M122" s="155">
        <v>0</v>
      </c>
      <c r="N122" s="156">
        <v>0</v>
      </c>
      <c r="O122" s="155">
        <v>0</v>
      </c>
      <c r="P122" s="156">
        <v>0</v>
      </c>
      <c r="Q122" s="155">
        <v>0</v>
      </c>
      <c r="R122" s="156">
        <f t="shared" si="6"/>
        <v>0</v>
      </c>
      <c r="S122" s="155">
        <v>2</v>
      </c>
      <c r="T122" s="156">
        <v>424.2</v>
      </c>
      <c r="U122" s="155">
        <v>5</v>
      </c>
      <c r="V122" s="156">
        <f t="shared" si="7"/>
        <v>1060.5</v>
      </c>
      <c r="W122" s="155">
        <v>0</v>
      </c>
      <c r="X122" s="156">
        <v>0</v>
      </c>
      <c r="Y122" s="155">
        <v>1</v>
      </c>
      <c r="Z122" s="156">
        <v>212.1</v>
      </c>
      <c r="AA122" s="155">
        <v>1</v>
      </c>
      <c r="AB122" s="156">
        <v>212.1</v>
      </c>
      <c r="AC122" s="155">
        <v>0</v>
      </c>
      <c r="AD122" s="156">
        <v>0</v>
      </c>
      <c r="AE122" s="155">
        <v>0</v>
      </c>
      <c r="AF122" s="156">
        <v>0</v>
      </c>
      <c r="AG122" s="155">
        <v>2</v>
      </c>
      <c r="AH122" s="156">
        <v>424.2</v>
      </c>
      <c r="AI122" s="155">
        <v>0</v>
      </c>
      <c r="AJ122" s="156">
        <v>0</v>
      </c>
      <c r="AK122" s="155">
        <v>0</v>
      </c>
      <c r="AL122" s="156">
        <v>0</v>
      </c>
      <c r="AM122" s="155">
        <v>10</v>
      </c>
      <c r="AN122" s="156">
        <v>2121</v>
      </c>
      <c r="AO122" s="155">
        <v>4</v>
      </c>
      <c r="AP122" s="156">
        <v>848.4</v>
      </c>
      <c r="AQ122" s="155">
        <v>0</v>
      </c>
      <c r="AR122" s="156">
        <v>0</v>
      </c>
    </row>
    <row r="123" spans="2:44">
      <c r="B123" s="33" t="s">
        <v>242</v>
      </c>
      <c r="C123" s="33" t="s">
        <v>532</v>
      </c>
      <c r="D123" s="33" t="s">
        <v>533</v>
      </c>
      <c r="E123" s="33" t="s">
        <v>534</v>
      </c>
      <c r="F123" s="154">
        <v>21.21</v>
      </c>
      <c r="G123" s="155">
        <v>97</v>
      </c>
      <c r="H123" s="156">
        <v>2057.37</v>
      </c>
      <c r="I123" s="155">
        <v>0</v>
      </c>
      <c r="J123" s="156">
        <v>0</v>
      </c>
      <c r="K123" s="155">
        <v>0</v>
      </c>
      <c r="L123" s="156">
        <v>0</v>
      </c>
      <c r="M123" s="155">
        <v>0</v>
      </c>
      <c r="N123" s="156">
        <v>0</v>
      </c>
      <c r="O123" s="155">
        <v>0</v>
      </c>
      <c r="P123" s="156">
        <v>0</v>
      </c>
      <c r="Q123" s="155">
        <v>0</v>
      </c>
      <c r="R123" s="156">
        <f t="shared" si="6"/>
        <v>0</v>
      </c>
      <c r="S123" s="155">
        <v>533</v>
      </c>
      <c r="T123" s="156">
        <v>11304.93</v>
      </c>
      <c r="U123" s="155">
        <v>818</v>
      </c>
      <c r="V123" s="156">
        <f t="shared" si="7"/>
        <v>17349.780000000002</v>
      </c>
      <c r="W123" s="155">
        <v>30</v>
      </c>
      <c r="X123" s="156">
        <v>636.29999999999995</v>
      </c>
      <c r="Y123" s="155">
        <v>1879</v>
      </c>
      <c r="Z123" s="156">
        <v>39853.589999999997</v>
      </c>
      <c r="AA123" s="155">
        <v>0</v>
      </c>
      <c r="AB123" s="156">
        <v>0</v>
      </c>
      <c r="AC123" s="155">
        <v>0</v>
      </c>
      <c r="AD123" s="156">
        <v>0</v>
      </c>
      <c r="AE123" s="155">
        <v>0</v>
      </c>
      <c r="AF123" s="156">
        <v>0</v>
      </c>
      <c r="AG123" s="155">
        <v>97</v>
      </c>
      <c r="AH123" s="156">
        <v>2057.37</v>
      </c>
      <c r="AI123" s="155">
        <v>1234</v>
      </c>
      <c r="AJ123" s="156">
        <v>26173.14</v>
      </c>
      <c r="AK123" s="155">
        <v>0</v>
      </c>
      <c r="AL123" s="156">
        <v>0</v>
      </c>
      <c r="AM123" s="155">
        <v>68</v>
      </c>
      <c r="AN123" s="156">
        <v>1442.28</v>
      </c>
      <c r="AO123" s="155">
        <v>0</v>
      </c>
      <c r="AP123" s="156">
        <v>0</v>
      </c>
      <c r="AQ123" s="155">
        <v>0</v>
      </c>
      <c r="AR123" s="156">
        <v>0</v>
      </c>
    </row>
    <row r="124" spans="2:44">
      <c r="B124" s="33" t="s">
        <v>242</v>
      </c>
      <c r="C124" s="33" t="s">
        <v>401</v>
      </c>
      <c r="D124" s="33" t="s">
        <v>535</v>
      </c>
      <c r="E124" s="33" t="s">
        <v>536</v>
      </c>
      <c r="F124" s="154">
        <v>424.2</v>
      </c>
      <c r="G124" s="155">
        <v>0</v>
      </c>
      <c r="H124" s="156">
        <v>0</v>
      </c>
      <c r="I124" s="155">
        <v>0</v>
      </c>
      <c r="J124" s="156">
        <v>0</v>
      </c>
      <c r="K124" s="155">
        <v>0</v>
      </c>
      <c r="L124" s="156">
        <v>0</v>
      </c>
      <c r="M124" s="155">
        <v>0</v>
      </c>
      <c r="N124" s="156">
        <v>0</v>
      </c>
      <c r="O124" s="155">
        <v>0</v>
      </c>
      <c r="P124" s="156">
        <v>0</v>
      </c>
      <c r="Q124" s="155">
        <v>0</v>
      </c>
      <c r="R124" s="156">
        <f t="shared" si="6"/>
        <v>0</v>
      </c>
      <c r="S124" s="155">
        <v>6</v>
      </c>
      <c r="T124" s="156">
        <v>2545.1999999999998</v>
      </c>
      <c r="U124" s="155">
        <v>0</v>
      </c>
      <c r="V124" s="156">
        <f t="shared" si="7"/>
        <v>0</v>
      </c>
      <c r="W124" s="155">
        <v>0</v>
      </c>
      <c r="X124" s="156">
        <v>0</v>
      </c>
      <c r="Y124" s="155">
        <v>0</v>
      </c>
      <c r="Z124" s="156">
        <v>0</v>
      </c>
      <c r="AA124" s="155">
        <v>0</v>
      </c>
      <c r="AB124" s="156">
        <v>0</v>
      </c>
      <c r="AC124" s="155">
        <v>0</v>
      </c>
      <c r="AD124" s="156">
        <v>0</v>
      </c>
      <c r="AE124" s="155">
        <v>0</v>
      </c>
      <c r="AF124" s="156">
        <v>0</v>
      </c>
      <c r="AG124" s="155">
        <v>0</v>
      </c>
      <c r="AH124" s="156">
        <v>0</v>
      </c>
      <c r="AI124" s="155">
        <v>0</v>
      </c>
      <c r="AJ124" s="156">
        <v>0</v>
      </c>
      <c r="AK124" s="155">
        <v>0</v>
      </c>
      <c r="AL124" s="156">
        <v>0</v>
      </c>
      <c r="AM124" s="155">
        <v>0</v>
      </c>
      <c r="AN124" s="156">
        <v>0</v>
      </c>
      <c r="AO124" s="155">
        <v>0</v>
      </c>
      <c r="AP124" s="156">
        <v>0</v>
      </c>
      <c r="AQ124" s="155">
        <v>0</v>
      </c>
      <c r="AR124" s="156">
        <v>0</v>
      </c>
    </row>
    <row r="125" spans="2:44">
      <c r="B125" s="33" t="s">
        <v>242</v>
      </c>
      <c r="C125" s="33" t="s">
        <v>401</v>
      </c>
      <c r="D125" s="33" t="s">
        <v>537</v>
      </c>
      <c r="E125" s="33" t="s">
        <v>538</v>
      </c>
      <c r="F125" s="154">
        <v>127.26</v>
      </c>
      <c r="G125" s="155">
        <v>0</v>
      </c>
      <c r="H125" s="156">
        <v>0</v>
      </c>
      <c r="I125" s="155">
        <v>0</v>
      </c>
      <c r="J125" s="156">
        <v>0</v>
      </c>
      <c r="K125" s="155">
        <v>0</v>
      </c>
      <c r="L125" s="156">
        <v>0</v>
      </c>
      <c r="M125" s="155">
        <v>0</v>
      </c>
      <c r="N125" s="156">
        <v>0</v>
      </c>
      <c r="O125" s="155">
        <v>0</v>
      </c>
      <c r="P125" s="156">
        <v>0</v>
      </c>
      <c r="Q125" s="155">
        <v>0</v>
      </c>
      <c r="R125" s="156">
        <f t="shared" si="6"/>
        <v>0</v>
      </c>
      <c r="S125" s="155">
        <v>10</v>
      </c>
      <c r="T125" s="156">
        <v>1272.5999999999999</v>
      </c>
      <c r="U125" s="155">
        <v>0</v>
      </c>
      <c r="V125" s="156">
        <f t="shared" si="7"/>
        <v>0</v>
      </c>
      <c r="W125" s="155">
        <v>0</v>
      </c>
      <c r="X125" s="156">
        <v>0</v>
      </c>
      <c r="Y125" s="155">
        <v>0</v>
      </c>
      <c r="Z125" s="156">
        <v>0</v>
      </c>
      <c r="AA125" s="155">
        <v>0</v>
      </c>
      <c r="AB125" s="156">
        <v>0</v>
      </c>
      <c r="AC125" s="155">
        <v>0</v>
      </c>
      <c r="AD125" s="156">
        <v>0</v>
      </c>
      <c r="AE125" s="155">
        <v>0</v>
      </c>
      <c r="AF125" s="156">
        <v>0</v>
      </c>
      <c r="AG125" s="155">
        <v>0</v>
      </c>
      <c r="AH125" s="156">
        <v>0</v>
      </c>
      <c r="AI125" s="155">
        <v>14</v>
      </c>
      <c r="AJ125" s="156">
        <v>1781.64</v>
      </c>
      <c r="AK125" s="155">
        <v>0</v>
      </c>
      <c r="AL125" s="156">
        <v>0</v>
      </c>
      <c r="AM125" s="155">
        <v>0</v>
      </c>
      <c r="AN125" s="156">
        <v>0</v>
      </c>
      <c r="AO125" s="155">
        <v>0</v>
      </c>
      <c r="AP125" s="156">
        <v>0</v>
      </c>
      <c r="AQ125" s="155">
        <v>0</v>
      </c>
      <c r="AR125" s="156">
        <v>0</v>
      </c>
    </row>
    <row r="126" spans="2:44">
      <c r="B126" s="33" t="s">
        <v>242</v>
      </c>
      <c r="C126" s="33" t="s">
        <v>401</v>
      </c>
      <c r="D126" s="33" t="s">
        <v>539</v>
      </c>
      <c r="E126" s="33" t="s">
        <v>540</v>
      </c>
      <c r="F126" s="154">
        <v>8.08</v>
      </c>
      <c r="G126" s="155">
        <v>98144</v>
      </c>
      <c r="H126" s="156">
        <v>793003.52000000002</v>
      </c>
      <c r="I126" s="155">
        <v>0</v>
      </c>
      <c r="J126" s="156">
        <v>0</v>
      </c>
      <c r="K126" s="155">
        <v>0</v>
      </c>
      <c r="L126" s="156">
        <v>0</v>
      </c>
      <c r="M126" s="155">
        <v>7050</v>
      </c>
      <c r="N126" s="156">
        <v>56964</v>
      </c>
      <c r="O126" s="155">
        <v>0</v>
      </c>
      <c r="P126" s="156">
        <v>0</v>
      </c>
      <c r="Q126" s="155">
        <v>0</v>
      </c>
      <c r="R126" s="156">
        <f t="shared" si="6"/>
        <v>0</v>
      </c>
      <c r="S126" s="155">
        <v>6164</v>
      </c>
      <c r="T126" s="156">
        <v>49805.120000000003</v>
      </c>
      <c r="U126" s="155">
        <v>75000</v>
      </c>
      <c r="V126" s="156">
        <f t="shared" si="7"/>
        <v>606000</v>
      </c>
      <c r="W126" s="155">
        <v>8200</v>
      </c>
      <c r="X126" s="156">
        <v>66256</v>
      </c>
      <c r="Y126" s="155">
        <v>12930.87</v>
      </c>
      <c r="Z126" s="156">
        <v>104481.4296</v>
      </c>
      <c r="AA126" s="155">
        <v>120000</v>
      </c>
      <c r="AB126" s="156">
        <v>969600</v>
      </c>
      <c r="AC126" s="155">
        <v>0</v>
      </c>
      <c r="AD126" s="156">
        <v>0</v>
      </c>
      <c r="AE126" s="155">
        <v>0</v>
      </c>
      <c r="AF126" s="156">
        <v>0</v>
      </c>
      <c r="AG126" s="155">
        <v>0</v>
      </c>
      <c r="AH126" s="156">
        <v>0</v>
      </c>
      <c r="AI126" s="155">
        <v>14945</v>
      </c>
      <c r="AJ126" s="156">
        <v>120755.6</v>
      </c>
      <c r="AK126" s="155">
        <v>0</v>
      </c>
      <c r="AL126" s="156">
        <v>0</v>
      </c>
      <c r="AM126" s="155">
        <v>0</v>
      </c>
      <c r="AN126" s="156">
        <v>0</v>
      </c>
      <c r="AO126" s="155">
        <v>0</v>
      </c>
      <c r="AP126" s="156">
        <v>0</v>
      </c>
      <c r="AQ126" s="155">
        <v>0</v>
      </c>
      <c r="AR126" s="156">
        <v>0</v>
      </c>
    </row>
    <row r="127" spans="2:44">
      <c r="B127" s="33" t="s">
        <v>242</v>
      </c>
      <c r="C127" s="33" t="s">
        <v>401</v>
      </c>
      <c r="D127" s="33" t="s">
        <v>541</v>
      </c>
      <c r="E127" s="33" t="s">
        <v>540</v>
      </c>
      <c r="F127" s="154">
        <v>7.4740000000000002</v>
      </c>
      <c r="G127" s="155">
        <v>148288</v>
      </c>
      <c r="H127" s="156">
        <v>1108304.5120000001</v>
      </c>
      <c r="I127" s="155">
        <v>0</v>
      </c>
      <c r="J127" s="156">
        <v>0</v>
      </c>
      <c r="K127" s="155">
        <v>0</v>
      </c>
      <c r="L127" s="156">
        <v>0</v>
      </c>
      <c r="M127" s="155">
        <v>7050</v>
      </c>
      <c r="N127" s="156">
        <v>52691.7</v>
      </c>
      <c r="O127" s="155">
        <v>0</v>
      </c>
      <c r="P127" s="156">
        <v>0</v>
      </c>
      <c r="Q127" s="155">
        <v>0</v>
      </c>
      <c r="R127" s="156">
        <f t="shared" si="6"/>
        <v>0</v>
      </c>
      <c r="S127" s="155">
        <v>2581</v>
      </c>
      <c r="T127" s="156">
        <v>19290.394</v>
      </c>
      <c r="U127" s="155">
        <v>50000</v>
      </c>
      <c r="V127" s="156">
        <f t="shared" si="7"/>
        <v>373700</v>
      </c>
      <c r="W127" s="155">
        <v>20800</v>
      </c>
      <c r="X127" s="156">
        <v>155459.20000000001</v>
      </c>
      <c r="Y127" s="155">
        <v>6486.36</v>
      </c>
      <c r="Z127" s="156">
        <v>48479.054640000002</v>
      </c>
      <c r="AA127" s="155">
        <v>120000</v>
      </c>
      <c r="AB127" s="156">
        <v>896880</v>
      </c>
      <c r="AC127" s="155">
        <v>0</v>
      </c>
      <c r="AD127" s="156">
        <v>0</v>
      </c>
      <c r="AE127" s="155">
        <v>0</v>
      </c>
      <c r="AF127" s="156">
        <v>0</v>
      </c>
      <c r="AG127" s="155">
        <v>0</v>
      </c>
      <c r="AH127" s="156">
        <v>0</v>
      </c>
      <c r="AI127" s="155">
        <v>5140</v>
      </c>
      <c r="AJ127" s="156">
        <v>38416.36</v>
      </c>
      <c r="AK127" s="155">
        <v>0</v>
      </c>
      <c r="AL127" s="156">
        <v>0</v>
      </c>
      <c r="AM127" s="155">
        <v>0</v>
      </c>
      <c r="AN127" s="156">
        <v>0</v>
      </c>
      <c r="AO127" s="155">
        <v>0</v>
      </c>
      <c r="AP127" s="156">
        <v>0</v>
      </c>
      <c r="AQ127" s="155">
        <v>0</v>
      </c>
      <c r="AR127" s="156">
        <v>0</v>
      </c>
    </row>
    <row r="128" spans="2:44">
      <c r="B128" s="33" t="s">
        <v>542</v>
      </c>
      <c r="C128" s="33" t="s">
        <v>543</v>
      </c>
      <c r="D128" s="33" t="s">
        <v>544</v>
      </c>
      <c r="E128" s="33" t="s">
        <v>545</v>
      </c>
      <c r="F128" s="154" t="s">
        <v>21</v>
      </c>
      <c r="G128" s="155">
        <v>0</v>
      </c>
      <c r="H128" s="156"/>
      <c r="I128" s="155">
        <v>0</v>
      </c>
      <c r="J128" s="156">
        <v>0</v>
      </c>
      <c r="K128" s="155">
        <v>0</v>
      </c>
      <c r="L128" s="156"/>
      <c r="M128" s="155">
        <v>3000</v>
      </c>
      <c r="N128" s="156">
        <v>3000</v>
      </c>
      <c r="O128" s="155">
        <v>0</v>
      </c>
      <c r="P128" s="156">
        <v>0</v>
      </c>
      <c r="Q128" s="155">
        <v>14325</v>
      </c>
      <c r="R128" s="156">
        <f>Q128</f>
        <v>14325</v>
      </c>
      <c r="S128" s="155">
        <v>0</v>
      </c>
      <c r="T128" s="156"/>
      <c r="U128" s="155">
        <v>0</v>
      </c>
      <c r="V128" s="156"/>
      <c r="W128" s="155">
        <v>0</v>
      </c>
      <c r="X128" s="156"/>
      <c r="Y128" s="155">
        <v>20000</v>
      </c>
      <c r="Z128" s="156">
        <v>20000</v>
      </c>
      <c r="AA128" s="155">
        <v>0</v>
      </c>
      <c r="AB128" s="156"/>
      <c r="AC128" s="155">
        <v>5500</v>
      </c>
      <c r="AD128" s="156">
        <v>5500</v>
      </c>
      <c r="AE128" s="155">
        <v>0</v>
      </c>
      <c r="AF128" s="156"/>
      <c r="AG128" s="155">
        <v>15</v>
      </c>
      <c r="AH128" s="156">
        <v>15</v>
      </c>
      <c r="AI128" s="155">
        <v>17000</v>
      </c>
      <c r="AJ128" s="156">
        <v>17000</v>
      </c>
      <c r="AK128" s="155">
        <v>0</v>
      </c>
      <c r="AL128" s="156"/>
      <c r="AM128" s="155">
        <v>0</v>
      </c>
      <c r="AN128" s="156"/>
      <c r="AO128" s="155">
        <v>6900</v>
      </c>
      <c r="AP128" s="156">
        <v>6900</v>
      </c>
      <c r="AQ128" s="155">
        <v>20000</v>
      </c>
      <c r="AR128" s="156">
        <v>20000</v>
      </c>
    </row>
    <row r="129" spans="2:44">
      <c r="B129" s="33" t="s">
        <v>546</v>
      </c>
      <c r="C129" s="33" t="s">
        <v>401</v>
      </c>
      <c r="D129" s="33" t="s">
        <v>289</v>
      </c>
      <c r="E129" s="33" t="s">
        <v>547</v>
      </c>
      <c r="F129" s="157">
        <v>0.05</v>
      </c>
      <c r="G129" s="155"/>
      <c r="H129" s="156">
        <v>224562.49297389999</v>
      </c>
      <c r="I129" s="155"/>
      <c r="J129" s="156">
        <v>102703.6781</v>
      </c>
      <c r="K129" s="155"/>
      <c r="L129" s="156">
        <v>121306.08448</v>
      </c>
      <c r="M129" s="155"/>
      <c r="N129" s="156">
        <v>46914.952469999997</v>
      </c>
      <c r="O129" s="155"/>
      <c r="P129" s="156">
        <v>195648.77003499999</v>
      </c>
      <c r="Q129" s="155"/>
      <c r="R129" s="156">
        <f>F129*(SUM(R5:R128))</f>
        <v>108652.61605402004</v>
      </c>
      <c r="S129" s="155"/>
      <c r="T129" s="156">
        <v>185413.698195</v>
      </c>
      <c r="U129" s="155"/>
      <c r="V129" s="156">
        <f>F129*(SUM(V5:V128))</f>
        <v>186114.56900500006</v>
      </c>
      <c r="W129" s="155"/>
      <c r="X129" s="156">
        <v>26919.548253100002</v>
      </c>
      <c r="Y129" s="155"/>
      <c r="Z129" s="156">
        <v>283673.27930889197</v>
      </c>
      <c r="AA129" s="155"/>
      <c r="AB129" s="156">
        <v>243148.75519</v>
      </c>
      <c r="AC129" s="155"/>
      <c r="AD129" s="156">
        <v>16719.986533493</v>
      </c>
      <c r="AE129" s="155"/>
      <c r="AF129" s="156">
        <v>1106089.88683003</v>
      </c>
      <c r="AG129" s="155"/>
      <c r="AH129" s="156">
        <v>84520.806957099994</v>
      </c>
      <c r="AI129" s="155"/>
      <c r="AJ129" s="156">
        <v>164390.35189875</v>
      </c>
      <c r="AK129" s="155"/>
      <c r="AL129" s="156">
        <v>12277.499400000001</v>
      </c>
      <c r="AM129" s="155"/>
      <c r="AN129" s="156">
        <v>19193.5725599</v>
      </c>
      <c r="AO129" s="155"/>
      <c r="AP129" s="156">
        <v>219082.70690678601</v>
      </c>
      <c r="AQ129" s="155"/>
      <c r="AR129" s="156">
        <v>93416.556910300002</v>
      </c>
    </row>
    <row r="130" spans="2:44">
      <c r="B130" s="33" t="s">
        <v>546</v>
      </c>
      <c r="C130" s="33" t="s">
        <v>401</v>
      </c>
      <c r="D130" s="33" t="s">
        <v>548</v>
      </c>
      <c r="E130" s="33" t="s">
        <v>293</v>
      </c>
      <c r="F130" s="154">
        <v>0.1111</v>
      </c>
      <c r="G130" s="155">
        <v>0</v>
      </c>
      <c r="H130" s="156">
        <v>0</v>
      </c>
      <c r="I130" s="155">
        <v>0</v>
      </c>
      <c r="J130" s="156">
        <v>0</v>
      </c>
      <c r="K130" s="155">
        <v>106262</v>
      </c>
      <c r="L130" s="156">
        <v>11805.708199999999</v>
      </c>
      <c r="M130" s="155">
        <v>0</v>
      </c>
      <c r="N130" s="156">
        <v>0</v>
      </c>
      <c r="O130" s="155">
        <v>0</v>
      </c>
      <c r="P130" s="156">
        <v>0</v>
      </c>
      <c r="Q130" s="155">
        <v>0</v>
      </c>
      <c r="R130" s="156">
        <f t="shared" ref="R130:R138" si="8">Q130*F130</f>
        <v>0</v>
      </c>
      <c r="S130" s="155">
        <v>0</v>
      </c>
      <c r="T130" s="156">
        <v>0</v>
      </c>
      <c r="U130" s="155">
        <v>0</v>
      </c>
      <c r="V130" s="156">
        <f t="shared" ref="V130:V138" si="9">U130*F130</f>
        <v>0</v>
      </c>
      <c r="W130" s="155">
        <v>0</v>
      </c>
      <c r="X130" s="156">
        <v>0</v>
      </c>
      <c r="Y130" s="155">
        <v>238828.9</v>
      </c>
      <c r="Z130" s="156">
        <v>26533.890790000001</v>
      </c>
      <c r="AA130" s="155">
        <v>0</v>
      </c>
      <c r="AB130" s="156">
        <v>0</v>
      </c>
      <c r="AC130" s="155">
        <v>38874.6</v>
      </c>
      <c r="AD130" s="156">
        <v>4318.9680600000002</v>
      </c>
      <c r="AE130" s="155">
        <v>0</v>
      </c>
      <c r="AF130" s="156">
        <v>0</v>
      </c>
      <c r="AG130" s="155">
        <v>86148.46</v>
      </c>
      <c r="AH130" s="156">
        <v>9571.0939060000001</v>
      </c>
      <c r="AI130" s="155">
        <v>0</v>
      </c>
      <c r="AJ130" s="156">
        <v>0</v>
      </c>
      <c r="AK130" s="155">
        <v>19731</v>
      </c>
      <c r="AL130" s="156">
        <v>2192.1140999999998</v>
      </c>
      <c r="AM130" s="155">
        <v>0</v>
      </c>
      <c r="AN130" s="156">
        <v>0</v>
      </c>
      <c r="AO130" s="155">
        <v>0</v>
      </c>
      <c r="AP130" s="156">
        <v>0</v>
      </c>
      <c r="AQ130" s="155">
        <v>0</v>
      </c>
      <c r="AR130" s="156">
        <v>0</v>
      </c>
    </row>
    <row r="131" spans="2:44">
      <c r="B131" s="33" t="s">
        <v>546</v>
      </c>
      <c r="C131" s="33" t="s">
        <v>401</v>
      </c>
      <c r="D131" s="33" t="s">
        <v>549</v>
      </c>
      <c r="E131" s="33" t="s">
        <v>293</v>
      </c>
      <c r="F131" s="154">
        <v>0.10100000000000001</v>
      </c>
      <c r="G131" s="155">
        <v>0</v>
      </c>
      <c r="H131" s="156">
        <v>0</v>
      </c>
      <c r="I131" s="155">
        <v>0</v>
      </c>
      <c r="J131" s="156">
        <v>0</v>
      </c>
      <c r="K131" s="155">
        <v>106262</v>
      </c>
      <c r="L131" s="156">
        <v>10732.462</v>
      </c>
      <c r="M131" s="155">
        <v>0</v>
      </c>
      <c r="N131" s="156">
        <v>0</v>
      </c>
      <c r="O131" s="155">
        <v>0</v>
      </c>
      <c r="P131" s="156">
        <v>0</v>
      </c>
      <c r="Q131" s="155">
        <v>0</v>
      </c>
      <c r="R131" s="156">
        <f t="shared" si="8"/>
        <v>0</v>
      </c>
      <c r="S131" s="155">
        <v>0</v>
      </c>
      <c r="T131" s="156">
        <v>0</v>
      </c>
      <c r="U131" s="155">
        <v>167584</v>
      </c>
      <c r="V131" s="156">
        <f t="shared" si="9"/>
        <v>16925.984</v>
      </c>
      <c r="W131" s="155">
        <v>0</v>
      </c>
      <c r="X131" s="156">
        <v>0</v>
      </c>
      <c r="Y131" s="155">
        <v>238828.9</v>
      </c>
      <c r="Z131" s="156">
        <v>24121.7189</v>
      </c>
      <c r="AA131" s="155">
        <v>0</v>
      </c>
      <c r="AB131" s="156">
        <v>0</v>
      </c>
      <c r="AC131" s="155">
        <v>38874.6</v>
      </c>
      <c r="AD131" s="156">
        <v>3926.3346000000001</v>
      </c>
      <c r="AE131" s="155">
        <v>0</v>
      </c>
      <c r="AF131" s="156">
        <v>0</v>
      </c>
      <c r="AG131" s="155">
        <v>86148.46</v>
      </c>
      <c r="AH131" s="156">
        <v>8700.9944599999999</v>
      </c>
      <c r="AI131" s="155">
        <v>155782</v>
      </c>
      <c r="AJ131" s="156">
        <v>15733.982</v>
      </c>
      <c r="AK131" s="155">
        <v>19731</v>
      </c>
      <c r="AL131" s="156">
        <v>1992.8309999999999</v>
      </c>
      <c r="AM131" s="155">
        <v>37475.26</v>
      </c>
      <c r="AN131" s="156">
        <v>3785.00126</v>
      </c>
      <c r="AO131" s="155">
        <v>0</v>
      </c>
      <c r="AP131" s="156">
        <v>0</v>
      </c>
      <c r="AQ131" s="155">
        <v>0</v>
      </c>
      <c r="AR131" s="156">
        <v>0</v>
      </c>
    </row>
    <row r="132" spans="2:44">
      <c r="B132" s="33" t="s">
        <v>546</v>
      </c>
      <c r="C132" s="33" t="s">
        <v>401</v>
      </c>
      <c r="D132" s="33" t="s">
        <v>292</v>
      </c>
      <c r="E132" s="33" t="s">
        <v>293</v>
      </c>
      <c r="F132" s="154">
        <v>6.0600000000000001E-2</v>
      </c>
      <c r="G132" s="155">
        <v>0</v>
      </c>
      <c r="H132" s="156">
        <v>0</v>
      </c>
      <c r="I132" s="155">
        <v>0</v>
      </c>
      <c r="J132" s="156">
        <v>0</v>
      </c>
      <c r="K132" s="155">
        <v>106262</v>
      </c>
      <c r="L132" s="156">
        <v>6439.4772000000003</v>
      </c>
      <c r="M132" s="155">
        <v>0</v>
      </c>
      <c r="N132" s="156">
        <v>0</v>
      </c>
      <c r="O132" s="155">
        <v>22261</v>
      </c>
      <c r="P132" s="156">
        <v>1349.0165999999999</v>
      </c>
      <c r="Q132" s="155">
        <v>0</v>
      </c>
      <c r="R132" s="156">
        <f t="shared" si="8"/>
        <v>0</v>
      </c>
      <c r="S132" s="155">
        <v>0</v>
      </c>
      <c r="T132" s="156">
        <v>0</v>
      </c>
      <c r="U132" s="155">
        <v>0</v>
      </c>
      <c r="V132" s="156">
        <f t="shared" si="9"/>
        <v>0</v>
      </c>
      <c r="W132" s="155">
        <v>0</v>
      </c>
      <c r="X132" s="156">
        <v>0</v>
      </c>
      <c r="Y132" s="155">
        <v>238828.9</v>
      </c>
      <c r="Z132" s="156">
        <v>14473.03134</v>
      </c>
      <c r="AA132" s="155">
        <v>0</v>
      </c>
      <c r="AB132" s="156">
        <v>0</v>
      </c>
      <c r="AC132" s="155">
        <v>38874.6</v>
      </c>
      <c r="AD132" s="156">
        <v>2355.8007600000001</v>
      </c>
      <c r="AE132" s="155">
        <v>0</v>
      </c>
      <c r="AF132" s="156">
        <v>0</v>
      </c>
      <c r="AG132" s="155">
        <v>86148.46</v>
      </c>
      <c r="AH132" s="156">
        <v>5220.5966760000001</v>
      </c>
      <c r="AI132" s="155">
        <v>0</v>
      </c>
      <c r="AJ132" s="156">
        <v>0</v>
      </c>
      <c r="AK132" s="155">
        <v>19731</v>
      </c>
      <c r="AL132" s="156">
        <v>1195.6985999999999</v>
      </c>
      <c r="AM132" s="155">
        <v>0</v>
      </c>
      <c r="AN132" s="156">
        <v>0</v>
      </c>
      <c r="AO132" s="155">
        <v>0</v>
      </c>
      <c r="AP132" s="156">
        <v>0</v>
      </c>
      <c r="AQ132" s="155">
        <v>0</v>
      </c>
      <c r="AR132" s="156">
        <v>0</v>
      </c>
    </row>
    <row r="133" spans="2:44">
      <c r="B133" s="33" t="s">
        <v>546</v>
      </c>
      <c r="C133" s="33" t="s">
        <v>401</v>
      </c>
      <c r="D133" s="33" t="s">
        <v>550</v>
      </c>
      <c r="E133" s="33" t="s">
        <v>293</v>
      </c>
      <c r="F133" s="154">
        <v>5.0500000000000003E-2</v>
      </c>
      <c r="G133" s="155">
        <v>0</v>
      </c>
      <c r="H133" s="156">
        <v>0</v>
      </c>
      <c r="I133" s="155">
        <v>0</v>
      </c>
      <c r="J133" s="156">
        <v>0</v>
      </c>
      <c r="K133" s="155">
        <v>106262</v>
      </c>
      <c r="L133" s="156">
        <v>5366.2309999999998</v>
      </c>
      <c r="M133" s="155">
        <v>0</v>
      </c>
      <c r="N133" s="156">
        <v>0</v>
      </c>
      <c r="O133" s="155">
        <v>0</v>
      </c>
      <c r="P133" s="156">
        <v>0</v>
      </c>
      <c r="Q133" s="155">
        <v>0</v>
      </c>
      <c r="R133" s="156">
        <f t="shared" si="8"/>
        <v>0</v>
      </c>
      <c r="S133" s="155">
        <v>0</v>
      </c>
      <c r="T133" s="156">
        <v>0</v>
      </c>
      <c r="U133" s="155">
        <v>0</v>
      </c>
      <c r="V133" s="156">
        <f t="shared" si="9"/>
        <v>0</v>
      </c>
      <c r="W133" s="155">
        <v>0</v>
      </c>
      <c r="X133" s="156">
        <v>0</v>
      </c>
      <c r="Y133" s="155">
        <v>238828.9</v>
      </c>
      <c r="Z133" s="156">
        <v>12060.85945</v>
      </c>
      <c r="AA133" s="155">
        <v>0</v>
      </c>
      <c r="AB133" s="156">
        <v>0</v>
      </c>
      <c r="AC133" s="155">
        <v>38874.6</v>
      </c>
      <c r="AD133" s="156">
        <v>1963.1673000000001</v>
      </c>
      <c r="AE133" s="155">
        <v>0</v>
      </c>
      <c r="AF133" s="156">
        <v>0</v>
      </c>
      <c r="AG133" s="155">
        <v>86148.46</v>
      </c>
      <c r="AH133" s="156">
        <v>4350.4972299999999</v>
      </c>
      <c r="AI133" s="155">
        <v>0</v>
      </c>
      <c r="AJ133" s="156">
        <v>0</v>
      </c>
      <c r="AK133" s="155">
        <v>19731</v>
      </c>
      <c r="AL133" s="156">
        <v>996.41549999999995</v>
      </c>
      <c r="AM133" s="155">
        <v>35611.26</v>
      </c>
      <c r="AN133" s="156">
        <v>1798.3686299999999</v>
      </c>
      <c r="AO133" s="155">
        <v>0</v>
      </c>
      <c r="AP133" s="156">
        <v>0</v>
      </c>
      <c r="AQ133" s="155">
        <v>0</v>
      </c>
      <c r="AR133" s="156">
        <v>0</v>
      </c>
    </row>
    <row r="134" spans="2:44">
      <c r="B134" s="158" t="s">
        <v>551</v>
      </c>
      <c r="C134" s="33" t="s">
        <v>552</v>
      </c>
      <c r="D134" s="33" t="s">
        <v>553</v>
      </c>
      <c r="E134" s="33" t="s">
        <v>374</v>
      </c>
      <c r="F134" s="159">
        <v>116.655</v>
      </c>
      <c r="G134" s="155"/>
      <c r="H134" s="156">
        <v>0</v>
      </c>
      <c r="I134" s="155"/>
      <c r="J134" s="156">
        <v>0</v>
      </c>
      <c r="K134" s="155"/>
      <c r="L134" s="156">
        <v>0</v>
      </c>
      <c r="M134" s="155"/>
      <c r="N134" s="156">
        <v>0</v>
      </c>
      <c r="O134" s="155"/>
      <c r="P134" s="156">
        <v>0</v>
      </c>
      <c r="Q134" s="155"/>
      <c r="R134" s="156">
        <f t="shared" si="8"/>
        <v>0</v>
      </c>
      <c r="S134" s="155"/>
      <c r="T134" s="156">
        <v>0</v>
      </c>
      <c r="U134" s="155"/>
      <c r="V134" s="156">
        <f t="shared" si="9"/>
        <v>0</v>
      </c>
      <c r="W134" s="155"/>
      <c r="X134" s="156">
        <v>0</v>
      </c>
      <c r="Y134" s="155"/>
      <c r="Z134" s="156">
        <v>0</v>
      </c>
      <c r="AA134" s="155"/>
      <c r="AB134" s="156">
        <v>0</v>
      </c>
      <c r="AC134" s="155"/>
      <c r="AD134" s="156">
        <v>0</v>
      </c>
      <c r="AE134" s="155"/>
      <c r="AF134" s="156">
        <v>0</v>
      </c>
      <c r="AG134" s="155"/>
      <c r="AH134" s="156">
        <v>0</v>
      </c>
      <c r="AI134" s="155"/>
      <c r="AJ134" s="156">
        <v>0</v>
      </c>
      <c r="AK134" s="155"/>
      <c r="AL134" s="156">
        <v>0</v>
      </c>
      <c r="AM134" s="155"/>
      <c r="AN134" s="156">
        <v>0</v>
      </c>
      <c r="AO134" s="155"/>
      <c r="AP134" s="156">
        <v>0</v>
      </c>
      <c r="AQ134" s="155"/>
      <c r="AR134" s="156">
        <v>0</v>
      </c>
    </row>
    <row r="135" spans="2:44">
      <c r="B135" s="158" t="s">
        <v>551</v>
      </c>
      <c r="C135" s="33" t="s">
        <v>554</v>
      </c>
      <c r="D135" s="33" t="s">
        <v>555</v>
      </c>
      <c r="E135" s="33" t="s">
        <v>421</v>
      </c>
      <c r="F135" s="159">
        <v>1400</v>
      </c>
      <c r="G135" s="155"/>
      <c r="H135" s="156">
        <v>0</v>
      </c>
      <c r="I135" s="155"/>
      <c r="J135" s="156">
        <v>0</v>
      </c>
      <c r="K135" s="155"/>
      <c r="L135" s="156">
        <v>0</v>
      </c>
      <c r="M135" s="155"/>
      <c r="N135" s="156">
        <v>0</v>
      </c>
      <c r="O135" s="155"/>
      <c r="P135" s="156">
        <v>0</v>
      </c>
      <c r="Q135" s="155"/>
      <c r="R135" s="156">
        <f t="shared" si="8"/>
        <v>0</v>
      </c>
      <c r="S135" s="155"/>
      <c r="T135" s="156">
        <v>0</v>
      </c>
      <c r="U135" s="155"/>
      <c r="V135" s="156">
        <f t="shared" si="9"/>
        <v>0</v>
      </c>
      <c r="W135" s="155"/>
      <c r="X135" s="156">
        <v>0</v>
      </c>
      <c r="Y135" s="155"/>
      <c r="Z135" s="156">
        <v>0</v>
      </c>
      <c r="AA135" s="155"/>
      <c r="AB135" s="156">
        <v>0</v>
      </c>
      <c r="AC135" s="155"/>
      <c r="AD135" s="156">
        <v>0</v>
      </c>
      <c r="AE135" s="155"/>
      <c r="AF135" s="156">
        <v>0</v>
      </c>
      <c r="AG135" s="155"/>
      <c r="AH135" s="156">
        <v>0</v>
      </c>
      <c r="AI135" s="155"/>
      <c r="AJ135" s="156">
        <v>0</v>
      </c>
      <c r="AK135" s="155"/>
      <c r="AL135" s="156">
        <v>0</v>
      </c>
      <c r="AM135" s="155"/>
      <c r="AN135" s="156">
        <v>0</v>
      </c>
      <c r="AO135" s="155"/>
      <c r="AP135" s="156">
        <v>0</v>
      </c>
      <c r="AQ135" s="155"/>
      <c r="AR135" s="156">
        <v>0</v>
      </c>
    </row>
    <row r="136" spans="2:44">
      <c r="B136" s="158" t="s">
        <v>551</v>
      </c>
      <c r="C136" s="33" t="s">
        <v>556</v>
      </c>
      <c r="D136" s="33" t="s">
        <v>557</v>
      </c>
      <c r="E136" s="33" t="s">
        <v>558</v>
      </c>
      <c r="F136" s="159">
        <v>42.42</v>
      </c>
      <c r="G136" s="155"/>
      <c r="H136" s="156">
        <v>0</v>
      </c>
      <c r="I136" s="155"/>
      <c r="J136" s="156">
        <v>0</v>
      </c>
      <c r="K136" s="155"/>
      <c r="L136" s="156">
        <v>0</v>
      </c>
      <c r="M136" s="155"/>
      <c r="N136" s="156">
        <v>0</v>
      </c>
      <c r="O136" s="155"/>
      <c r="P136" s="156">
        <v>0</v>
      </c>
      <c r="Q136" s="155"/>
      <c r="R136" s="156">
        <f t="shared" si="8"/>
        <v>0</v>
      </c>
      <c r="S136" s="155"/>
      <c r="T136" s="156">
        <v>0</v>
      </c>
      <c r="U136" s="155"/>
      <c r="V136" s="156">
        <f t="shared" si="9"/>
        <v>0</v>
      </c>
      <c r="W136" s="155"/>
      <c r="X136" s="156">
        <v>0</v>
      </c>
      <c r="Y136" s="155"/>
      <c r="Z136" s="156">
        <v>0</v>
      </c>
      <c r="AA136" s="155"/>
      <c r="AB136" s="156">
        <v>0</v>
      </c>
      <c r="AC136" s="155"/>
      <c r="AD136" s="156">
        <v>0</v>
      </c>
      <c r="AE136" s="155"/>
      <c r="AF136" s="156">
        <v>0</v>
      </c>
      <c r="AG136" s="155"/>
      <c r="AH136" s="156">
        <v>0</v>
      </c>
      <c r="AI136" s="155"/>
      <c r="AJ136" s="156">
        <v>0</v>
      </c>
      <c r="AK136" s="155"/>
      <c r="AL136" s="156">
        <v>0</v>
      </c>
      <c r="AM136" s="155"/>
      <c r="AN136" s="156">
        <v>0</v>
      </c>
      <c r="AO136" s="155"/>
      <c r="AP136" s="156">
        <v>0</v>
      </c>
      <c r="AQ136" s="155"/>
      <c r="AR136" s="156">
        <v>0</v>
      </c>
    </row>
    <row r="137" spans="2:44">
      <c r="B137" s="158" t="s">
        <v>551</v>
      </c>
      <c r="C137" s="33" t="s">
        <v>559</v>
      </c>
      <c r="D137" s="33" t="s">
        <v>560</v>
      </c>
      <c r="E137" s="33" t="s">
        <v>561</v>
      </c>
      <c r="F137" s="159">
        <v>42.42</v>
      </c>
      <c r="G137" s="155"/>
      <c r="H137" s="156">
        <v>0</v>
      </c>
      <c r="I137" s="155"/>
      <c r="J137" s="156">
        <v>0</v>
      </c>
      <c r="K137" s="155"/>
      <c r="L137" s="156">
        <v>0</v>
      </c>
      <c r="M137" s="155"/>
      <c r="N137" s="156">
        <v>0</v>
      </c>
      <c r="O137" s="155"/>
      <c r="P137" s="156">
        <v>0</v>
      </c>
      <c r="Q137" s="155"/>
      <c r="R137" s="156">
        <f t="shared" si="8"/>
        <v>0</v>
      </c>
      <c r="S137" s="155"/>
      <c r="T137" s="156">
        <v>0</v>
      </c>
      <c r="U137" s="155"/>
      <c r="V137" s="156">
        <f t="shared" si="9"/>
        <v>0</v>
      </c>
      <c r="W137" s="155"/>
      <c r="X137" s="156">
        <v>0</v>
      </c>
      <c r="Y137" s="155"/>
      <c r="Z137" s="156">
        <v>0</v>
      </c>
      <c r="AA137" s="155"/>
      <c r="AB137" s="156">
        <v>0</v>
      </c>
      <c r="AC137" s="155"/>
      <c r="AD137" s="156">
        <v>0</v>
      </c>
      <c r="AE137" s="155"/>
      <c r="AF137" s="156">
        <v>0</v>
      </c>
      <c r="AG137" s="155"/>
      <c r="AH137" s="156">
        <v>0</v>
      </c>
      <c r="AI137" s="155"/>
      <c r="AJ137" s="156">
        <v>0</v>
      </c>
      <c r="AK137" s="155"/>
      <c r="AL137" s="156">
        <v>0</v>
      </c>
      <c r="AM137" s="155"/>
      <c r="AN137" s="156">
        <v>0</v>
      </c>
      <c r="AO137" s="155"/>
      <c r="AP137" s="156">
        <v>0</v>
      </c>
      <c r="AQ137" s="155"/>
      <c r="AR137" s="156">
        <v>0</v>
      </c>
    </row>
    <row r="138" spans="2:44">
      <c r="B138" s="158" t="s">
        <v>551</v>
      </c>
      <c r="C138" s="33" t="s">
        <v>562</v>
      </c>
      <c r="D138" s="33" t="s">
        <v>563</v>
      </c>
      <c r="E138" s="33" t="s">
        <v>401</v>
      </c>
      <c r="F138" s="159"/>
      <c r="G138" s="155"/>
      <c r="H138" s="156">
        <v>0</v>
      </c>
      <c r="I138" s="155"/>
      <c r="J138" s="156">
        <v>0</v>
      </c>
      <c r="K138" s="155"/>
      <c r="L138" s="156">
        <v>0</v>
      </c>
      <c r="M138" s="155"/>
      <c r="N138" s="156">
        <v>0</v>
      </c>
      <c r="O138" s="155"/>
      <c r="P138" s="156">
        <v>0</v>
      </c>
      <c r="Q138" s="155"/>
      <c r="R138" s="156">
        <f t="shared" si="8"/>
        <v>0</v>
      </c>
      <c r="S138" s="155"/>
      <c r="T138" s="156">
        <v>0</v>
      </c>
      <c r="U138" s="155"/>
      <c r="V138" s="156">
        <f t="shared" si="9"/>
        <v>0</v>
      </c>
      <c r="W138" s="155"/>
      <c r="X138" s="156">
        <v>0</v>
      </c>
      <c r="Y138" s="155"/>
      <c r="Z138" s="156">
        <v>0</v>
      </c>
      <c r="AA138" s="155"/>
      <c r="AB138" s="156">
        <v>0</v>
      </c>
      <c r="AC138" s="155"/>
      <c r="AD138" s="156">
        <v>0</v>
      </c>
      <c r="AE138" s="155"/>
      <c r="AF138" s="156">
        <v>0</v>
      </c>
      <c r="AG138" s="155"/>
      <c r="AH138" s="156">
        <v>0</v>
      </c>
      <c r="AI138" s="155"/>
      <c r="AJ138" s="156">
        <v>0</v>
      </c>
      <c r="AK138" s="155"/>
      <c r="AL138" s="156">
        <v>0</v>
      </c>
      <c r="AM138" s="155"/>
      <c r="AN138" s="156">
        <v>0</v>
      </c>
      <c r="AO138" s="155"/>
      <c r="AP138" s="156">
        <v>0</v>
      </c>
      <c r="AQ138" s="155"/>
      <c r="AR138" s="156">
        <v>0</v>
      </c>
    </row>
    <row r="139" spans="2:44">
      <c r="B139" s="33" t="s">
        <v>564</v>
      </c>
      <c r="C139" s="33"/>
      <c r="D139" s="33"/>
      <c r="E139" s="33"/>
      <c r="F139" s="160"/>
      <c r="G139" s="160">
        <v>4956409.8499999996</v>
      </c>
      <c r="H139" s="161">
        <v>4715812.3524519</v>
      </c>
      <c r="I139" s="160">
        <v>220698</v>
      </c>
      <c r="J139" s="161">
        <v>2156777.2401000001</v>
      </c>
      <c r="K139" s="160">
        <v>3199323</v>
      </c>
      <c r="L139" s="161">
        <v>2581771.6524800002</v>
      </c>
      <c r="M139" s="160">
        <v>846463</v>
      </c>
      <c r="N139" s="161">
        <v>985214.00187000004</v>
      </c>
      <c r="O139" s="160">
        <v>169511</v>
      </c>
      <c r="P139" s="161">
        <v>4109973.1873349999</v>
      </c>
      <c r="Q139" s="160">
        <v>6376143.1639999999</v>
      </c>
      <c r="R139" s="161">
        <f>SUM(R5:R138)</f>
        <v>2281704.9371344205</v>
      </c>
      <c r="S139" s="160">
        <v>3087579</v>
      </c>
      <c r="T139" s="161">
        <v>3893687.662095</v>
      </c>
      <c r="U139" s="160">
        <f>SUM(U5:U138)</f>
        <v>1839600</v>
      </c>
      <c r="V139" s="161">
        <f>SUM(V5:V138)</f>
        <v>3925331.9331050008</v>
      </c>
      <c r="W139" s="160">
        <v>318253.88</v>
      </c>
      <c r="X139" s="161">
        <v>565310.51331509999</v>
      </c>
      <c r="Y139" s="160">
        <v>31924785.719999999</v>
      </c>
      <c r="Z139" s="161">
        <v>6034328.3659667401</v>
      </c>
      <c r="AA139" s="160">
        <v>8990168.4000000004</v>
      </c>
      <c r="AB139" s="161">
        <v>5106123.8589899996</v>
      </c>
      <c r="AC139" s="160">
        <v>379801.8</v>
      </c>
      <c r="AD139" s="161">
        <v>363683.98792335298</v>
      </c>
      <c r="AE139" s="160">
        <v>47103182.498999998</v>
      </c>
      <c r="AF139" s="161">
        <f>SUM(AF5:AF138)</f>
        <v>19536690.113430537</v>
      </c>
      <c r="AG139" s="160">
        <v>1093900.8700000001</v>
      </c>
      <c r="AH139" s="161">
        <v>1802780.1283710999</v>
      </c>
      <c r="AI139" s="160">
        <v>7781744.1550000003</v>
      </c>
      <c r="AJ139" s="161">
        <v>3467931.3718737499</v>
      </c>
      <c r="AK139" s="160">
        <v>204395</v>
      </c>
      <c r="AL139" s="161">
        <v>264204.5466</v>
      </c>
      <c r="AM139" s="160">
        <v>361785.02</v>
      </c>
      <c r="AN139" s="161">
        <v>408648.39364790003</v>
      </c>
      <c r="AO139" s="160">
        <v>16310036</v>
      </c>
      <c r="AP139" s="161">
        <v>4600736.8450424997</v>
      </c>
      <c r="AQ139" s="160">
        <v>5253965.58</v>
      </c>
      <c r="AR139" s="161">
        <v>1961747.6951162999</v>
      </c>
    </row>
  </sheetData>
  <pageMargins left="0.7" right="0.7" top="0.75" bottom="0.75" header="0.51180555555555496" footer="0.51180555555555496"/>
  <pageSetup paperSize="9"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N10"/>
  <sheetViews>
    <sheetView showGridLines="0" zoomScale="70" zoomScaleNormal="70" workbookViewId="0">
      <selection activeCell="G7" sqref="G7"/>
    </sheetView>
  </sheetViews>
  <sheetFormatPr defaultRowHeight="15"/>
  <cols>
    <col min="1" max="1" width="8.7109375" customWidth="1"/>
    <col min="2" max="2" width="25.5703125" customWidth="1"/>
    <col min="3" max="14" width="20.85546875" customWidth="1"/>
    <col min="15" max="1025" width="8.7109375" customWidth="1"/>
  </cols>
  <sheetData>
    <row r="2" spans="2:14" s="162" customFormat="1" ht="81" customHeight="1">
      <c r="B2" s="163" t="s">
        <v>0</v>
      </c>
      <c r="C2" s="163" t="s">
        <v>565</v>
      </c>
      <c r="D2" s="163" t="s">
        <v>566</v>
      </c>
      <c r="E2" s="163" t="s">
        <v>567</v>
      </c>
      <c r="F2" s="163" t="s">
        <v>568</v>
      </c>
      <c r="G2" s="163" t="s">
        <v>569</v>
      </c>
      <c r="H2" s="163" t="s">
        <v>570</v>
      </c>
      <c r="I2" s="163" t="s">
        <v>571</v>
      </c>
      <c r="J2" s="163" t="s">
        <v>572</v>
      </c>
      <c r="K2" s="163" t="s">
        <v>573</v>
      </c>
      <c r="L2" s="163" t="s">
        <v>574</v>
      </c>
      <c r="M2" s="163" t="s">
        <v>575</v>
      </c>
      <c r="N2" s="163" t="s">
        <v>576</v>
      </c>
    </row>
    <row r="3" spans="2:14" ht="25.5">
      <c r="B3" s="164" t="s">
        <v>577</v>
      </c>
      <c r="C3" s="165" t="s">
        <v>578</v>
      </c>
      <c r="D3" s="165" t="s">
        <v>579</v>
      </c>
      <c r="E3" s="165" t="s">
        <v>580</v>
      </c>
      <c r="F3" s="165" t="s">
        <v>581</v>
      </c>
      <c r="G3" s="165" t="s">
        <v>582</v>
      </c>
      <c r="H3" s="165" t="s">
        <v>583</v>
      </c>
      <c r="I3" s="165" t="s">
        <v>584</v>
      </c>
      <c r="J3" s="165" t="s">
        <v>578</v>
      </c>
      <c r="K3" s="165"/>
      <c r="L3" s="166" t="s">
        <v>585</v>
      </c>
      <c r="M3" s="166" t="s">
        <v>586</v>
      </c>
      <c r="N3" s="165"/>
    </row>
    <row r="4" spans="2:14" ht="51">
      <c r="B4" s="164" t="s">
        <v>587</v>
      </c>
      <c r="C4" s="165" t="s">
        <v>578</v>
      </c>
      <c r="D4" s="165" t="s">
        <v>588</v>
      </c>
      <c r="E4" s="165" t="s">
        <v>26</v>
      </c>
      <c r="F4" s="165" t="s">
        <v>589</v>
      </c>
      <c r="G4" s="165" t="s">
        <v>590</v>
      </c>
      <c r="H4" s="165" t="s">
        <v>591</v>
      </c>
      <c r="I4" s="165" t="s">
        <v>592</v>
      </c>
      <c r="J4" s="165" t="s">
        <v>578</v>
      </c>
      <c r="K4" s="165"/>
      <c r="L4" s="166" t="s">
        <v>593</v>
      </c>
      <c r="M4" s="166" t="s">
        <v>594</v>
      </c>
      <c r="N4" s="165"/>
    </row>
    <row r="5" spans="2:14" ht="38.25">
      <c r="B5" s="164" t="s">
        <v>595</v>
      </c>
      <c r="C5" s="165" t="s">
        <v>578</v>
      </c>
      <c r="D5" s="165" t="s">
        <v>596</v>
      </c>
      <c r="E5" s="165" t="s">
        <v>597</v>
      </c>
      <c r="F5" s="165" t="s">
        <v>598</v>
      </c>
      <c r="G5" s="165" t="s">
        <v>599</v>
      </c>
      <c r="H5" s="165" t="s">
        <v>600</v>
      </c>
      <c r="I5" s="165">
        <v>35385339</v>
      </c>
      <c r="J5" s="165" t="s">
        <v>578</v>
      </c>
      <c r="K5" s="165"/>
      <c r="L5" s="166" t="s">
        <v>601</v>
      </c>
      <c r="M5" s="166" t="s">
        <v>602</v>
      </c>
      <c r="N5" s="165"/>
    </row>
    <row r="6" spans="2:14" ht="43.7" customHeight="1">
      <c r="B6" s="164" t="s">
        <v>603</v>
      </c>
      <c r="C6" s="165" t="s">
        <v>604</v>
      </c>
      <c r="D6" s="165"/>
      <c r="E6" s="165" t="s">
        <v>605</v>
      </c>
      <c r="F6" s="165"/>
      <c r="G6" s="165"/>
      <c r="H6" s="165"/>
      <c r="I6" s="165"/>
      <c r="J6" s="165" t="s">
        <v>578</v>
      </c>
      <c r="K6" s="165"/>
      <c r="L6" s="166"/>
      <c r="M6" s="166"/>
      <c r="N6" s="165"/>
    </row>
    <row r="7" spans="2:14" ht="178.5">
      <c r="B7" s="164" t="s">
        <v>606</v>
      </c>
      <c r="C7" s="165" t="s">
        <v>578</v>
      </c>
      <c r="D7" s="165" t="s">
        <v>607</v>
      </c>
      <c r="E7" s="165" t="s">
        <v>608</v>
      </c>
      <c r="F7" s="165" t="s">
        <v>609</v>
      </c>
      <c r="G7" s="165" t="s">
        <v>610</v>
      </c>
      <c r="H7" s="165" t="s">
        <v>611</v>
      </c>
      <c r="I7" s="165" t="s">
        <v>612</v>
      </c>
      <c r="J7" s="165" t="s">
        <v>578</v>
      </c>
      <c r="K7" s="165"/>
      <c r="L7" s="166" t="s">
        <v>601</v>
      </c>
      <c r="M7" s="166" t="s">
        <v>602</v>
      </c>
      <c r="N7" s="165" t="s">
        <v>613</v>
      </c>
    </row>
    <row r="8" spans="2:14" ht="25.5">
      <c r="B8" s="164" t="s">
        <v>614</v>
      </c>
      <c r="C8" s="165" t="s">
        <v>615</v>
      </c>
      <c r="D8" s="165" t="s">
        <v>616</v>
      </c>
      <c r="E8" s="165" t="s">
        <v>33</v>
      </c>
      <c r="F8" s="165" t="s">
        <v>617</v>
      </c>
      <c r="G8" s="165" t="s">
        <v>618</v>
      </c>
      <c r="H8" s="165" t="s">
        <v>619</v>
      </c>
      <c r="I8" s="167">
        <v>376464879</v>
      </c>
      <c r="J8" s="165" t="s">
        <v>578</v>
      </c>
      <c r="K8" s="165"/>
      <c r="L8" s="165"/>
      <c r="M8" s="165"/>
      <c r="N8" s="165"/>
    </row>
    <row r="9" spans="2:14" ht="38.25">
      <c r="B9" s="168" t="s">
        <v>620</v>
      </c>
      <c r="C9" s="165" t="s">
        <v>578</v>
      </c>
      <c r="D9" s="165" t="s">
        <v>621</v>
      </c>
      <c r="E9" s="165" t="s">
        <v>30</v>
      </c>
      <c r="F9" s="165" t="s">
        <v>622</v>
      </c>
      <c r="G9" s="165" t="s">
        <v>590</v>
      </c>
      <c r="H9" s="165" t="s">
        <v>623</v>
      </c>
      <c r="I9" s="165" t="s">
        <v>624</v>
      </c>
      <c r="J9" s="165" t="s">
        <v>578</v>
      </c>
      <c r="K9" s="165"/>
      <c r="L9" s="166" t="s">
        <v>601</v>
      </c>
      <c r="M9" s="166" t="s">
        <v>602</v>
      </c>
      <c r="N9" s="165"/>
    </row>
    <row r="10" spans="2:14" ht="38.25">
      <c r="B10" s="168" t="s">
        <v>625</v>
      </c>
      <c r="C10" s="165" t="s">
        <v>578</v>
      </c>
      <c r="D10" s="165" t="s">
        <v>626</v>
      </c>
      <c r="E10" s="165" t="s">
        <v>627</v>
      </c>
      <c r="F10" s="165" t="s">
        <v>628</v>
      </c>
      <c r="G10" s="165" t="s">
        <v>629</v>
      </c>
      <c r="H10" s="165" t="s">
        <v>630</v>
      </c>
      <c r="I10" s="165" t="s">
        <v>631</v>
      </c>
      <c r="J10" s="165" t="s">
        <v>578</v>
      </c>
      <c r="K10" s="165"/>
      <c r="L10" s="166" t="s">
        <v>632</v>
      </c>
      <c r="M10" s="166" t="s">
        <v>633</v>
      </c>
      <c r="N10" s="165"/>
    </row>
  </sheetData>
  <hyperlinks>
    <hyperlink ref="L3" r:id="rId1" xr:uid="{00000000-0004-0000-0600-000000000000}"/>
    <hyperlink ref="M3" r:id="rId2" xr:uid="{00000000-0004-0000-0600-000001000000}"/>
    <hyperlink ref="L4" r:id="rId3" xr:uid="{00000000-0004-0000-0600-000002000000}"/>
    <hyperlink ref="M4" r:id="rId4" xr:uid="{00000000-0004-0000-0600-000003000000}"/>
    <hyperlink ref="L5" r:id="rId5" xr:uid="{00000000-0004-0000-0600-000004000000}"/>
    <hyperlink ref="M5" r:id="rId6" xr:uid="{00000000-0004-0000-0600-000005000000}"/>
    <hyperlink ref="L7" r:id="rId7" xr:uid="{00000000-0004-0000-0600-000006000000}"/>
    <hyperlink ref="M7" r:id="rId8" xr:uid="{00000000-0004-0000-0600-000007000000}"/>
    <hyperlink ref="L9" r:id="rId9" xr:uid="{00000000-0004-0000-0600-000008000000}"/>
    <hyperlink ref="M9" r:id="rId10" xr:uid="{00000000-0004-0000-0600-000009000000}"/>
    <hyperlink ref="L10" r:id="rId11" xr:uid="{00000000-0004-0000-0600-00000A000000}"/>
    <hyperlink ref="M10" r:id="rId12" xr:uid="{00000000-0004-0000-0600-00000B000000}"/>
  </hyperlinks>
  <pageMargins left="0.7" right="0.7" top="0.75" bottom="0.75" header="0.51180555555555496" footer="0.51180555555555496"/>
  <pageSetup paperSize="9"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AT2455"/>
  <sheetViews>
    <sheetView topLeftCell="E1381" zoomScaleNormal="100" zoomScalePageLayoutView="60" workbookViewId="0">
      <selection activeCell="G1404" sqref="G1404"/>
    </sheetView>
  </sheetViews>
  <sheetFormatPr defaultRowHeight="15"/>
  <cols>
    <col min="1" max="1" width="16.5703125" customWidth="1"/>
    <col min="2" max="2" width="21" customWidth="1"/>
    <col min="4" max="4" width="47.140625" customWidth="1"/>
    <col min="5" max="5" width="60.7109375" customWidth="1"/>
    <col min="6" max="6" width="71.140625" customWidth="1"/>
    <col min="7" max="7" width="50.140625" customWidth="1"/>
  </cols>
  <sheetData>
    <row r="1" spans="1:46" ht="105">
      <c r="A1" t="s">
        <v>0</v>
      </c>
      <c r="B1" t="s">
        <v>38</v>
      </c>
      <c r="C1" t="s">
        <v>98</v>
      </c>
      <c r="D1" t="s">
        <v>99</v>
      </c>
      <c r="E1" t="s">
        <v>100</v>
      </c>
      <c r="F1" t="s">
        <v>101</v>
      </c>
      <c r="G1" t="s">
        <v>102</v>
      </c>
      <c r="H1" t="s">
        <v>103</v>
      </c>
      <c r="I1" t="s">
        <v>104</v>
      </c>
      <c r="J1" t="s">
        <v>105</v>
      </c>
      <c r="K1" t="s">
        <v>106</v>
      </c>
      <c r="L1" t="s">
        <v>107</v>
      </c>
      <c r="M1" t="s">
        <v>108</v>
      </c>
      <c r="N1" t="s">
        <v>109</v>
      </c>
      <c r="O1" t="s">
        <v>110</v>
      </c>
      <c r="P1" t="s">
        <v>111</v>
      </c>
      <c r="Q1" t="s">
        <v>634</v>
      </c>
      <c r="R1" t="s">
        <v>113</v>
      </c>
      <c r="S1" t="s">
        <v>114</v>
      </c>
      <c r="T1" t="s">
        <v>635</v>
      </c>
      <c r="U1" t="s">
        <v>115</v>
      </c>
      <c r="V1" t="s">
        <v>116</v>
      </c>
      <c r="W1" t="s">
        <v>117</v>
      </c>
      <c r="X1" t="s">
        <v>118</v>
      </c>
      <c r="Y1" t="s">
        <v>119</v>
      </c>
      <c r="Z1" t="s">
        <v>120</v>
      </c>
      <c r="AA1" t="s">
        <v>121</v>
      </c>
      <c r="AB1" t="s">
        <v>122</v>
      </c>
      <c r="AC1" t="s">
        <v>123</v>
      </c>
      <c r="AD1" t="s">
        <v>124</v>
      </c>
      <c r="AE1" t="s">
        <v>125</v>
      </c>
      <c r="AF1" t="s">
        <v>126</v>
      </c>
      <c r="AG1" t="s">
        <v>127</v>
      </c>
      <c r="AH1" t="s">
        <v>128</v>
      </c>
      <c r="AI1" t="s">
        <v>129</v>
      </c>
      <c r="AJ1" t="s">
        <v>130</v>
      </c>
      <c r="AK1" t="s">
        <v>131</v>
      </c>
      <c r="AL1" t="s">
        <v>132</v>
      </c>
      <c r="AM1" t="s">
        <v>133</v>
      </c>
      <c r="AN1" t="s">
        <v>134</v>
      </c>
      <c r="AO1" t="s">
        <v>636</v>
      </c>
      <c r="AP1" t="s">
        <v>637</v>
      </c>
      <c r="AQ1" t="s">
        <v>135</v>
      </c>
      <c r="AR1" s="169" t="s">
        <v>267</v>
      </c>
      <c r="AS1" t="s">
        <v>638</v>
      </c>
      <c r="AT1" t="s">
        <v>639</v>
      </c>
    </row>
    <row r="2" spans="1:46" hidden="1">
      <c r="A2" t="s">
        <v>26</v>
      </c>
      <c r="B2" t="s">
        <v>640</v>
      </c>
      <c r="C2" t="s">
        <v>641</v>
      </c>
      <c r="D2" t="s">
        <v>324</v>
      </c>
      <c r="E2" t="s">
        <v>323</v>
      </c>
      <c r="F2" t="s">
        <v>325</v>
      </c>
      <c r="G2" t="s">
        <v>326</v>
      </c>
      <c r="H2">
        <v>0</v>
      </c>
      <c r="I2">
        <v>15734</v>
      </c>
      <c r="J2">
        <v>0</v>
      </c>
      <c r="K2">
        <v>0</v>
      </c>
      <c r="L2">
        <v>0</v>
      </c>
      <c r="M2">
        <v>0</v>
      </c>
      <c r="N2">
        <v>51149</v>
      </c>
      <c r="O2">
        <v>17720</v>
      </c>
      <c r="P2">
        <v>0</v>
      </c>
      <c r="Q2">
        <v>29383</v>
      </c>
      <c r="R2">
        <v>0</v>
      </c>
      <c r="S2">
        <v>0</v>
      </c>
      <c r="AQ2">
        <v>113986</v>
      </c>
      <c r="AR2">
        <v>1.35E-2</v>
      </c>
      <c r="AS2">
        <v>1538.8109999999999</v>
      </c>
    </row>
    <row r="3" spans="1:46" hidden="1">
      <c r="A3" t="s">
        <v>26</v>
      </c>
      <c r="B3" t="s">
        <v>640</v>
      </c>
      <c r="C3" t="s">
        <v>642</v>
      </c>
      <c r="D3" t="s">
        <v>327</v>
      </c>
      <c r="E3" t="s">
        <v>323</v>
      </c>
      <c r="F3" t="s">
        <v>328</v>
      </c>
      <c r="G3" t="s">
        <v>329</v>
      </c>
      <c r="H3">
        <v>0</v>
      </c>
      <c r="I3">
        <v>0</v>
      </c>
      <c r="J3">
        <v>0</v>
      </c>
      <c r="K3">
        <v>0</v>
      </c>
      <c r="L3">
        <v>0</v>
      </c>
      <c r="M3">
        <v>0</v>
      </c>
      <c r="N3">
        <v>0</v>
      </c>
      <c r="O3">
        <v>0</v>
      </c>
      <c r="P3">
        <v>0</v>
      </c>
      <c r="Q3">
        <v>0</v>
      </c>
      <c r="R3">
        <v>0</v>
      </c>
      <c r="S3">
        <v>0</v>
      </c>
      <c r="AQ3">
        <v>0</v>
      </c>
      <c r="AR3">
        <v>5.9330000000000001E-2</v>
      </c>
      <c r="AS3">
        <v>0</v>
      </c>
    </row>
    <row r="4" spans="1:46" hidden="1">
      <c r="A4" t="s">
        <v>26</v>
      </c>
      <c r="B4" t="s">
        <v>640</v>
      </c>
      <c r="C4" t="s">
        <v>643</v>
      </c>
      <c r="D4" t="s">
        <v>330</v>
      </c>
      <c r="E4" t="s">
        <v>323</v>
      </c>
      <c r="F4" t="s">
        <v>331</v>
      </c>
      <c r="G4" t="s">
        <v>329</v>
      </c>
      <c r="H4">
        <v>0</v>
      </c>
      <c r="I4">
        <v>0</v>
      </c>
      <c r="J4">
        <v>0</v>
      </c>
      <c r="K4">
        <v>0</v>
      </c>
      <c r="L4">
        <v>0</v>
      </c>
      <c r="M4">
        <v>0</v>
      </c>
      <c r="N4">
        <v>0</v>
      </c>
      <c r="O4">
        <v>0</v>
      </c>
      <c r="P4">
        <v>0</v>
      </c>
      <c r="Q4">
        <v>0</v>
      </c>
      <c r="R4">
        <v>0</v>
      </c>
      <c r="S4">
        <v>0</v>
      </c>
      <c r="AQ4">
        <v>0</v>
      </c>
      <c r="AR4">
        <v>0.1</v>
      </c>
      <c r="AS4">
        <v>0</v>
      </c>
    </row>
    <row r="5" spans="1:46" hidden="1">
      <c r="A5" t="s">
        <v>26</v>
      </c>
      <c r="B5" t="s">
        <v>640</v>
      </c>
      <c r="C5" t="s">
        <v>644</v>
      </c>
      <c r="D5" t="s">
        <v>332</v>
      </c>
      <c r="E5" t="s">
        <v>323</v>
      </c>
      <c r="F5" t="s">
        <v>333</v>
      </c>
      <c r="G5" t="s">
        <v>329</v>
      </c>
      <c r="H5">
        <v>0</v>
      </c>
      <c r="I5">
        <v>0</v>
      </c>
      <c r="J5">
        <v>0</v>
      </c>
      <c r="K5">
        <v>0</v>
      </c>
      <c r="L5">
        <v>0</v>
      </c>
      <c r="M5">
        <v>0</v>
      </c>
      <c r="N5">
        <v>0</v>
      </c>
      <c r="O5">
        <v>0</v>
      </c>
      <c r="P5">
        <v>0</v>
      </c>
      <c r="Q5">
        <v>0</v>
      </c>
      <c r="R5">
        <v>0</v>
      </c>
      <c r="S5">
        <v>0</v>
      </c>
      <c r="AQ5">
        <v>0</v>
      </c>
      <c r="AR5">
        <v>0.125</v>
      </c>
      <c r="AS5">
        <v>0</v>
      </c>
    </row>
    <row r="6" spans="1:46" hidden="1">
      <c r="A6" t="s">
        <v>26</v>
      </c>
      <c r="B6" t="s">
        <v>640</v>
      </c>
      <c r="C6" t="s">
        <v>645</v>
      </c>
      <c r="D6" t="s">
        <v>334</v>
      </c>
      <c r="E6" t="s">
        <v>323</v>
      </c>
      <c r="F6" t="s">
        <v>335</v>
      </c>
      <c r="G6" t="s">
        <v>329</v>
      </c>
      <c r="H6">
        <v>0</v>
      </c>
      <c r="I6">
        <v>0</v>
      </c>
      <c r="J6">
        <v>0</v>
      </c>
      <c r="K6">
        <v>0</v>
      </c>
      <c r="L6">
        <v>0</v>
      </c>
      <c r="M6">
        <v>0</v>
      </c>
      <c r="N6">
        <v>0</v>
      </c>
      <c r="O6">
        <v>0</v>
      </c>
      <c r="P6">
        <v>0</v>
      </c>
      <c r="Q6">
        <v>0</v>
      </c>
      <c r="R6">
        <v>0</v>
      </c>
      <c r="S6">
        <v>0</v>
      </c>
      <c r="AQ6">
        <v>0</v>
      </c>
      <c r="AR6">
        <v>0.28000000000000003</v>
      </c>
    </row>
    <row r="7" spans="1:46" hidden="1">
      <c r="A7" t="s">
        <v>26</v>
      </c>
      <c r="B7" t="s">
        <v>640</v>
      </c>
      <c r="C7" t="s">
        <v>646</v>
      </c>
      <c r="D7" t="s">
        <v>137</v>
      </c>
      <c r="E7" t="s">
        <v>138</v>
      </c>
      <c r="F7" t="s">
        <v>337</v>
      </c>
      <c r="G7" t="s">
        <v>140</v>
      </c>
      <c r="H7">
        <v>0</v>
      </c>
      <c r="I7">
        <v>0</v>
      </c>
      <c r="J7">
        <v>0</v>
      </c>
      <c r="K7">
        <v>0</v>
      </c>
      <c r="L7">
        <v>0</v>
      </c>
      <c r="M7">
        <v>0</v>
      </c>
      <c r="N7">
        <v>0</v>
      </c>
      <c r="O7">
        <v>0</v>
      </c>
      <c r="P7">
        <v>0</v>
      </c>
      <c r="Q7">
        <v>0</v>
      </c>
      <c r="R7">
        <v>0</v>
      </c>
      <c r="S7">
        <v>0</v>
      </c>
      <c r="AQ7">
        <v>0</v>
      </c>
      <c r="AR7">
        <v>212.1</v>
      </c>
      <c r="AS7">
        <v>0</v>
      </c>
    </row>
    <row r="8" spans="1:46" hidden="1">
      <c r="A8" t="s">
        <v>26</v>
      </c>
      <c r="B8" t="s">
        <v>640</v>
      </c>
      <c r="C8" t="s">
        <v>136</v>
      </c>
      <c r="D8" t="s">
        <v>137</v>
      </c>
      <c r="E8" t="s">
        <v>138</v>
      </c>
      <c r="F8" t="s">
        <v>139</v>
      </c>
      <c r="G8" t="s">
        <v>140</v>
      </c>
      <c r="H8">
        <v>0</v>
      </c>
      <c r="I8">
        <v>2</v>
      </c>
      <c r="J8">
        <v>0</v>
      </c>
      <c r="K8">
        <v>0</v>
      </c>
      <c r="L8">
        <v>0</v>
      </c>
      <c r="M8">
        <v>0</v>
      </c>
      <c r="N8">
        <v>0</v>
      </c>
      <c r="O8">
        <v>1</v>
      </c>
      <c r="P8">
        <v>1</v>
      </c>
      <c r="Q8">
        <v>2</v>
      </c>
      <c r="R8">
        <v>0</v>
      </c>
      <c r="S8">
        <v>0</v>
      </c>
      <c r="AQ8">
        <v>6</v>
      </c>
      <c r="AR8">
        <v>1696.8</v>
      </c>
      <c r="AS8">
        <v>10180.799999999999</v>
      </c>
    </row>
    <row r="9" spans="1:46" hidden="1">
      <c r="A9" t="s">
        <v>26</v>
      </c>
      <c r="B9" t="s">
        <v>640</v>
      </c>
      <c r="C9" t="s">
        <v>143</v>
      </c>
      <c r="D9" t="s">
        <v>137</v>
      </c>
      <c r="E9" t="s">
        <v>138</v>
      </c>
      <c r="F9" t="s">
        <v>277</v>
      </c>
      <c r="G9" t="s">
        <v>140</v>
      </c>
      <c r="H9">
        <v>0</v>
      </c>
      <c r="I9">
        <v>0</v>
      </c>
      <c r="J9">
        <v>0</v>
      </c>
      <c r="K9">
        <v>0</v>
      </c>
      <c r="L9">
        <v>0</v>
      </c>
      <c r="M9">
        <v>0</v>
      </c>
      <c r="N9">
        <v>1</v>
      </c>
      <c r="O9">
        <v>0</v>
      </c>
      <c r="P9">
        <v>0</v>
      </c>
      <c r="Q9">
        <v>0</v>
      </c>
      <c r="R9">
        <v>0</v>
      </c>
      <c r="S9">
        <v>0</v>
      </c>
      <c r="AQ9">
        <v>1</v>
      </c>
      <c r="AR9">
        <v>3923.85</v>
      </c>
      <c r="AS9">
        <v>3923.85</v>
      </c>
    </row>
    <row r="10" spans="1:46" hidden="1">
      <c r="A10" t="s">
        <v>26</v>
      </c>
      <c r="B10" t="s">
        <v>640</v>
      </c>
      <c r="C10" t="s">
        <v>647</v>
      </c>
      <c r="D10" t="s">
        <v>137</v>
      </c>
      <c r="E10" t="s">
        <v>138</v>
      </c>
      <c r="F10" t="s">
        <v>338</v>
      </c>
      <c r="G10" t="s">
        <v>140</v>
      </c>
      <c r="H10">
        <v>0</v>
      </c>
      <c r="I10">
        <v>0</v>
      </c>
      <c r="J10">
        <v>0</v>
      </c>
      <c r="K10">
        <v>0</v>
      </c>
      <c r="L10">
        <v>0</v>
      </c>
      <c r="M10">
        <v>0</v>
      </c>
      <c r="N10">
        <v>0</v>
      </c>
      <c r="O10">
        <v>0</v>
      </c>
      <c r="P10">
        <v>0</v>
      </c>
      <c r="Q10">
        <v>0</v>
      </c>
      <c r="R10">
        <v>0</v>
      </c>
      <c r="S10">
        <v>0</v>
      </c>
      <c r="AQ10">
        <v>0</v>
      </c>
      <c r="AR10">
        <v>6893.25</v>
      </c>
      <c r="AS10">
        <v>0</v>
      </c>
    </row>
    <row r="11" spans="1:46" hidden="1">
      <c r="A11" t="s">
        <v>26</v>
      </c>
      <c r="B11" t="s">
        <v>640</v>
      </c>
      <c r="C11" t="s">
        <v>648</v>
      </c>
      <c r="D11" t="s">
        <v>342</v>
      </c>
      <c r="E11" t="s">
        <v>138</v>
      </c>
      <c r="F11" t="s">
        <v>343</v>
      </c>
      <c r="G11" t="s">
        <v>140</v>
      </c>
      <c r="H11">
        <v>0</v>
      </c>
      <c r="I11">
        <v>0</v>
      </c>
      <c r="J11">
        <v>0</v>
      </c>
      <c r="K11">
        <v>0</v>
      </c>
      <c r="L11">
        <v>0</v>
      </c>
      <c r="M11">
        <v>0</v>
      </c>
      <c r="N11">
        <v>0</v>
      </c>
      <c r="O11">
        <v>0</v>
      </c>
      <c r="P11">
        <v>0</v>
      </c>
      <c r="Q11">
        <v>0</v>
      </c>
      <c r="R11">
        <v>0</v>
      </c>
      <c r="S11">
        <v>0</v>
      </c>
      <c r="AQ11">
        <v>0</v>
      </c>
      <c r="AR11">
        <v>13786.5</v>
      </c>
      <c r="AS11">
        <v>0</v>
      </c>
    </row>
    <row r="12" spans="1:46" hidden="1">
      <c r="A12" t="s">
        <v>26</v>
      </c>
      <c r="B12" t="s">
        <v>640</v>
      </c>
      <c r="C12" t="s">
        <v>649</v>
      </c>
      <c r="D12" t="s">
        <v>344</v>
      </c>
      <c r="E12" t="s">
        <v>138</v>
      </c>
      <c r="F12" t="s">
        <v>345</v>
      </c>
      <c r="G12" t="s">
        <v>346</v>
      </c>
      <c r="H12">
        <v>0</v>
      </c>
      <c r="I12">
        <v>0</v>
      </c>
      <c r="J12">
        <v>0</v>
      </c>
      <c r="K12">
        <v>0</v>
      </c>
      <c r="L12">
        <v>0</v>
      </c>
      <c r="M12">
        <v>0</v>
      </c>
      <c r="N12">
        <v>0</v>
      </c>
      <c r="O12">
        <v>0</v>
      </c>
      <c r="P12">
        <v>0</v>
      </c>
      <c r="Q12">
        <v>0</v>
      </c>
      <c r="R12">
        <v>0</v>
      </c>
      <c r="S12">
        <v>0</v>
      </c>
      <c r="AQ12">
        <v>0</v>
      </c>
      <c r="AR12">
        <v>11.11</v>
      </c>
      <c r="AS12">
        <v>0</v>
      </c>
    </row>
    <row r="13" spans="1:46" hidden="1">
      <c r="A13" t="s">
        <v>26</v>
      </c>
      <c r="B13" t="s">
        <v>640</v>
      </c>
      <c r="C13" t="s">
        <v>650</v>
      </c>
      <c r="D13" t="s">
        <v>339</v>
      </c>
      <c r="E13" t="s">
        <v>138</v>
      </c>
      <c r="F13" t="s">
        <v>340</v>
      </c>
      <c r="G13" t="s">
        <v>341</v>
      </c>
      <c r="H13">
        <v>0</v>
      </c>
      <c r="I13">
        <v>0</v>
      </c>
      <c r="J13">
        <v>0</v>
      </c>
      <c r="K13">
        <v>0</v>
      </c>
      <c r="L13">
        <v>0</v>
      </c>
      <c r="M13">
        <v>0</v>
      </c>
      <c r="N13">
        <v>0</v>
      </c>
      <c r="O13">
        <v>0</v>
      </c>
      <c r="P13">
        <v>0</v>
      </c>
      <c r="Q13">
        <v>0</v>
      </c>
      <c r="R13">
        <v>0</v>
      </c>
      <c r="S13">
        <v>0</v>
      </c>
      <c r="AQ13">
        <v>0</v>
      </c>
      <c r="AR13">
        <v>557.52</v>
      </c>
      <c r="AS13">
        <v>0</v>
      </c>
    </row>
    <row r="14" spans="1:46" hidden="1">
      <c r="A14" t="s">
        <v>26</v>
      </c>
      <c r="B14" t="s">
        <v>640</v>
      </c>
      <c r="C14" t="s">
        <v>651</v>
      </c>
      <c r="D14" t="s">
        <v>347</v>
      </c>
      <c r="E14" t="s">
        <v>138</v>
      </c>
      <c r="F14" t="s">
        <v>350</v>
      </c>
      <c r="G14" t="s">
        <v>349</v>
      </c>
      <c r="H14">
        <v>0</v>
      </c>
      <c r="I14">
        <v>0</v>
      </c>
      <c r="J14">
        <v>0</v>
      </c>
      <c r="K14">
        <v>0</v>
      </c>
      <c r="L14">
        <v>0</v>
      </c>
      <c r="M14">
        <v>0</v>
      </c>
      <c r="N14">
        <v>0</v>
      </c>
      <c r="O14">
        <v>0</v>
      </c>
      <c r="P14">
        <v>0</v>
      </c>
      <c r="Q14">
        <v>0</v>
      </c>
      <c r="R14">
        <v>0</v>
      </c>
      <c r="S14">
        <v>0</v>
      </c>
      <c r="AQ14">
        <v>0</v>
      </c>
      <c r="AR14">
        <v>234.32</v>
      </c>
      <c r="AS14">
        <v>0</v>
      </c>
    </row>
    <row r="15" spans="1:46" hidden="1">
      <c r="A15" t="s">
        <v>26</v>
      </c>
      <c r="B15" t="s">
        <v>640</v>
      </c>
      <c r="C15" t="s">
        <v>652</v>
      </c>
      <c r="D15" t="s">
        <v>347</v>
      </c>
      <c r="E15" t="s">
        <v>138</v>
      </c>
      <c r="F15" t="s">
        <v>348</v>
      </c>
      <c r="G15" t="s">
        <v>349</v>
      </c>
      <c r="H15">
        <v>0</v>
      </c>
      <c r="I15">
        <v>2</v>
      </c>
      <c r="J15">
        <v>0</v>
      </c>
      <c r="K15">
        <v>0</v>
      </c>
      <c r="L15">
        <v>0</v>
      </c>
      <c r="M15">
        <v>0</v>
      </c>
      <c r="N15">
        <v>0</v>
      </c>
      <c r="O15">
        <v>0</v>
      </c>
      <c r="P15">
        <v>0</v>
      </c>
      <c r="Q15">
        <v>0</v>
      </c>
      <c r="R15">
        <v>0</v>
      </c>
      <c r="S15">
        <v>1</v>
      </c>
      <c r="AQ15">
        <v>3</v>
      </c>
      <c r="AR15">
        <v>456.52</v>
      </c>
      <c r="AS15">
        <v>1369.56</v>
      </c>
    </row>
    <row r="16" spans="1:46" hidden="1">
      <c r="A16" t="s">
        <v>26</v>
      </c>
      <c r="B16" t="s">
        <v>640</v>
      </c>
      <c r="C16" t="s">
        <v>653</v>
      </c>
      <c r="D16" t="s">
        <v>347</v>
      </c>
      <c r="E16" t="s">
        <v>138</v>
      </c>
      <c r="F16" t="s">
        <v>351</v>
      </c>
      <c r="G16" t="s">
        <v>349</v>
      </c>
      <c r="H16">
        <v>0</v>
      </c>
      <c r="I16">
        <v>0</v>
      </c>
      <c r="J16">
        <v>0</v>
      </c>
      <c r="K16">
        <v>0</v>
      </c>
      <c r="L16">
        <v>0</v>
      </c>
      <c r="M16">
        <v>0</v>
      </c>
      <c r="N16">
        <v>0</v>
      </c>
      <c r="O16">
        <v>0</v>
      </c>
      <c r="P16">
        <v>0</v>
      </c>
      <c r="Q16">
        <v>0</v>
      </c>
      <c r="R16">
        <v>0</v>
      </c>
      <c r="S16">
        <v>0</v>
      </c>
      <c r="AQ16">
        <v>0</v>
      </c>
      <c r="AR16">
        <v>679.73</v>
      </c>
      <c r="AS16">
        <v>0</v>
      </c>
    </row>
    <row r="17" spans="1:45" hidden="1">
      <c r="A17" t="s">
        <v>26</v>
      </c>
      <c r="B17" t="s">
        <v>640</v>
      </c>
      <c r="C17" t="s">
        <v>654</v>
      </c>
      <c r="D17" t="s">
        <v>352</v>
      </c>
      <c r="E17" t="s">
        <v>138</v>
      </c>
      <c r="F17" t="s">
        <v>353</v>
      </c>
      <c r="G17" t="s">
        <v>354</v>
      </c>
      <c r="H17">
        <v>0</v>
      </c>
      <c r="I17">
        <v>0</v>
      </c>
      <c r="J17">
        <v>0</v>
      </c>
      <c r="K17">
        <v>0</v>
      </c>
      <c r="L17">
        <v>0</v>
      </c>
      <c r="M17">
        <v>0</v>
      </c>
      <c r="N17">
        <v>0</v>
      </c>
      <c r="O17">
        <v>0</v>
      </c>
      <c r="P17">
        <v>0</v>
      </c>
      <c r="Q17">
        <v>0</v>
      </c>
      <c r="R17">
        <v>0</v>
      </c>
      <c r="S17">
        <v>0</v>
      </c>
      <c r="AQ17">
        <v>0</v>
      </c>
      <c r="AR17">
        <v>3923.85</v>
      </c>
      <c r="AS17">
        <v>0</v>
      </c>
    </row>
    <row r="18" spans="1:45" hidden="1">
      <c r="A18" t="s">
        <v>26</v>
      </c>
      <c r="B18" t="s">
        <v>640</v>
      </c>
      <c r="C18" t="s">
        <v>655</v>
      </c>
      <c r="D18" t="s">
        <v>355</v>
      </c>
      <c r="E18" t="s">
        <v>138</v>
      </c>
      <c r="F18" t="s">
        <v>356</v>
      </c>
      <c r="G18" t="s">
        <v>357</v>
      </c>
      <c r="H18">
        <v>0</v>
      </c>
      <c r="I18">
        <v>0</v>
      </c>
      <c r="J18">
        <v>0</v>
      </c>
      <c r="K18">
        <v>0</v>
      </c>
      <c r="L18">
        <v>0</v>
      </c>
      <c r="M18">
        <v>0</v>
      </c>
      <c r="N18">
        <v>0</v>
      </c>
      <c r="O18">
        <v>0</v>
      </c>
      <c r="P18">
        <v>0</v>
      </c>
      <c r="Q18">
        <v>0</v>
      </c>
      <c r="R18">
        <v>0</v>
      </c>
      <c r="S18">
        <v>0</v>
      </c>
      <c r="AQ18">
        <v>0</v>
      </c>
      <c r="AR18">
        <v>556.51</v>
      </c>
      <c r="AS18">
        <v>0</v>
      </c>
    </row>
    <row r="19" spans="1:45" hidden="1">
      <c r="A19" t="s">
        <v>26</v>
      </c>
      <c r="B19" t="s">
        <v>640</v>
      </c>
      <c r="C19" t="s">
        <v>656</v>
      </c>
      <c r="D19" t="s">
        <v>358</v>
      </c>
      <c r="E19" t="s">
        <v>138</v>
      </c>
      <c r="F19" t="s">
        <v>359</v>
      </c>
      <c r="G19" t="s">
        <v>360</v>
      </c>
      <c r="H19">
        <v>0</v>
      </c>
      <c r="I19">
        <v>0</v>
      </c>
      <c r="J19">
        <v>0</v>
      </c>
      <c r="K19">
        <v>0</v>
      </c>
      <c r="L19">
        <v>0</v>
      </c>
      <c r="M19">
        <v>0</v>
      </c>
      <c r="N19">
        <v>0</v>
      </c>
      <c r="O19">
        <v>0</v>
      </c>
      <c r="P19">
        <v>0</v>
      </c>
      <c r="Q19">
        <v>0</v>
      </c>
      <c r="R19">
        <v>0</v>
      </c>
      <c r="S19">
        <v>0</v>
      </c>
      <c r="AQ19">
        <v>0</v>
      </c>
      <c r="AR19">
        <v>334.31</v>
      </c>
      <c r="AS19">
        <v>0</v>
      </c>
    </row>
    <row r="20" spans="1:45" hidden="1">
      <c r="A20" t="s">
        <v>26</v>
      </c>
      <c r="B20" t="s">
        <v>640</v>
      </c>
      <c r="C20" t="s">
        <v>657</v>
      </c>
      <c r="D20" t="s">
        <v>361</v>
      </c>
      <c r="E20" t="s">
        <v>138</v>
      </c>
      <c r="F20" t="s">
        <v>362</v>
      </c>
      <c r="G20" t="s">
        <v>363</v>
      </c>
      <c r="H20">
        <v>0</v>
      </c>
      <c r="I20">
        <v>0</v>
      </c>
      <c r="J20">
        <v>0</v>
      </c>
      <c r="K20">
        <v>0</v>
      </c>
      <c r="L20">
        <v>0</v>
      </c>
      <c r="M20">
        <v>0</v>
      </c>
      <c r="N20">
        <v>0</v>
      </c>
      <c r="O20">
        <v>0</v>
      </c>
      <c r="P20">
        <v>0</v>
      </c>
      <c r="Q20">
        <v>0</v>
      </c>
      <c r="R20">
        <v>0</v>
      </c>
      <c r="S20">
        <v>0</v>
      </c>
      <c r="AQ20">
        <v>0</v>
      </c>
      <c r="AR20">
        <v>1.0605</v>
      </c>
      <c r="AS20">
        <v>0</v>
      </c>
    </row>
    <row r="21" spans="1:45" hidden="1">
      <c r="A21" t="s">
        <v>26</v>
      </c>
      <c r="B21" t="s">
        <v>640</v>
      </c>
      <c r="C21" t="s">
        <v>658</v>
      </c>
      <c r="D21" t="s">
        <v>364</v>
      </c>
      <c r="E21" t="s">
        <v>138</v>
      </c>
      <c r="F21" t="s">
        <v>366</v>
      </c>
      <c r="G21" t="s">
        <v>363</v>
      </c>
      <c r="H21">
        <v>0</v>
      </c>
      <c r="I21">
        <v>0</v>
      </c>
      <c r="J21">
        <v>0</v>
      </c>
      <c r="K21">
        <v>0</v>
      </c>
      <c r="L21">
        <v>0</v>
      </c>
      <c r="M21">
        <v>0</v>
      </c>
      <c r="N21">
        <v>0</v>
      </c>
      <c r="O21">
        <v>0</v>
      </c>
      <c r="P21">
        <v>0</v>
      </c>
      <c r="Q21">
        <v>0</v>
      </c>
      <c r="R21">
        <v>0</v>
      </c>
      <c r="S21">
        <v>0</v>
      </c>
      <c r="AQ21">
        <v>0</v>
      </c>
      <c r="AR21">
        <v>4.242</v>
      </c>
      <c r="AS21">
        <v>0</v>
      </c>
    </row>
    <row r="22" spans="1:45" hidden="1">
      <c r="A22" t="s">
        <v>26</v>
      </c>
      <c r="B22" t="s">
        <v>640</v>
      </c>
      <c r="C22" t="s">
        <v>659</v>
      </c>
      <c r="D22" t="s">
        <v>364</v>
      </c>
      <c r="E22" t="s">
        <v>138</v>
      </c>
      <c r="F22" t="s">
        <v>365</v>
      </c>
      <c r="G22" t="s">
        <v>363</v>
      </c>
      <c r="H22">
        <v>0</v>
      </c>
      <c r="I22">
        <v>0</v>
      </c>
      <c r="J22">
        <v>0</v>
      </c>
      <c r="K22">
        <v>0</v>
      </c>
      <c r="L22">
        <v>0</v>
      </c>
      <c r="M22">
        <v>0</v>
      </c>
      <c r="N22">
        <v>0</v>
      </c>
      <c r="O22">
        <v>0</v>
      </c>
      <c r="P22">
        <v>0</v>
      </c>
      <c r="Q22">
        <v>0</v>
      </c>
      <c r="R22">
        <v>0</v>
      </c>
      <c r="S22">
        <v>0</v>
      </c>
      <c r="AQ22">
        <v>0</v>
      </c>
      <c r="AR22">
        <v>8.484</v>
      </c>
      <c r="AS22">
        <v>0</v>
      </c>
    </row>
    <row r="23" spans="1:45" hidden="1">
      <c r="A23" t="s">
        <v>26</v>
      </c>
      <c r="B23" t="s">
        <v>640</v>
      </c>
      <c r="C23" t="s">
        <v>660</v>
      </c>
      <c r="D23" t="s">
        <v>364</v>
      </c>
      <c r="E23" t="s">
        <v>138</v>
      </c>
      <c r="F23" t="s">
        <v>367</v>
      </c>
      <c r="G23" t="s">
        <v>363</v>
      </c>
      <c r="H23">
        <v>0</v>
      </c>
      <c r="I23">
        <v>0</v>
      </c>
      <c r="J23">
        <v>0</v>
      </c>
      <c r="K23">
        <v>0</v>
      </c>
      <c r="L23">
        <v>0</v>
      </c>
      <c r="M23">
        <v>0</v>
      </c>
      <c r="N23">
        <v>0</v>
      </c>
      <c r="O23">
        <v>0</v>
      </c>
      <c r="P23">
        <v>0</v>
      </c>
      <c r="Q23">
        <v>0</v>
      </c>
      <c r="R23">
        <v>0</v>
      </c>
      <c r="S23">
        <v>0</v>
      </c>
      <c r="AQ23">
        <v>0</v>
      </c>
      <c r="AR23">
        <v>21.21</v>
      </c>
      <c r="AS23">
        <v>0</v>
      </c>
    </row>
    <row r="24" spans="1:45" hidden="1">
      <c r="A24" t="s">
        <v>26</v>
      </c>
      <c r="B24" t="s">
        <v>640</v>
      </c>
      <c r="C24" t="s">
        <v>278</v>
      </c>
      <c r="D24" t="s">
        <v>146</v>
      </c>
      <c r="E24" t="s">
        <v>138</v>
      </c>
      <c r="F24" t="s">
        <v>279</v>
      </c>
      <c r="G24" t="s">
        <v>148</v>
      </c>
      <c r="H24">
        <v>0</v>
      </c>
      <c r="I24">
        <v>0</v>
      </c>
      <c r="J24">
        <v>0</v>
      </c>
      <c r="K24">
        <v>0</v>
      </c>
      <c r="L24">
        <v>0</v>
      </c>
      <c r="M24">
        <v>0</v>
      </c>
      <c r="N24">
        <v>0</v>
      </c>
      <c r="O24">
        <v>0</v>
      </c>
      <c r="P24">
        <v>0</v>
      </c>
      <c r="Q24">
        <v>0</v>
      </c>
      <c r="R24">
        <v>0</v>
      </c>
      <c r="S24">
        <v>0</v>
      </c>
      <c r="AQ24">
        <v>0</v>
      </c>
      <c r="AR24">
        <v>1272.5999999999999</v>
      </c>
      <c r="AS24">
        <v>0</v>
      </c>
    </row>
    <row r="25" spans="1:45" hidden="1">
      <c r="A25" t="s">
        <v>26</v>
      </c>
      <c r="B25" t="s">
        <v>640</v>
      </c>
      <c r="C25" t="s">
        <v>661</v>
      </c>
      <c r="D25" t="s">
        <v>146</v>
      </c>
      <c r="E25" t="s">
        <v>138</v>
      </c>
      <c r="F25" t="s">
        <v>368</v>
      </c>
      <c r="G25" t="s">
        <v>148</v>
      </c>
      <c r="H25">
        <v>0</v>
      </c>
      <c r="I25">
        <v>1</v>
      </c>
      <c r="J25">
        <v>0</v>
      </c>
      <c r="K25">
        <v>0</v>
      </c>
      <c r="L25">
        <v>0</v>
      </c>
      <c r="M25">
        <v>0</v>
      </c>
      <c r="N25">
        <v>1</v>
      </c>
      <c r="O25">
        <v>0</v>
      </c>
      <c r="P25">
        <v>0</v>
      </c>
      <c r="Q25">
        <v>1</v>
      </c>
      <c r="R25">
        <v>0</v>
      </c>
      <c r="S25">
        <v>1</v>
      </c>
      <c r="AQ25">
        <v>4</v>
      </c>
      <c r="AR25">
        <v>2333.1</v>
      </c>
      <c r="AS25">
        <v>9332.4</v>
      </c>
    </row>
    <row r="26" spans="1:45" hidden="1">
      <c r="A26" t="s">
        <v>26</v>
      </c>
      <c r="B26" t="s">
        <v>640</v>
      </c>
      <c r="C26" t="s">
        <v>662</v>
      </c>
      <c r="D26" t="s">
        <v>146</v>
      </c>
      <c r="E26" t="s">
        <v>138</v>
      </c>
      <c r="F26" t="s">
        <v>369</v>
      </c>
      <c r="G26" t="s">
        <v>148</v>
      </c>
      <c r="H26">
        <v>0</v>
      </c>
      <c r="I26">
        <v>0</v>
      </c>
      <c r="J26">
        <v>0</v>
      </c>
      <c r="K26">
        <v>0</v>
      </c>
      <c r="L26">
        <v>0</v>
      </c>
      <c r="M26">
        <v>0</v>
      </c>
      <c r="N26">
        <v>0</v>
      </c>
      <c r="O26">
        <v>0</v>
      </c>
      <c r="P26">
        <v>0</v>
      </c>
      <c r="Q26">
        <v>0</v>
      </c>
      <c r="R26">
        <v>0</v>
      </c>
      <c r="S26">
        <v>0</v>
      </c>
      <c r="AQ26">
        <v>0</v>
      </c>
      <c r="AR26">
        <v>3711.75</v>
      </c>
      <c r="AS26">
        <v>0</v>
      </c>
    </row>
    <row r="27" spans="1:45" hidden="1">
      <c r="A27" t="s">
        <v>26</v>
      </c>
      <c r="B27" t="s">
        <v>640</v>
      </c>
      <c r="C27" t="s">
        <v>663</v>
      </c>
      <c r="D27" t="s">
        <v>146</v>
      </c>
      <c r="E27" t="s">
        <v>138</v>
      </c>
      <c r="F27" t="s">
        <v>370</v>
      </c>
      <c r="G27" t="s">
        <v>148</v>
      </c>
      <c r="H27">
        <v>0</v>
      </c>
      <c r="I27">
        <v>0</v>
      </c>
      <c r="J27">
        <v>0</v>
      </c>
      <c r="K27">
        <v>0</v>
      </c>
      <c r="L27">
        <v>0</v>
      </c>
      <c r="M27">
        <v>0</v>
      </c>
      <c r="N27">
        <v>0</v>
      </c>
      <c r="O27">
        <v>0</v>
      </c>
      <c r="P27">
        <v>0</v>
      </c>
      <c r="Q27">
        <v>0</v>
      </c>
      <c r="R27">
        <v>0</v>
      </c>
      <c r="S27">
        <v>0</v>
      </c>
      <c r="AQ27">
        <v>0</v>
      </c>
      <c r="AR27">
        <v>5832.75</v>
      </c>
      <c r="AS27">
        <v>0</v>
      </c>
    </row>
    <row r="28" spans="1:45" hidden="1">
      <c r="A28" t="s">
        <v>26</v>
      </c>
      <c r="B28" t="s">
        <v>640</v>
      </c>
      <c r="C28" t="s">
        <v>664</v>
      </c>
      <c r="D28" t="s">
        <v>371</v>
      </c>
      <c r="E28" t="s">
        <v>138</v>
      </c>
      <c r="F28" t="s">
        <v>372</v>
      </c>
      <c r="G28" t="s">
        <v>373</v>
      </c>
      <c r="H28">
        <v>0</v>
      </c>
      <c r="I28">
        <v>0</v>
      </c>
      <c r="J28">
        <v>0</v>
      </c>
      <c r="K28">
        <v>0</v>
      </c>
      <c r="L28">
        <v>0</v>
      </c>
      <c r="M28">
        <v>0</v>
      </c>
      <c r="N28">
        <v>0</v>
      </c>
      <c r="O28">
        <v>0</v>
      </c>
      <c r="P28">
        <v>0</v>
      </c>
      <c r="Q28">
        <v>0</v>
      </c>
      <c r="R28">
        <v>0</v>
      </c>
      <c r="S28">
        <v>0</v>
      </c>
      <c r="AQ28">
        <v>0</v>
      </c>
      <c r="AR28">
        <v>3711.75</v>
      </c>
      <c r="AS28">
        <v>0</v>
      </c>
    </row>
    <row r="29" spans="1:45" hidden="1">
      <c r="A29" t="s">
        <v>26</v>
      </c>
      <c r="B29" t="s">
        <v>640</v>
      </c>
      <c r="C29" t="s">
        <v>149</v>
      </c>
      <c r="D29" t="s">
        <v>280</v>
      </c>
      <c r="E29" t="s">
        <v>138</v>
      </c>
      <c r="F29" t="s">
        <v>151</v>
      </c>
      <c r="G29" t="s">
        <v>152</v>
      </c>
      <c r="H29">
        <v>0</v>
      </c>
      <c r="I29">
        <v>0</v>
      </c>
      <c r="J29">
        <v>0</v>
      </c>
      <c r="K29">
        <v>0</v>
      </c>
      <c r="L29">
        <v>890</v>
      </c>
      <c r="M29">
        <v>0</v>
      </c>
      <c r="N29">
        <v>0</v>
      </c>
      <c r="O29">
        <v>0</v>
      </c>
      <c r="P29">
        <v>0</v>
      </c>
      <c r="Q29">
        <v>0</v>
      </c>
      <c r="R29">
        <v>0</v>
      </c>
      <c r="S29">
        <v>1167</v>
      </c>
      <c r="AQ29">
        <v>2057</v>
      </c>
      <c r="AR29">
        <v>1.111</v>
      </c>
      <c r="AS29">
        <v>2285.3270000000002</v>
      </c>
    </row>
    <row r="30" spans="1:45" hidden="1">
      <c r="A30" t="s">
        <v>26</v>
      </c>
      <c r="B30" t="s">
        <v>640</v>
      </c>
      <c r="C30" t="s">
        <v>153</v>
      </c>
      <c r="D30" t="s">
        <v>154</v>
      </c>
      <c r="E30" t="s">
        <v>138</v>
      </c>
      <c r="F30" t="s">
        <v>155</v>
      </c>
      <c r="G30" t="s">
        <v>156</v>
      </c>
      <c r="H30">
        <v>174</v>
      </c>
      <c r="I30">
        <v>120</v>
      </c>
      <c r="J30">
        <v>0</v>
      </c>
      <c r="K30">
        <v>0</v>
      </c>
      <c r="L30">
        <v>0</v>
      </c>
      <c r="M30">
        <v>0</v>
      </c>
      <c r="N30">
        <v>62</v>
      </c>
      <c r="O30">
        <v>8</v>
      </c>
      <c r="P30">
        <v>0</v>
      </c>
      <c r="Q30">
        <v>80</v>
      </c>
      <c r="R30">
        <v>0</v>
      </c>
      <c r="S30">
        <v>46</v>
      </c>
      <c r="AQ30">
        <v>490</v>
      </c>
      <c r="AR30">
        <v>116.655</v>
      </c>
      <c r="AS30">
        <v>57160.95</v>
      </c>
    </row>
    <row r="31" spans="1:45" hidden="1">
      <c r="A31" t="s">
        <v>26</v>
      </c>
      <c r="B31" t="s">
        <v>640</v>
      </c>
      <c r="C31" t="s">
        <v>665</v>
      </c>
      <c r="D31" t="s">
        <v>375</v>
      </c>
      <c r="E31" t="s">
        <v>138</v>
      </c>
      <c r="F31" t="s">
        <v>376</v>
      </c>
      <c r="G31" t="s">
        <v>377</v>
      </c>
      <c r="H31">
        <v>0</v>
      </c>
      <c r="I31">
        <v>0</v>
      </c>
      <c r="J31">
        <v>0</v>
      </c>
      <c r="K31">
        <v>0</v>
      </c>
      <c r="L31">
        <v>0</v>
      </c>
      <c r="M31">
        <v>0</v>
      </c>
      <c r="N31">
        <v>0</v>
      </c>
      <c r="O31">
        <v>0</v>
      </c>
      <c r="P31">
        <v>0</v>
      </c>
      <c r="Q31">
        <v>0</v>
      </c>
      <c r="R31">
        <v>0</v>
      </c>
      <c r="S31">
        <v>0</v>
      </c>
      <c r="AQ31">
        <v>0</v>
      </c>
      <c r="AR31">
        <v>89.081999999999994</v>
      </c>
      <c r="AS31">
        <v>0</v>
      </c>
    </row>
    <row r="32" spans="1:45" hidden="1">
      <c r="A32" t="s">
        <v>26</v>
      </c>
      <c r="B32" t="s">
        <v>640</v>
      </c>
      <c r="C32" t="s">
        <v>158</v>
      </c>
      <c r="D32" t="s">
        <v>159</v>
      </c>
      <c r="E32" t="s">
        <v>138</v>
      </c>
      <c r="F32" t="s">
        <v>160</v>
      </c>
      <c r="G32" t="s">
        <v>161</v>
      </c>
      <c r="H32">
        <v>9</v>
      </c>
      <c r="I32">
        <v>1</v>
      </c>
      <c r="J32">
        <v>4</v>
      </c>
      <c r="K32">
        <v>24</v>
      </c>
      <c r="L32">
        <v>15</v>
      </c>
      <c r="M32">
        <v>4</v>
      </c>
      <c r="N32">
        <v>1</v>
      </c>
      <c r="O32">
        <v>7</v>
      </c>
      <c r="P32">
        <v>14</v>
      </c>
      <c r="Q32">
        <v>1</v>
      </c>
      <c r="R32">
        <v>1</v>
      </c>
      <c r="S32">
        <v>0</v>
      </c>
      <c r="AQ32">
        <v>81</v>
      </c>
      <c r="AR32">
        <v>66.66</v>
      </c>
      <c r="AS32">
        <v>5399.46</v>
      </c>
    </row>
    <row r="33" spans="1:45" hidden="1">
      <c r="A33" t="s">
        <v>26</v>
      </c>
      <c r="B33" t="s">
        <v>640</v>
      </c>
      <c r="C33" t="s">
        <v>666</v>
      </c>
      <c r="D33" t="s">
        <v>378</v>
      </c>
      <c r="E33" t="s">
        <v>138</v>
      </c>
      <c r="F33" t="s">
        <v>379</v>
      </c>
      <c r="G33" t="s">
        <v>380</v>
      </c>
      <c r="H33">
        <v>2</v>
      </c>
      <c r="I33">
        <v>0</v>
      </c>
      <c r="J33">
        <v>0</v>
      </c>
      <c r="K33">
        <v>0</v>
      </c>
      <c r="L33">
        <v>0</v>
      </c>
      <c r="M33">
        <v>0</v>
      </c>
      <c r="N33">
        <v>0</v>
      </c>
      <c r="O33">
        <v>0</v>
      </c>
      <c r="P33">
        <v>0</v>
      </c>
      <c r="Q33">
        <v>1</v>
      </c>
      <c r="R33">
        <v>0</v>
      </c>
      <c r="S33">
        <v>0</v>
      </c>
      <c r="AQ33">
        <v>3</v>
      </c>
      <c r="AR33">
        <v>389.86</v>
      </c>
      <c r="AS33">
        <v>1169.58</v>
      </c>
    </row>
    <row r="34" spans="1:45" hidden="1">
      <c r="A34" t="s">
        <v>26</v>
      </c>
      <c r="B34" t="s">
        <v>640</v>
      </c>
      <c r="C34" t="s">
        <v>667</v>
      </c>
      <c r="D34" t="s">
        <v>281</v>
      </c>
      <c r="E34" t="s">
        <v>138</v>
      </c>
      <c r="F34" t="s">
        <v>384</v>
      </c>
      <c r="G34" t="s">
        <v>165</v>
      </c>
      <c r="H34">
        <v>0</v>
      </c>
      <c r="I34">
        <v>1</v>
      </c>
      <c r="J34">
        <v>0</v>
      </c>
      <c r="K34">
        <v>0</v>
      </c>
      <c r="L34">
        <v>0</v>
      </c>
      <c r="M34">
        <v>0</v>
      </c>
      <c r="N34">
        <v>0</v>
      </c>
      <c r="O34">
        <v>0</v>
      </c>
      <c r="P34">
        <v>0</v>
      </c>
      <c r="Q34">
        <v>1</v>
      </c>
      <c r="R34">
        <v>0</v>
      </c>
      <c r="S34">
        <v>1</v>
      </c>
      <c r="AQ34">
        <v>3</v>
      </c>
      <c r="AR34">
        <v>2227.0500000000002</v>
      </c>
      <c r="AS34">
        <v>6681.15</v>
      </c>
    </row>
    <row r="35" spans="1:45" hidden="1">
      <c r="A35" t="s">
        <v>26</v>
      </c>
      <c r="B35" t="s">
        <v>640</v>
      </c>
      <c r="C35" t="s">
        <v>162</v>
      </c>
      <c r="D35" t="s">
        <v>281</v>
      </c>
      <c r="E35" t="s">
        <v>138</v>
      </c>
      <c r="F35" t="s">
        <v>164</v>
      </c>
      <c r="G35" t="s">
        <v>165</v>
      </c>
      <c r="H35">
        <v>2</v>
      </c>
      <c r="I35">
        <v>0</v>
      </c>
      <c r="J35">
        <v>0</v>
      </c>
      <c r="K35">
        <v>0</v>
      </c>
      <c r="L35">
        <v>0</v>
      </c>
      <c r="M35">
        <v>0</v>
      </c>
      <c r="N35">
        <v>0</v>
      </c>
      <c r="O35">
        <v>0</v>
      </c>
      <c r="P35">
        <v>0</v>
      </c>
      <c r="Q35">
        <v>0</v>
      </c>
      <c r="R35">
        <v>0</v>
      </c>
      <c r="S35">
        <v>0</v>
      </c>
      <c r="AQ35">
        <v>2</v>
      </c>
      <c r="AR35">
        <v>4242</v>
      </c>
      <c r="AS35">
        <v>8484</v>
      </c>
    </row>
    <row r="36" spans="1:45" hidden="1">
      <c r="A36" t="s">
        <v>26</v>
      </c>
      <c r="B36" t="s">
        <v>640</v>
      </c>
      <c r="C36" t="s">
        <v>668</v>
      </c>
      <c r="D36" t="s">
        <v>381</v>
      </c>
      <c r="E36" t="s">
        <v>138</v>
      </c>
      <c r="F36" t="s">
        <v>382</v>
      </c>
      <c r="G36" t="s">
        <v>383</v>
      </c>
      <c r="H36">
        <v>0</v>
      </c>
      <c r="I36">
        <v>2</v>
      </c>
      <c r="J36">
        <v>0</v>
      </c>
      <c r="K36">
        <v>0</v>
      </c>
      <c r="L36">
        <v>0</v>
      </c>
      <c r="M36">
        <v>0</v>
      </c>
      <c r="N36">
        <v>0</v>
      </c>
      <c r="O36">
        <v>0</v>
      </c>
      <c r="P36">
        <v>0</v>
      </c>
      <c r="Q36">
        <v>0</v>
      </c>
      <c r="R36">
        <v>0</v>
      </c>
      <c r="S36">
        <v>0</v>
      </c>
      <c r="AQ36">
        <v>2</v>
      </c>
      <c r="AR36">
        <v>39.39</v>
      </c>
      <c r="AS36">
        <v>78.78</v>
      </c>
    </row>
    <row r="37" spans="1:45" hidden="1">
      <c r="A37" t="s">
        <v>26</v>
      </c>
      <c r="B37" t="s">
        <v>640</v>
      </c>
      <c r="C37" t="s">
        <v>166</v>
      </c>
      <c r="D37" t="s">
        <v>282</v>
      </c>
      <c r="E37" t="s">
        <v>138</v>
      </c>
      <c r="F37" t="s">
        <v>168</v>
      </c>
      <c r="G37" t="s">
        <v>169</v>
      </c>
      <c r="H37">
        <v>1275</v>
      </c>
      <c r="I37">
        <v>3800</v>
      </c>
      <c r="J37">
        <v>0</v>
      </c>
      <c r="K37">
        <v>0</v>
      </c>
      <c r="L37">
        <v>0</v>
      </c>
      <c r="M37">
        <v>0</v>
      </c>
      <c r="N37">
        <v>0</v>
      </c>
      <c r="O37">
        <v>0</v>
      </c>
      <c r="P37">
        <v>0</v>
      </c>
      <c r="Q37">
        <v>1400</v>
      </c>
      <c r="R37">
        <v>0</v>
      </c>
      <c r="S37">
        <v>1167</v>
      </c>
      <c r="AQ37">
        <v>7642</v>
      </c>
      <c r="AR37">
        <v>1.111</v>
      </c>
      <c r="AS37">
        <v>8490.2620000000006</v>
      </c>
    </row>
    <row r="38" spans="1:45" hidden="1">
      <c r="A38" t="s">
        <v>26</v>
      </c>
      <c r="B38" t="s">
        <v>640</v>
      </c>
      <c r="C38" t="s">
        <v>669</v>
      </c>
      <c r="D38" t="s">
        <v>385</v>
      </c>
      <c r="E38" t="s">
        <v>138</v>
      </c>
      <c r="F38" t="s">
        <v>386</v>
      </c>
      <c r="G38" t="s">
        <v>387</v>
      </c>
      <c r="H38">
        <v>0</v>
      </c>
      <c r="I38">
        <v>1</v>
      </c>
      <c r="J38">
        <v>0</v>
      </c>
      <c r="K38">
        <v>0</v>
      </c>
      <c r="L38">
        <v>0</v>
      </c>
      <c r="M38">
        <v>0</v>
      </c>
      <c r="N38">
        <v>0</v>
      </c>
      <c r="O38">
        <v>0</v>
      </c>
      <c r="P38">
        <v>0</v>
      </c>
      <c r="Q38">
        <v>1</v>
      </c>
      <c r="R38">
        <v>0</v>
      </c>
      <c r="S38">
        <v>0</v>
      </c>
      <c r="AQ38">
        <v>2</v>
      </c>
      <c r="AR38">
        <v>22270.5</v>
      </c>
      <c r="AS38">
        <v>44541</v>
      </c>
    </row>
    <row r="39" spans="1:45" hidden="1">
      <c r="A39" t="s">
        <v>26</v>
      </c>
      <c r="B39" t="s">
        <v>640</v>
      </c>
      <c r="C39" t="s">
        <v>670</v>
      </c>
      <c r="D39" t="s">
        <v>385</v>
      </c>
      <c r="E39" t="s">
        <v>138</v>
      </c>
      <c r="F39" t="s">
        <v>388</v>
      </c>
      <c r="G39" t="s">
        <v>389</v>
      </c>
      <c r="H39">
        <v>0</v>
      </c>
      <c r="I39">
        <v>120</v>
      </c>
      <c r="J39">
        <v>0</v>
      </c>
      <c r="K39">
        <v>0</v>
      </c>
      <c r="L39">
        <v>0</v>
      </c>
      <c r="M39">
        <v>0</v>
      </c>
      <c r="N39">
        <v>0</v>
      </c>
      <c r="O39">
        <v>0</v>
      </c>
      <c r="P39">
        <v>0</v>
      </c>
      <c r="Q39">
        <v>2</v>
      </c>
      <c r="R39">
        <v>0</v>
      </c>
      <c r="S39">
        <v>0</v>
      </c>
      <c r="AQ39">
        <v>122</v>
      </c>
      <c r="AR39">
        <v>0.22220000000000001</v>
      </c>
      <c r="AS39">
        <v>27.1084</v>
      </c>
    </row>
    <row r="40" spans="1:45" hidden="1">
      <c r="A40" t="s">
        <v>26</v>
      </c>
      <c r="B40" t="s">
        <v>640</v>
      </c>
      <c r="C40" t="s">
        <v>671</v>
      </c>
      <c r="D40" t="s">
        <v>393</v>
      </c>
      <c r="E40" t="s">
        <v>138</v>
      </c>
      <c r="F40" t="s">
        <v>394</v>
      </c>
      <c r="G40" t="s">
        <v>395</v>
      </c>
      <c r="H40">
        <v>0</v>
      </c>
      <c r="I40">
        <v>0</v>
      </c>
      <c r="J40">
        <v>0</v>
      </c>
      <c r="K40">
        <v>0</v>
      </c>
      <c r="L40">
        <v>0</v>
      </c>
      <c r="M40">
        <v>0</v>
      </c>
      <c r="N40">
        <v>0</v>
      </c>
      <c r="O40">
        <v>0</v>
      </c>
      <c r="P40">
        <v>0</v>
      </c>
      <c r="Q40">
        <v>0</v>
      </c>
      <c r="R40">
        <v>0</v>
      </c>
      <c r="S40">
        <v>0</v>
      </c>
      <c r="AQ40">
        <v>0</v>
      </c>
      <c r="AR40">
        <v>99.99</v>
      </c>
      <c r="AS40">
        <v>0</v>
      </c>
    </row>
    <row r="41" spans="1:45" hidden="1">
      <c r="A41" t="s">
        <v>26</v>
      </c>
      <c r="B41" t="s">
        <v>640</v>
      </c>
      <c r="C41" t="s">
        <v>672</v>
      </c>
      <c r="D41" t="s">
        <v>393</v>
      </c>
      <c r="E41" t="s">
        <v>138</v>
      </c>
      <c r="F41" t="s">
        <v>396</v>
      </c>
      <c r="G41" t="s">
        <v>395</v>
      </c>
      <c r="H41">
        <v>0</v>
      </c>
      <c r="I41">
        <v>0</v>
      </c>
      <c r="J41">
        <v>0</v>
      </c>
      <c r="K41">
        <v>0</v>
      </c>
      <c r="L41">
        <v>0</v>
      </c>
      <c r="M41">
        <v>0</v>
      </c>
      <c r="N41">
        <v>0</v>
      </c>
      <c r="O41">
        <v>0</v>
      </c>
      <c r="P41">
        <v>0</v>
      </c>
      <c r="Q41">
        <v>0</v>
      </c>
      <c r="R41">
        <v>0</v>
      </c>
      <c r="S41">
        <v>0</v>
      </c>
      <c r="AQ41">
        <v>0</v>
      </c>
      <c r="AR41">
        <v>99.99</v>
      </c>
      <c r="AS41">
        <v>0</v>
      </c>
    </row>
    <row r="42" spans="1:45" hidden="1">
      <c r="A42" t="s">
        <v>26</v>
      </c>
      <c r="B42" t="s">
        <v>640</v>
      </c>
      <c r="C42" t="s">
        <v>673</v>
      </c>
      <c r="D42" t="s">
        <v>393</v>
      </c>
      <c r="E42" t="s">
        <v>138</v>
      </c>
      <c r="F42" t="s">
        <v>397</v>
      </c>
      <c r="G42" t="s">
        <v>395</v>
      </c>
      <c r="H42">
        <v>0</v>
      </c>
      <c r="I42">
        <v>0</v>
      </c>
      <c r="J42">
        <v>0</v>
      </c>
      <c r="K42">
        <v>0</v>
      </c>
      <c r="L42">
        <v>0</v>
      </c>
      <c r="M42">
        <v>0</v>
      </c>
      <c r="N42">
        <v>0</v>
      </c>
      <c r="O42">
        <v>0</v>
      </c>
      <c r="P42">
        <v>0</v>
      </c>
      <c r="Q42">
        <v>0</v>
      </c>
      <c r="R42">
        <v>0</v>
      </c>
      <c r="S42">
        <v>0</v>
      </c>
      <c r="AQ42">
        <v>0</v>
      </c>
      <c r="AR42">
        <v>66.66</v>
      </c>
      <c r="AS42">
        <v>0</v>
      </c>
    </row>
    <row r="43" spans="1:45" hidden="1">
      <c r="A43" t="s">
        <v>26</v>
      </c>
      <c r="B43" t="s">
        <v>640</v>
      </c>
      <c r="C43" t="s">
        <v>674</v>
      </c>
      <c r="D43" t="s">
        <v>287</v>
      </c>
      <c r="E43" t="s">
        <v>138</v>
      </c>
      <c r="F43" t="s">
        <v>402</v>
      </c>
      <c r="G43" t="s">
        <v>403</v>
      </c>
      <c r="H43">
        <v>0</v>
      </c>
      <c r="I43">
        <v>0</v>
      </c>
      <c r="J43">
        <v>0</v>
      </c>
      <c r="K43">
        <v>0</v>
      </c>
      <c r="L43">
        <v>0</v>
      </c>
      <c r="M43">
        <v>0</v>
      </c>
      <c r="N43">
        <v>0</v>
      </c>
      <c r="O43">
        <v>0</v>
      </c>
      <c r="P43">
        <v>0</v>
      </c>
      <c r="Q43">
        <v>0</v>
      </c>
      <c r="R43">
        <v>0</v>
      </c>
      <c r="S43">
        <v>0</v>
      </c>
      <c r="AQ43">
        <v>0</v>
      </c>
      <c r="AR43">
        <v>318150</v>
      </c>
      <c r="AS43">
        <v>0</v>
      </c>
    </row>
    <row r="44" spans="1:45" hidden="1">
      <c r="A44" t="s">
        <v>26</v>
      </c>
      <c r="B44" t="s">
        <v>640</v>
      </c>
      <c r="C44" t="s">
        <v>675</v>
      </c>
      <c r="D44" t="s">
        <v>390</v>
      </c>
      <c r="E44" t="s">
        <v>138</v>
      </c>
      <c r="F44" t="s">
        <v>391</v>
      </c>
      <c r="G44" t="s">
        <v>392</v>
      </c>
      <c r="H44">
        <v>0</v>
      </c>
      <c r="I44">
        <v>0</v>
      </c>
      <c r="J44">
        <v>0</v>
      </c>
      <c r="K44">
        <v>0</v>
      </c>
      <c r="L44">
        <v>0</v>
      </c>
      <c r="M44">
        <v>0</v>
      </c>
      <c r="N44">
        <v>0</v>
      </c>
      <c r="O44">
        <v>0</v>
      </c>
      <c r="P44">
        <v>0</v>
      </c>
      <c r="Q44">
        <v>0</v>
      </c>
      <c r="R44">
        <v>0</v>
      </c>
      <c r="S44">
        <v>0</v>
      </c>
      <c r="AQ44">
        <v>0</v>
      </c>
      <c r="AR44">
        <v>1336.23</v>
      </c>
      <c r="AS44">
        <v>0</v>
      </c>
    </row>
    <row r="45" spans="1:45" hidden="1">
      <c r="A45" t="s">
        <v>26</v>
      </c>
      <c r="B45" t="s">
        <v>640</v>
      </c>
      <c r="C45" t="s">
        <v>676</v>
      </c>
      <c r="D45" t="s">
        <v>398</v>
      </c>
      <c r="E45" t="s">
        <v>138</v>
      </c>
      <c r="F45" t="s">
        <v>399</v>
      </c>
      <c r="G45" t="s">
        <v>400</v>
      </c>
      <c r="H45">
        <v>0</v>
      </c>
      <c r="I45">
        <v>0</v>
      </c>
      <c r="J45">
        <v>0</v>
      </c>
      <c r="K45">
        <v>0</v>
      </c>
      <c r="L45">
        <v>0</v>
      </c>
      <c r="M45">
        <v>0</v>
      </c>
      <c r="N45">
        <v>0</v>
      </c>
      <c r="O45">
        <v>0</v>
      </c>
      <c r="P45">
        <v>0</v>
      </c>
      <c r="Q45">
        <v>0</v>
      </c>
      <c r="R45">
        <v>0</v>
      </c>
      <c r="S45">
        <v>0</v>
      </c>
      <c r="AQ45">
        <v>0</v>
      </c>
      <c r="AR45">
        <v>14475.825000000001</v>
      </c>
      <c r="AS45">
        <v>0</v>
      </c>
    </row>
    <row r="46" spans="1:45" hidden="1">
      <c r="A46" t="s">
        <v>26</v>
      </c>
      <c r="B46" t="s">
        <v>640</v>
      </c>
      <c r="C46" t="s">
        <v>170</v>
      </c>
      <c r="D46" t="s">
        <v>171</v>
      </c>
      <c r="E46" t="s">
        <v>172</v>
      </c>
      <c r="F46" t="s">
        <v>173</v>
      </c>
      <c r="G46" t="s">
        <v>152</v>
      </c>
      <c r="H46">
        <v>6274.37</v>
      </c>
      <c r="I46">
        <v>3800</v>
      </c>
      <c r="J46">
        <v>370.68</v>
      </c>
      <c r="K46">
        <v>1765.4</v>
      </c>
      <c r="L46">
        <v>890</v>
      </c>
      <c r="M46">
        <v>50</v>
      </c>
      <c r="N46">
        <v>2396.33</v>
      </c>
      <c r="O46">
        <v>791.82</v>
      </c>
      <c r="P46">
        <v>836.98</v>
      </c>
      <c r="Q46">
        <v>2700</v>
      </c>
      <c r="R46">
        <v>311</v>
      </c>
      <c r="S46">
        <v>1167</v>
      </c>
      <c r="AQ46">
        <v>21353.58</v>
      </c>
      <c r="AR46">
        <v>1.2726</v>
      </c>
      <c r="AS46">
        <v>27174.565908</v>
      </c>
    </row>
    <row r="47" spans="1:45" hidden="1">
      <c r="A47" t="s">
        <v>26</v>
      </c>
      <c r="B47" t="s">
        <v>640</v>
      </c>
      <c r="C47" t="s">
        <v>677</v>
      </c>
      <c r="D47" t="s">
        <v>405</v>
      </c>
      <c r="E47" t="s">
        <v>172</v>
      </c>
      <c r="F47" t="s">
        <v>406</v>
      </c>
      <c r="G47" t="s">
        <v>407</v>
      </c>
      <c r="H47">
        <v>5</v>
      </c>
      <c r="I47">
        <v>15</v>
      </c>
      <c r="J47">
        <v>0</v>
      </c>
      <c r="K47">
        <v>3</v>
      </c>
      <c r="L47">
        <v>0</v>
      </c>
      <c r="M47">
        <v>3</v>
      </c>
      <c r="N47">
        <v>3</v>
      </c>
      <c r="O47">
        <v>1</v>
      </c>
      <c r="P47">
        <v>3</v>
      </c>
      <c r="Q47">
        <v>10</v>
      </c>
      <c r="R47">
        <v>0</v>
      </c>
      <c r="S47">
        <v>0</v>
      </c>
      <c r="AQ47">
        <v>43</v>
      </c>
      <c r="AR47">
        <v>47.47</v>
      </c>
      <c r="AS47">
        <v>2041.21</v>
      </c>
    </row>
    <row r="48" spans="1:45" hidden="1">
      <c r="A48" t="s">
        <v>26</v>
      </c>
      <c r="B48" t="s">
        <v>640</v>
      </c>
      <c r="C48" t="s">
        <v>678</v>
      </c>
      <c r="D48" t="s">
        <v>408</v>
      </c>
      <c r="E48" t="s">
        <v>172</v>
      </c>
      <c r="F48" t="s">
        <v>409</v>
      </c>
      <c r="G48" t="s">
        <v>410</v>
      </c>
      <c r="H48">
        <v>0</v>
      </c>
      <c r="I48">
        <v>0</v>
      </c>
      <c r="J48">
        <v>0</v>
      </c>
      <c r="K48">
        <v>0</v>
      </c>
      <c r="L48">
        <v>0</v>
      </c>
      <c r="M48">
        <v>0</v>
      </c>
      <c r="N48">
        <v>0</v>
      </c>
      <c r="O48">
        <v>0</v>
      </c>
      <c r="P48">
        <v>0</v>
      </c>
      <c r="Q48">
        <v>0</v>
      </c>
      <c r="R48">
        <v>0</v>
      </c>
      <c r="S48">
        <v>0</v>
      </c>
      <c r="AQ48">
        <v>0</v>
      </c>
      <c r="AR48">
        <v>1.0605</v>
      </c>
      <c r="AS48">
        <v>0</v>
      </c>
    </row>
    <row r="49" spans="1:45" hidden="1">
      <c r="A49" t="s">
        <v>26</v>
      </c>
      <c r="B49" t="s">
        <v>640</v>
      </c>
      <c r="C49" t="s">
        <v>679</v>
      </c>
      <c r="D49" t="s">
        <v>411</v>
      </c>
      <c r="E49" t="s">
        <v>172</v>
      </c>
      <c r="F49" t="s">
        <v>412</v>
      </c>
      <c r="G49" t="s">
        <v>413</v>
      </c>
      <c r="H49">
        <v>0</v>
      </c>
      <c r="I49">
        <v>0</v>
      </c>
      <c r="J49">
        <v>0</v>
      </c>
      <c r="K49">
        <v>0</v>
      </c>
      <c r="L49">
        <v>0</v>
      </c>
      <c r="M49">
        <v>0</v>
      </c>
      <c r="N49">
        <v>0</v>
      </c>
      <c r="O49">
        <v>0</v>
      </c>
      <c r="P49">
        <v>0</v>
      </c>
      <c r="Q49">
        <v>0</v>
      </c>
      <c r="R49">
        <v>0</v>
      </c>
      <c r="S49">
        <v>0</v>
      </c>
      <c r="AQ49">
        <v>0</v>
      </c>
      <c r="AR49">
        <v>37.1175</v>
      </c>
      <c r="AS49">
        <v>0</v>
      </c>
    </row>
    <row r="50" spans="1:45" hidden="1">
      <c r="A50" t="s">
        <v>26</v>
      </c>
      <c r="B50" t="s">
        <v>640</v>
      </c>
      <c r="C50" t="s">
        <v>680</v>
      </c>
      <c r="D50" t="s">
        <v>414</v>
      </c>
      <c r="E50" t="s">
        <v>172</v>
      </c>
      <c r="F50" t="s">
        <v>415</v>
      </c>
      <c r="G50" t="s">
        <v>224</v>
      </c>
      <c r="H50">
        <v>1</v>
      </c>
      <c r="I50">
        <v>1</v>
      </c>
      <c r="J50">
        <v>1</v>
      </c>
      <c r="K50">
        <v>0</v>
      </c>
      <c r="L50">
        <v>0</v>
      </c>
      <c r="M50">
        <v>1</v>
      </c>
      <c r="N50">
        <v>0</v>
      </c>
      <c r="O50">
        <v>0</v>
      </c>
      <c r="P50">
        <v>0</v>
      </c>
      <c r="Q50">
        <v>1</v>
      </c>
      <c r="R50">
        <v>0</v>
      </c>
      <c r="S50">
        <v>1</v>
      </c>
      <c r="AQ50">
        <v>6</v>
      </c>
      <c r="AR50">
        <v>42.42</v>
      </c>
      <c r="AS50">
        <v>254.52</v>
      </c>
    </row>
    <row r="51" spans="1:45" hidden="1">
      <c r="A51" t="s">
        <v>26</v>
      </c>
      <c r="B51" t="s">
        <v>640</v>
      </c>
      <c r="C51" t="s">
        <v>681</v>
      </c>
      <c r="D51" t="s">
        <v>416</v>
      </c>
      <c r="E51" t="s">
        <v>172</v>
      </c>
      <c r="F51" t="s">
        <v>417</v>
      </c>
      <c r="G51" t="s">
        <v>418</v>
      </c>
      <c r="H51">
        <v>6274</v>
      </c>
      <c r="I51">
        <v>3800</v>
      </c>
      <c r="J51">
        <v>371</v>
      </c>
      <c r="K51">
        <v>1765.4</v>
      </c>
      <c r="L51">
        <v>0</v>
      </c>
      <c r="M51">
        <v>50</v>
      </c>
      <c r="N51">
        <v>2396.33</v>
      </c>
      <c r="O51">
        <v>792</v>
      </c>
      <c r="P51">
        <v>836.98</v>
      </c>
      <c r="Q51">
        <v>2700</v>
      </c>
      <c r="R51">
        <v>311</v>
      </c>
      <c r="S51">
        <v>1167</v>
      </c>
      <c r="AQ51">
        <v>20463.71</v>
      </c>
      <c r="AR51">
        <v>0.32319999999999999</v>
      </c>
      <c r="AS51">
        <v>6613.8710719999999</v>
      </c>
    </row>
    <row r="52" spans="1:45" hidden="1">
      <c r="A52" t="s">
        <v>26</v>
      </c>
      <c r="B52" t="s">
        <v>640</v>
      </c>
      <c r="C52" t="s">
        <v>682</v>
      </c>
      <c r="D52" t="s">
        <v>419</v>
      </c>
      <c r="E52" t="s">
        <v>172</v>
      </c>
      <c r="F52" t="s">
        <v>420</v>
      </c>
      <c r="G52" t="s">
        <v>421</v>
      </c>
      <c r="H52">
        <v>0</v>
      </c>
      <c r="I52">
        <v>1</v>
      </c>
      <c r="J52">
        <v>0</v>
      </c>
      <c r="K52">
        <v>0</v>
      </c>
      <c r="L52">
        <v>0</v>
      </c>
      <c r="M52">
        <v>0</v>
      </c>
      <c r="N52">
        <v>0</v>
      </c>
      <c r="O52">
        <v>0</v>
      </c>
      <c r="P52">
        <v>0</v>
      </c>
      <c r="Q52">
        <v>1</v>
      </c>
      <c r="R52">
        <v>0</v>
      </c>
      <c r="S52">
        <v>1</v>
      </c>
      <c r="AQ52">
        <v>3</v>
      </c>
      <c r="AR52">
        <v>42.42</v>
      </c>
      <c r="AS52">
        <v>127.26</v>
      </c>
    </row>
    <row r="53" spans="1:45" hidden="1">
      <c r="A53" t="s">
        <v>26</v>
      </c>
      <c r="B53" t="s">
        <v>640</v>
      </c>
      <c r="C53" t="s">
        <v>683</v>
      </c>
      <c r="D53" t="s">
        <v>422</v>
      </c>
      <c r="E53" t="s">
        <v>172</v>
      </c>
      <c r="F53" t="s">
        <v>423</v>
      </c>
      <c r="G53" t="s">
        <v>407</v>
      </c>
      <c r="H53">
        <v>0</v>
      </c>
      <c r="I53">
        <v>0</v>
      </c>
      <c r="J53">
        <v>0</v>
      </c>
      <c r="K53">
        <v>0</v>
      </c>
      <c r="L53">
        <v>0</v>
      </c>
      <c r="M53">
        <v>0</v>
      </c>
      <c r="N53">
        <v>0</v>
      </c>
      <c r="O53">
        <v>0</v>
      </c>
      <c r="P53">
        <v>0</v>
      </c>
      <c r="Q53">
        <v>0</v>
      </c>
      <c r="R53">
        <v>0</v>
      </c>
      <c r="S53">
        <v>0</v>
      </c>
      <c r="AQ53">
        <v>0</v>
      </c>
      <c r="AR53">
        <v>47.47</v>
      </c>
      <c r="AS53">
        <v>0</v>
      </c>
    </row>
    <row r="54" spans="1:45" hidden="1">
      <c r="A54" t="s">
        <v>26</v>
      </c>
      <c r="B54" t="s">
        <v>640</v>
      </c>
      <c r="C54" t="s">
        <v>684</v>
      </c>
      <c r="D54" t="s">
        <v>427</v>
      </c>
      <c r="E54" t="s">
        <v>172</v>
      </c>
      <c r="F54" t="s">
        <v>428</v>
      </c>
      <c r="G54" t="s">
        <v>429</v>
      </c>
      <c r="H54">
        <v>0</v>
      </c>
      <c r="I54">
        <v>1</v>
      </c>
      <c r="J54">
        <v>0</v>
      </c>
      <c r="K54">
        <v>0</v>
      </c>
      <c r="L54">
        <v>0</v>
      </c>
      <c r="M54">
        <v>0</v>
      </c>
      <c r="N54">
        <v>0</v>
      </c>
      <c r="O54">
        <v>0</v>
      </c>
      <c r="P54">
        <v>0</v>
      </c>
      <c r="Q54">
        <v>0</v>
      </c>
      <c r="R54">
        <v>0</v>
      </c>
      <c r="S54">
        <v>0</v>
      </c>
      <c r="AQ54">
        <v>1</v>
      </c>
      <c r="AR54">
        <v>636.29999999999995</v>
      </c>
      <c r="AS54">
        <v>636.29999999999995</v>
      </c>
    </row>
    <row r="55" spans="1:45" hidden="1">
      <c r="A55" t="s">
        <v>26</v>
      </c>
      <c r="B55" t="s">
        <v>640</v>
      </c>
      <c r="C55" t="s">
        <v>174</v>
      </c>
      <c r="D55" t="s">
        <v>175</v>
      </c>
      <c r="E55" t="s">
        <v>172</v>
      </c>
      <c r="F55" t="s">
        <v>176</v>
      </c>
      <c r="G55" t="s">
        <v>177</v>
      </c>
      <c r="H55">
        <v>1</v>
      </c>
      <c r="I55">
        <v>1</v>
      </c>
      <c r="J55">
        <v>0</v>
      </c>
      <c r="K55">
        <v>1</v>
      </c>
      <c r="L55">
        <v>0</v>
      </c>
      <c r="M55">
        <v>0</v>
      </c>
      <c r="N55">
        <v>1</v>
      </c>
      <c r="O55">
        <v>0</v>
      </c>
      <c r="P55">
        <v>0</v>
      </c>
      <c r="Q55">
        <v>1</v>
      </c>
      <c r="R55">
        <v>0</v>
      </c>
      <c r="S55">
        <v>0</v>
      </c>
      <c r="AQ55">
        <v>5</v>
      </c>
      <c r="AR55">
        <v>424.2</v>
      </c>
      <c r="AS55">
        <v>2121</v>
      </c>
    </row>
    <row r="56" spans="1:45" hidden="1">
      <c r="A56" t="s">
        <v>26</v>
      </c>
      <c r="B56" t="s">
        <v>640</v>
      </c>
      <c r="C56" t="s">
        <v>685</v>
      </c>
      <c r="D56" t="s">
        <v>430</v>
      </c>
      <c r="E56" t="s">
        <v>172</v>
      </c>
      <c r="F56" t="s">
        <v>433</v>
      </c>
      <c r="G56" t="s">
        <v>432</v>
      </c>
      <c r="H56">
        <v>0</v>
      </c>
      <c r="I56">
        <v>0</v>
      </c>
      <c r="J56">
        <v>0</v>
      </c>
      <c r="K56">
        <v>0</v>
      </c>
      <c r="L56">
        <v>0</v>
      </c>
      <c r="M56">
        <v>0</v>
      </c>
      <c r="N56">
        <v>0</v>
      </c>
      <c r="O56">
        <v>0</v>
      </c>
      <c r="P56">
        <v>0</v>
      </c>
      <c r="Q56">
        <v>0</v>
      </c>
      <c r="R56">
        <v>0</v>
      </c>
      <c r="S56">
        <v>0</v>
      </c>
      <c r="AQ56">
        <v>0</v>
      </c>
      <c r="AR56">
        <v>1908.9</v>
      </c>
      <c r="AS56">
        <v>0</v>
      </c>
    </row>
    <row r="57" spans="1:45" hidden="1">
      <c r="A57" t="s">
        <v>26</v>
      </c>
      <c r="B57" t="s">
        <v>640</v>
      </c>
      <c r="C57" t="s">
        <v>686</v>
      </c>
      <c r="D57" t="s">
        <v>430</v>
      </c>
      <c r="E57" t="s">
        <v>172</v>
      </c>
      <c r="F57" t="s">
        <v>431</v>
      </c>
      <c r="G57" t="s">
        <v>432</v>
      </c>
      <c r="H57">
        <v>0</v>
      </c>
      <c r="I57">
        <v>0</v>
      </c>
      <c r="J57">
        <v>0</v>
      </c>
      <c r="K57">
        <v>0</v>
      </c>
      <c r="L57">
        <v>0</v>
      </c>
      <c r="M57">
        <v>0</v>
      </c>
      <c r="N57">
        <v>0</v>
      </c>
      <c r="O57">
        <v>0</v>
      </c>
      <c r="P57">
        <v>0</v>
      </c>
      <c r="Q57">
        <v>0</v>
      </c>
      <c r="R57">
        <v>0</v>
      </c>
      <c r="S57">
        <v>0</v>
      </c>
      <c r="AQ57">
        <v>0</v>
      </c>
      <c r="AR57">
        <v>2121</v>
      </c>
      <c r="AS57">
        <v>0</v>
      </c>
    </row>
    <row r="58" spans="1:45" hidden="1">
      <c r="A58" t="s">
        <v>26</v>
      </c>
      <c r="B58" t="s">
        <v>640</v>
      </c>
      <c r="C58" t="s">
        <v>687</v>
      </c>
      <c r="D58" t="s">
        <v>430</v>
      </c>
      <c r="E58" t="s">
        <v>172</v>
      </c>
      <c r="F58" t="s">
        <v>438</v>
      </c>
      <c r="G58" t="s">
        <v>432</v>
      </c>
      <c r="H58">
        <v>0</v>
      </c>
      <c r="I58">
        <v>0</v>
      </c>
      <c r="J58">
        <v>0</v>
      </c>
      <c r="K58">
        <v>0</v>
      </c>
      <c r="L58">
        <v>0</v>
      </c>
      <c r="M58">
        <v>0</v>
      </c>
      <c r="N58">
        <v>0</v>
      </c>
      <c r="O58">
        <v>0</v>
      </c>
      <c r="P58">
        <v>0</v>
      </c>
      <c r="Q58">
        <v>0</v>
      </c>
      <c r="R58">
        <v>0</v>
      </c>
      <c r="S58">
        <v>0</v>
      </c>
      <c r="AQ58">
        <v>0</v>
      </c>
      <c r="AR58">
        <v>2439.15</v>
      </c>
      <c r="AS58">
        <v>0</v>
      </c>
    </row>
    <row r="59" spans="1:45" hidden="1">
      <c r="A59" t="s">
        <v>26</v>
      </c>
      <c r="B59" t="s">
        <v>640</v>
      </c>
      <c r="C59" t="s">
        <v>688</v>
      </c>
      <c r="D59" t="s">
        <v>430</v>
      </c>
      <c r="E59" t="s">
        <v>172</v>
      </c>
      <c r="F59" t="s">
        <v>434</v>
      </c>
      <c r="G59" t="s">
        <v>432</v>
      </c>
      <c r="H59">
        <v>0</v>
      </c>
      <c r="I59">
        <v>0</v>
      </c>
      <c r="J59">
        <v>0</v>
      </c>
      <c r="K59">
        <v>0</v>
      </c>
      <c r="L59">
        <v>0</v>
      </c>
      <c r="M59">
        <v>0</v>
      </c>
      <c r="N59">
        <v>0</v>
      </c>
      <c r="O59">
        <v>0</v>
      </c>
      <c r="P59">
        <v>0</v>
      </c>
      <c r="Q59">
        <v>0</v>
      </c>
      <c r="R59">
        <v>0</v>
      </c>
      <c r="S59">
        <v>0</v>
      </c>
      <c r="AQ59">
        <v>0</v>
      </c>
      <c r="AR59">
        <v>2651.25</v>
      </c>
      <c r="AS59">
        <v>0</v>
      </c>
    </row>
    <row r="60" spans="1:45" hidden="1">
      <c r="A60" t="s">
        <v>26</v>
      </c>
      <c r="B60" t="s">
        <v>640</v>
      </c>
      <c r="C60" t="s">
        <v>645</v>
      </c>
      <c r="D60" t="s">
        <v>435</v>
      </c>
      <c r="E60" t="s">
        <v>172</v>
      </c>
      <c r="F60" t="s">
        <v>436</v>
      </c>
      <c r="G60" t="s">
        <v>437</v>
      </c>
      <c r="H60">
        <v>0</v>
      </c>
      <c r="I60">
        <v>0</v>
      </c>
      <c r="J60">
        <v>0</v>
      </c>
      <c r="K60">
        <v>0</v>
      </c>
      <c r="L60">
        <v>0</v>
      </c>
      <c r="M60">
        <v>0</v>
      </c>
      <c r="N60">
        <v>0</v>
      </c>
      <c r="O60">
        <v>0</v>
      </c>
      <c r="P60">
        <v>0</v>
      </c>
      <c r="Q60">
        <v>0</v>
      </c>
      <c r="R60">
        <v>0</v>
      </c>
      <c r="S60">
        <v>0</v>
      </c>
      <c r="AQ60">
        <v>0</v>
      </c>
      <c r="AR60">
        <v>0.28000000000000003</v>
      </c>
    </row>
    <row r="61" spans="1:45" hidden="1">
      <c r="A61" t="s">
        <v>26</v>
      </c>
      <c r="B61" t="s">
        <v>640</v>
      </c>
      <c r="C61" t="s">
        <v>689</v>
      </c>
      <c r="D61" t="s">
        <v>439</v>
      </c>
      <c r="E61" t="s">
        <v>172</v>
      </c>
      <c r="F61" t="s">
        <v>690</v>
      </c>
      <c r="G61" t="s">
        <v>441</v>
      </c>
      <c r="H61">
        <v>0</v>
      </c>
      <c r="I61">
        <v>3</v>
      </c>
      <c r="J61">
        <v>0</v>
      </c>
      <c r="K61">
        <v>0</v>
      </c>
      <c r="L61">
        <v>0</v>
      </c>
      <c r="M61">
        <v>0</v>
      </c>
      <c r="N61">
        <v>0</v>
      </c>
      <c r="O61">
        <v>0</v>
      </c>
      <c r="P61">
        <v>0</v>
      </c>
      <c r="Q61">
        <v>0</v>
      </c>
      <c r="R61">
        <v>0</v>
      </c>
      <c r="S61">
        <v>1</v>
      </c>
      <c r="AQ61">
        <v>4</v>
      </c>
      <c r="AR61">
        <v>318.14999999999998</v>
      </c>
      <c r="AS61">
        <v>1272.5999999999999</v>
      </c>
    </row>
    <row r="62" spans="1:45" hidden="1">
      <c r="A62" t="s">
        <v>26</v>
      </c>
      <c r="B62" t="s">
        <v>640</v>
      </c>
      <c r="C62" t="s">
        <v>691</v>
      </c>
      <c r="D62" t="s">
        <v>439</v>
      </c>
      <c r="E62" t="s">
        <v>172</v>
      </c>
      <c r="F62" t="s">
        <v>442</v>
      </c>
      <c r="G62" t="s">
        <v>441</v>
      </c>
      <c r="H62">
        <v>0</v>
      </c>
      <c r="I62">
        <v>0</v>
      </c>
      <c r="J62">
        <v>0</v>
      </c>
      <c r="K62">
        <v>0</v>
      </c>
      <c r="L62">
        <v>0</v>
      </c>
      <c r="M62">
        <v>0</v>
      </c>
      <c r="N62">
        <v>0</v>
      </c>
      <c r="O62">
        <v>0</v>
      </c>
      <c r="P62">
        <v>0</v>
      </c>
      <c r="Q62">
        <v>1</v>
      </c>
      <c r="R62">
        <v>0</v>
      </c>
      <c r="S62">
        <v>0</v>
      </c>
      <c r="AQ62">
        <v>1</v>
      </c>
      <c r="AR62">
        <v>1272.5999999999999</v>
      </c>
      <c r="AS62">
        <v>1272.5999999999999</v>
      </c>
    </row>
    <row r="63" spans="1:45" hidden="1">
      <c r="A63" t="s">
        <v>26</v>
      </c>
      <c r="B63" t="s">
        <v>640</v>
      </c>
      <c r="C63" t="s">
        <v>692</v>
      </c>
      <c r="D63" t="s">
        <v>439</v>
      </c>
      <c r="E63" t="s">
        <v>172</v>
      </c>
      <c r="F63" t="s">
        <v>443</v>
      </c>
      <c r="G63" t="s">
        <v>441</v>
      </c>
      <c r="H63">
        <v>0</v>
      </c>
      <c r="I63">
        <v>0</v>
      </c>
      <c r="J63">
        <v>0</v>
      </c>
      <c r="K63">
        <v>0</v>
      </c>
      <c r="L63">
        <v>0</v>
      </c>
      <c r="M63">
        <v>0</v>
      </c>
      <c r="N63">
        <v>0</v>
      </c>
      <c r="O63">
        <v>0</v>
      </c>
      <c r="P63">
        <v>0</v>
      </c>
      <c r="Q63">
        <v>0</v>
      </c>
      <c r="R63">
        <v>0</v>
      </c>
      <c r="S63">
        <v>0</v>
      </c>
      <c r="AQ63">
        <v>0</v>
      </c>
      <c r="AR63">
        <v>1590.75</v>
      </c>
      <c r="AS63">
        <v>0</v>
      </c>
    </row>
    <row r="64" spans="1:45" hidden="1">
      <c r="A64" t="s">
        <v>26</v>
      </c>
      <c r="B64" t="s">
        <v>640</v>
      </c>
      <c r="C64" t="s">
        <v>693</v>
      </c>
      <c r="D64" t="s">
        <v>439</v>
      </c>
      <c r="E64" t="s">
        <v>172</v>
      </c>
      <c r="F64" t="s">
        <v>440</v>
      </c>
      <c r="G64" t="s">
        <v>441</v>
      </c>
      <c r="H64">
        <v>0</v>
      </c>
      <c r="I64">
        <v>0</v>
      </c>
      <c r="J64">
        <v>0</v>
      </c>
      <c r="K64">
        <v>0</v>
      </c>
      <c r="L64">
        <v>0</v>
      </c>
      <c r="M64">
        <v>0</v>
      </c>
      <c r="N64">
        <v>0</v>
      </c>
      <c r="O64">
        <v>0</v>
      </c>
      <c r="P64">
        <v>0</v>
      </c>
      <c r="Q64">
        <v>0</v>
      </c>
      <c r="R64">
        <v>0</v>
      </c>
      <c r="S64">
        <v>0</v>
      </c>
      <c r="AQ64">
        <v>0</v>
      </c>
      <c r="AR64">
        <v>1590.75</v>
      </c>
      <c r="AS64">
        <v>0</v>
      </c>
    </row>
    <row r="65" spans="1:45" hidden="1">
      <c r="A65" t="s">
        <v>26</v>
      </c>
      <c r="B65" t="s">
        <v>640</v>
      </c>
      <c r="C65" t="s">
        <v>694</v>
      </c>
      <c r="D65" t="s">
        <v>439</v>
      </c>
      <c r="E65" t="s">
        <v>172</v>
      </c>
      <c r="F65" t="s">
        <v>695</v>
      </c>
      <c r="G65" t="s">
        <v>441</v>
      </c>
      <c r="H65">
        <v>0</v>
      </c>
      <c r="I65">
        <v>0</v>
      </c>
      <c r="J65">
        <v>0</v>
      </c>
      <c r="K65">
        <v>0</v>
      </c>
      <c r="L65">
        <v>0</v>
      </c>
      <c r="M65">
        <v>0</v>
      </c>
      <c r="N65">
        <v>0</v>
      </c>
      <c r="O65">
        <v>0</v>
      </c>
      <c r="P65">
        <v>0</v>
      </c>
      <c r="Q65">
        <v>0</v>
      </c>
      <c r="R65">
        <v>0</v>
      </c>
      <c r="S65">
        <v>0</v>
      </c>
      <c r="AQ65">
        <v>0</v>
      </c>
      <c r="AR65">
        <v>1802.85</v>
      </c>
      <c r="AS65">
        <v>0</v>
      </c>
    </row>
    <row r="66" spans="1:45" hidden="1">
      <c r="A66" t="s">
        <v>26</v>
      </c>
      <c r="B66" t="s">
        <v>640</v>
      </c>
      <c r="C66" t="s">
        <v>696</v>
      </c>
      <c r="D66" t="s">
        <v>446</v>
      </c>
      <c r="E66" t="s">
        <v>172</v>
      </c>
      <c r="F66" t="s">
        <v>447</v>
      </c>
      <c r="G66" t="s">
        <v>448</v>
      </c>
      <c r="H66">
        <v>0</v>
      </c>
      <c r="I66">
        <v>0</v>
      </c>
      <c r="J66">
        <v>0</v>
      </c>
      <c r="K66">
        <v>0</v>
      </c>
      <c r="L66">
        <v>0</v>
      </c>
      <c r="M66">
        <v>0</v>
      </c>
      <c r="N66">
        <v>0</v>
      </c>
      <c r="O66">
        <v>0</v>
      </c>
      <c r="P66">
        <v>0</v>
      </c>
      <c r="Q66">
        <v>0</v>
      </c>
      <c r="R66">
        <v>0</v>
      </c>
      <c r="S66">
        <v>0</v>
      </c>
      <c r="AQ66">
        <v>0</v>
      </c>
      <c r="AR66">
        <v>10.605</v>
      </c>
      <c r="AS66">
        <v>0</v>
      </c>
    </row>
    <row r="67" spans="1:45" hidden="1">
      <c r="A67" t="s">
        <v>26</v>
      </c>
      <c r="B67" t="s">
        <v>640</v>
      </c>
      <c r="C67" t="s">
        <v>178</v>
      </c>
      <c r="D67" t="s">
        <v>179</v>
      </c>
      <c r="E67" t="s">
        <v>172</v>
      </c>
      <c r="F67" t="s">
        <v>180</v>
      </c>
      <c r="G67" t="s">
        <v>181</v>
      </c>
      <c r="H67">
        <v>0</v>
      </c>
      <c r="I67">
        <v>0</v>
      </c>
      <c r="J67">
        <v>1</v>
      </c>
      <c r="K67">
        <v>0</v>
      </c>
      <c r="L67">
        <v>0</v>
      </c>
      <c r="M67">
        <v>2</v>
      </c>
      <c r="N67">
        <v>10</v>
      </c>
      <c r="O67">
        <v>0</v>
      </c>
      <c r="P67">
        <v>0</v>
      </c>
      <c r="Q67">
        <v>0</v>
      </c>
      <c r="R67">
        <v>0</v>
      </c>
      <c r="S67">
        <v>0</v>
      </c>
      <c r="AQ67">
        <v>13</v>
      </c>
      <c r="AR67">
        <v>106.05</v>
      </c>
      <c r="AS67">
        <v>1378.65</v>
      </c>
    </row>
    <row r="68" spans="1:45" hidden="1">
      <c r="A68" t="s">
        <v>26</v>
      </c>
      <c r="B68" t="s">
        <v>640</v>
      </c>
      <c r="C68" t="s">
        <v>182</v>
      </c>
      <c r="D68" t="s">
        <v>179</v>
      </c>
      <c r="E68" t="s">
        <v>172</v>
      </c>
      <c r="F68" t="s">
        <v>183</v>
      </c>
      <c r="G68" t="s">
        <v>152</v>
      </c>
      <c r="H68">
        <v>6274</v>
      </c>
      <c r="I68">
        <v>3800</v>
      </c>
      <c r="J68">
        <v>370.68</v>
      </c>
      <c r="K68">
        <v>1765.4</v>
      </c>
      <c r="L68">
        <v>890</v>
      </c>
      <c r="M68">
        <v>50</v>
      </c>
      <c r="N68">
        <v>2396.33</v>
      </c>
      <c r="O68">
        <v>791.82</v>
      </c>
      <c r="P68">
        <v>836.98</v>
      </c>
      <c r="Q68">
        <v>2700</v>
      </c>
      <c r="R68">
        <v>311</v>
      </c>
      <c r="S68">
        <v>1167</v>
      </c>
      <c r="AQ68">
        <v>21353.21</v>
      </c>
      <c r="AR68">
        <v>0.1515</v>
      </c>
      <c r="AS68">
        <v>3235.0113150000002</v>
      </c>
    </row>
    <row r="69" spans="1:45" hidden="1">
      <c r="A69" t="s">
        <v>26</v>
      </c>
      <c r="B69" t="s">
        <v>640</v>
      </c>
      <c r="C69" t="s">
        <v>697</v>
      </c>
      <c r="D69" t="s">
        <v>449</v>
      </c>
      <c r="E69" t="s">
        <v>172</v>
      </c>
      <c r="F69" t="s">
        <v>450</v>
      </c>
      <c r="G69" t="s">
        <v>451</v>
      </c>
      <c r="H69">
        <v>0</v>
      </c>
      <c r="I69">
        <v>1</v>
      </c>
      <c r="J69">
        <v>0</v>
      </c>
      <c r="K69">
        <v>0</v>
      </c>
      <c r="L69">
        <v>0</v>
      </c>
      <c r="M69">
        <v>0</v>
      </c>
      <c r="N69">
        <v>0</v>
      </c>
      <c r="O69">
        <v>0</v>
      </c>
      <c r="P69">
        <v>0</v>
      </c>
      <c r="Q69">
        <v>0</v>
      </c>
      <c r="R69">
        <v>0</v>
      </c>
      <c r="S69">
        <v>0</v>
      </c>
      <c r="AQ69">
        <v>1</v>
      </c>
      <c r="AR69">
        <v>1908.9</v>
      </c>
      <c r="AS69">
        <v>1908.9</v>
      </c>
    </row>
    <row r="70" spans="1:45" hidden="1">
      <c r="A70" t="s">
        <v>26</v>
      </c>
      <c r="B70" t="s">
        <v>640</v>
      </c>
      <c r="C70" t="s">
        <v>698</v>
      </c>
      <c r="D70" t="s">
        <v>424</v>
      </c>
      <c r="E70" t="s">
        <v>172</v>
      </c>
      <c r="F70" t="s">
        <v>425</v>
      </c>
      <c r="G70" t="s">
        <v>426</v>
      </c>
      <c r="H70">
        <v>2</v>
      </c>
      <c r="I70">
        <v>2</v>
      </c>
      <c r="J70">
        <v>0</v>
      </c>
      <c r="K70">
        <v>0</v>
      </c>
      <c r="L70">
        <v>0</v>
      </c>
      <c r="M70">
        <v>0</v>
      </c>
      <c r="N70">
        <v>0</v>
      </c>
      <c r="O70">
        <v>0</v>
      </c>
      <c r="P70">
        <v>0</v>
      </c>
      <c r="Q70">
        <v>3</v>
      </c>
      <c r="R70">
        <v>0</v>
      </c>
      <c r="S70">
        <v>1</v>
      </c>
      <c r="AQ70">
        <v>8</v>
      </c>
      <c r="AR70">
        <v>132.5625</v>
      </c>
      <c r="AS70">
        <v>1060.5</v>
      </c>
    </row>
    <row r="71" spans="1:45" hidden="1">
      <c r="A71" t="s">
        <v>26</v>
      </c>
      <c r="B71" t="s">
        <v>640</v>
      </c>
      <c r="C71" t="s">
        <v>699</v>
      </c>
      <c r="D71" t="s">
        <v>287</v>
      </c>
      <c r="E71" t="s">
        <v>172</v>
      </c>
      <c r="F71" t="s">
        <v>452</v>
      </c>
      <c r="G71" t="s">
        <v>453</v>
      </c>
      <c r="H71">
        <v>0</v>
      </c>
      <c r="I71">
        <v>0</v>
      </c>
      <c r="J71">
        <v>0</v>
      </c>
      <c r="K71">
        <v>0</v>
      </c>
      <c r="L71">
        <v>0</v>
      </c>
      <c r="M71">
        <v>0</v>
      </c>
      <c r="N71">
        <v>0</v>
      </c>
      <c r="O71">
        <v>0</v>
      </c>
      <c r="P71">
        <v>0</v>
      </c>
      <c r="Q71">
        <v>0</v>
      </c>
      <c r="R71">
        <v>0</v>
      </c>
      <c r="S71">
        <v>0</v>
      </c>
      <c r="AQ71">
        <v>0</v>
      </c>
      <c r="AR71">
        <v>3181.5</v>
      </c>
      <c r="AS71">
        <v>0</v>
      </c>
    </row>
    <row r="72" spans="1:45" hidden="1">
      <c r="A72" t="s">
        <v>26</v>
      </c>
      <c r="B72" t="s">
        <v>640</v>
      </c>
      <c r="C72" t="s">
        <v>700</v>
      </c>
      <c r="D72" t="s">
        <v>287</v>
      </c>
      <c r="E72" t="s">
        <v>172</v>
      </c>
      <c r="F72" t="s">
        <v>454</v>
      </c>
      <c r="G72" t="s">
        <v>455</v>
      </c>
      <c r="H72">
        <v>0</v>
      </c>
      <c r="I72">
        <v>0</v>
      </c>
      <c r="J72">
        <v>0</v>
      </c>
      <c r="K72">
        <v>0</v>
      </c>
      <c r="L72">
        <v>0</v>
      </c>
      <c r="M72">
        <v>0</v>
      </c>
      <c r="N72">
        <v>0</v>
      </c>
      <c r="O72">
        <v>0</v>
      </c>
      <c r="P72">
        <v>0</v>
      </c>
      <c r="Q72">
        <v>0</v>
      </c>
      <c r="R72">
        <v>0</v>
      </c>
      <c r="S72">
        <v>0</v>
      </c>
      <c r="AQ72">
        <v>0</v>
      </c>
      <c r="AR72">
        <v>318150</v>
      </c>
      <c r="AS72">
        <v>0</v>
      </c>
    </row>
    <row r="73" spans="1:45" hidden="1">
      <c r="A73" t="s">
        <v>26</v>
      </c>
      <c r="B73" t="s">
        <v>640</v>
      </c>
      <c r="C73" t="s">
        <v>701</v>
      </c>
      <c r="D73" t="s">
        <v>287</v>
      </c>
      <c r="E73" t="s">
        <v>172</v>
      </c>
      <c r="F73" t="s">
        <v>456</v>
      </c>
      <c r="G73" t="s">
        <v>457</v>
      </c>
      <c r="H73">
        <v>0</v>
      </c>
      <c r="I73">
        <v>0</v>
      </c>
      <c r="J73">
        <v>0</v>
      </c>
      <c r="K73">
        <v>0</v>
      </c>
      <c r="L73">
        <v>0</v>
      </c>
      <c r="M73">
        <v>0</v>
      </c>
      <c r="N73">
        <v>0</v>
      </c>
      <c r="O73">
        <v>0</v>
      </c>
      <c r="P73">
        <v>0</v>
      </c>
      <c r="Q73">
        <v>0</v>
      </c>
      <c r="R73">
        <v>0</v>
      </c>
      <c r="S73">
        <v>0</v>
      </c>
      <c r="AQ73">
        <v>0</v>
      </c>
      <c r="AR73">
        <v>238612.5</v>
      </c>
      <c r="AS73">
        <v>0</v>
      </c>
    </row>
    <row r="74" spans="1:45" hidden="1">
      <c r="A74" t="s">
        <v>26</v>
      </c>
      <c r="B74" t="s">
        <v>640</v>
      </c>
      <c r="C74" t="s">
        <v>184</v>
      </c>
      <c r="D74" t="s">
        <v>185</v>
      </c>
      <c r="E74" t="s">
        <v>186</v>
      </c>
      <c r="F74" t="s">
        <v>187</v>
      </c>
      <c r="G74" t="s">
        <v>188</v>
      </c>
      <c r="H74">
        <v>0</v>
      </c>
      <c r="I74">
        <v>0</v>
      </c>
      <c r="J74">
        <v>0</v>
      </c>
      <c r="K74">
        <v>0</v>
      </c>
      <c r="L74">
        <v>0</v>
      </c>
      <c r="M74">
        <v>0</v>
      </c>
      <c r="N74">
        <v>0</v>
      </c>
      <c r="O74">
        <v>0</v>
      </c>
      <c r="P74">
        <v>0</v>
      </c>
      <c r="Q74">
        <v>0</v>
      </c>
      <c r="R74">
        <v>0</v>
      </c>
      <c r="S74">
        <v>0</v>
      </c>
      <c r="AQ74">
        <v>0</v>
      </c>
      <c r="AR74">
        <v>2121</v>
      </c>
      <c r="AS74">
        <v>0</v>
      </c>
    </row>
    <row r="75" spans="1:45" hidden="1">
      <c r="A75" t="s">
        <v>26</v>
      </c>
      <c r="B75" t="s">
        <v>640</v>
      </c>
      <c r="C75" t="s">
        <v>189</v>
      </c>
      <c r="D75" t="s">
        <v>190</v>
      </c>
      <c r="E75" t="s">
        <v>186</v>
      </c>
      <c r="F75" t="s">
        <v>191</v>
      </c>
      <c r="G75" t="s">
        <v>192</v>
      </c>
      <c r="H75">
        <v>0</v>
      </c>
      <c r="I75">
        <v>0</v>
      </c>
      <c r="J75">
        <v>0</v>
      </c>
      <c r="K75">
        <v>0</v>
      </c>
      <c r="L75">
        <v>0</v>
      </c>
      <c r="M75">
        <v>0</v>
      </c>
      <c r="N75">
        <v>0</v>
      </c>
      <c r="O75">
        <v>0</v>
      </c>
      <c r="P75">
        <v>0</v>
      </c>
      <c r="Q75">
        <v>1</v>
      </c>
      <c r="R75">
        <v>0</v>
      </c>
      <c r="S75">
        <v>0</v>
      </c>
      <c r="AQ75">
        <v>1</v>
      </c>
      <c r="AR75">
        <v>1060.5</v>
      </c>
      <c r="AS75">
        <v>1060.5</v>
      </c>
    </row>
    <row r="76" spans="1:45" hidden="1">
      <c r="A76" t="s">
        <v>26</v>
      </c>
      <c r="B76" t="s">
        <v>640</v>
      </c>
      <c r="C76" t="s">
        <v>702</v>
      </c>
      <c r="D76" t="s">
        <v>190</v>
      </c>
      <c r="E76" t="s">
        <v>186</v>
      </c>
      <c r="F76" t="s">
        <v>458</v>
      </c>
      <c r="G76" t="s">
        <v>459</v>
      </c>
      <c r="H76">
        <v>0</v>
      </c>
      <c r="I76">
        <v>0</v>
      </c>
      <c r="J76">
        <v>0</v>
      </c>
      <c r="K76">
        <v>0</v>
      </c>
      <c r="L76">
        <v>0</v>
      </c>
      <c r="M76">
        <v>0</v>
      </c>
      <c r="N76">
        <v>0</v>
      </c>
      <c r="O76">
        <v>0</v>
      </c>
      <c r="P76">
        <v>0</v>
      </c>
      <c r="Q76">
        <v>1</v>
      </c>
      <c r="R76">
        <v>0</v>
      </c>
      <c r="S76">
        <v>0</v>
      </c>
      <c r="AQ76">
        <v>1</v>
      </c>
      <c r="AR76">
        <v>1590.75</v>
      </c>
      <c r="AS76">
        <v>1590.75</v>
      </c>
    </row>
    <row r="77" spans="1:45" hidden="1">
      <c r="A77" t="s">
        <v>26</v>
      </c>
      <c r="B77" t="s">
        <v>640</v>
      </c>
      <c r="C77" t="s">
        <v>193</v>
      </c>
      <c r="D77" t="s">
        <v>194</v>
      </c>
      <c r="E77" t="s">
        <v>186</v>
      </c>
      <c r="F77" t="s">
        <v>195</v>
      </c>
      <c r="G77" t="s">
        <v>152</v>
      </c>
      <c r="H77">
        <v>6274</v>
      </c>
      <c r="I77">
        <v>3800</v>
      </c>
      <c r="J77">
        <v>370.68</v>
      </c>
      <c r="K77">
        <v>1765.4</v>
      </c>
      <c r="L77">
        <v>890</v>
      </c>
      <c r="M77">
        <v>50</v>
      </c>
      <c r="N77">
        <v>2396.33</v>
      </c>
      <c r="O77">
        <v>791.82</v>
      </c>
      <c r="P77">
        <v>836.98</v>
      </c>
      <c r="Q77">
        <v>2700</v>
      </c>
      <c r="R77">
        <v>311</v>
      </c>
      <c r="S77">
        <v>1167</v>
      </c>
      <c r="AQ77">
        <v>21353.21</v>
      </c>
      <c r="AR77">
        <v>0.63629999999999998</v>
      </c>
      <c r="AS77">
        <v>13587.047522999999</v>
      </c>
    </row>
    <row r="78" spans="1:45" hidden="1">
      <c r="A78" t="s">
        <v>26</v>
      </c>
      <c r="B78" t="s">
        <v>640</v>
      </c>
      <c r="C78" t="s">
        <v>197</v>
      </c>
      <c r="D78" t="s">
        <v>198</v>
      </c>
      <c r="E78" t="s">
        <v>186</v>
      </c>
      <c r="F78" t="s">
        <v>199</v>
      </c>
      <c r="G78" t="s">
        <v>200</v>
      </c>
      <c r="H78">
        <v>0</v>
      </c>
      <c r="I78">
        <v>0</v>
      </c>
      <c r="J78">
        <v>0</v>
      </c>
      <c r="K78">
        <v>0</v>
      </c>
      <c r="L78">
        <v>0</v>
      </c>
      <c r="M78">
        <v>0</v>
      </c>
      <c r="N78">
        <v>0</v>
      </c>
      <c r="O78">
        <v>0</v>
      </c>
      <c r="P78">
        <v>0</v>
      </c>
      <c r="Q78">
        <v>1</v>
      </c>
      <c r="R78">
        <v>0</v>
      </c>
      <c r="S78">
        <v>0</v>
      </c>
      <c r="AQ78">
        <v>1</v>
      </c>
      <c r="AR78">
        <v>4984.3500000000004</v>
      </c>
      <c r="AS78">
        <v>4984.3500000000004</v>
      </c>
    </row>
    <row r="79" spans="1:45" hidden="1">
      <c r="A79" t="s">
        <v>26</v>
      </c>
      <c r="B79" t="s">
        <v>640</v>
      </c>
      <c r="C79" t="s">
        <v>201</v>
      </c>
      <c r="D79" t="s">
        <v>202</v>
      </c>
      <c r="E79" t="s">
        <v>186</v>
      </c>
      <c r="F79" t="s">
        <v>203</v>
      </c>
      <c r="G79" t="s">
        <v>204</v>
      </c>
      <c r="H79">
        <v>0</v>
      </c>
      <c r="I79">
        <v>0</v>
      </c>
      <c r="J79">
        <v>0</v>
      </c>
      <c r="K79">
        <v>0</v>
      </c>
      <c r="L79">
        <v>0</v>
      </c>
      <c r="M79">
        <v>0</v>
      </c>
      <c r="N79">
        <v>0</v>
      </c>
      <c r="O79">
        <v>0</v>
      </c>
      <c r="P79">
        <v>0</v>
      </c>
      <c r="Q79">
        <v>0</v>
      </c>
      <c r="R79">
        <v>0</v>
      </c>
      <c r="S79">
        <v>0</v>
      </c>
      <c r="AQ79">
        <v>0</v>
      </c>
      <c r="AR79">
        <v>31.815000000000001</v>
      </c>
      <c r="AS79">
        <v>0</v>
      </c>
    </row>
    <row r="80" spans="1:45" hidden="1">
      <c r="A80" t="s">
        <v>26</v>
      </c>
      <c r="B80" t="s">
        <v>640</v>
      </c>
      <c r="C80" t="s">
        <v>703</v>
      </c>
      <c r="D80" t="s">
        <v>460</v>
      </c>
      <c r="E80" t="s">
        <v>186</v>
      </c>
      <c r="F80" t="s">
        <v>461</v>
      </c>
      <c r="G80" t="s">
        <v>462</v>
      </c>
      <c r="H80">
        <v>0</v>
      </c>
      <c r="I80">
        <v>0</v>
      </c>
      <c r="J80">
        <v>0</v>
      </c>
      <c r="K80">
        <v>0</v>
      </c>
      <c r="L80">
        <v>0</v>
      </c>
      <c r="M80">
        <v>0</v>
      </c>
      <c r="N80">
        <v>0</v>
      </c>
      <c r="O80">
        <v>0</v>
      </c>
      <c r="P80">
        <v>0</v>
      </c>
      <c r="Q80">
        <v>0</v>
      </c>
      <c r="R80">
        <v>0</v>
      </c>
      <c r="S80">
        <v>0</v>
      </c>
      <c r="AQ80">
        <v>0</v>
      </c>
      <c r="AR80">
        <v>15907.5</v>
      </c>
      <c r="AS80">
        <v>0</v>
      </c>
    </row>
    <row r="81" spans="1:45" hidden="1">
      <c r="A81" t="s">
        <v>26</v>
      </c>
      <c r="B81" t="s">
        <v>640</v>
      </c>
      <c r="C81" t="s">
        <v>704</v>
      </c>
      <c r="D81" t="s">
        <v>468</v>
      </c>
      <c r="E81" t="s">
        <v>186</v>
      </c>
      <c r="F81" t="s">
        <v>469</v>
      </c>
      <c r="G81" t="s">
        <v>470</v>
      </c>
      <c r="H81">
        <v>0</v>
      </c>
      <c r="I81">
        <v>0</v>
      </c>
      <c r="J81">
        <v>0</v>
      </c>
      <c r="K81">
        <v>0</v>
      </c>
      <c r="L81">
        <v>0</v>
      </c>
      <c r="M81">
        <v>0</v>
      </c>
      <c r="N81">
        <v>0</v>
      </c>
      <c r="O81">
        <v>0</v>
      </c>
      <c r="P81">
        <v>0</v>
      </c>
      <c r="Q81">
        <v>0</v>
      </c>
      <c r="R81">
        <v>0</v>
      </c>
      <c r="S81">
        <v>0</v>
      </c>
      <c r="AQ81">
        <v>0</v>
      </c>
      <c r="AR81">
        <v>159.07499999999999</v>
      </c>
      <c r="AS81">
        <v>0</v>
      </c>
    </row>
    <row r="82" spans="1:45" hidden="1">
      <c r="A82" t="s">
        <v>26</v>
      </c>
      <c r="B82" t="s">
        <v>640</v>
      </c>
      <c r="C82" t="s">
        <v>705</v>
      </c>
      <c r="D82" t="s">
        <v>463</v>
      </c>
      <c r="E82" t="s">
        <v>186</v>
      </c>
      <c r="F82" t="s">
        <v>466</v>
      </c>
      <c r="G82" t="s">
        <v>467</v>
      </c>
      <c r="H82">
        <v>0</v>
      </c>
      <c r="I82">
        <v>0</v>
      </c>
      <c r="J82">
        <v>0</v>
      </c>
      <c r="K82">
        <v>0</v>
      </c>
      <c r="L82">
        <v>0</v>
      </c>
      <c r="M82">
        <v>0</v>
      </c>
      <c r="N82">
        <v>0</v>
      </c>
      <c r="O82">
        <v>0</v>
      </c>
      <c r="P82">
        <v>0</v>
      </c>
      <c r="Q82">
        <v>0</v>
      </c>
      <c r="R82">
        <v>0</v>
      </c>
      <c r="S82">
        <v>0</v>
      </c>
      <c r="AQ82">
        <v>0</v>
      </c>
      <c r="AR82">
        <v>509.04</v>
      </c>
      <c r="AS82">
        <v>0</v>
      </c>
    </row>
    <row r="83" spans="1:45" hidden="1">
      <c r="A83" t="s">
        <v>26</v>
      </c>
      <c r="B83" t="s">
        <v>640</v>
      </c>
      <c r="C83" t="s">
        <v>706</v>
      </c>
      <c r="D83" t="s">
        <v>463</v>
      </c>
      <c r="E83" t="s">
        <v>186</v>
      </c>
      <c r="F83" t="s">
        <v>464</v>
      </c>
      <c r="G83" t="s">
        <v>465</v>
      </c>
      <c r="H83">
        <v>0</v>
      </c>
      <c r="I83">
        <v>0</v>
      </c>
      <c r="J83">
        <v>0</v>
      </c>
      <c r="K83">
        <v>0</v>
      </c>
      <c r="L83">
        <v>0</v>
      </c>
      <c r="M83">
        <v>0</v>
      </c>
      <c r="N83">
        <v>0</v>
      </c>
      <c r="O83">
        <v>0</v>
      </c>
      <c r="P83">
        <v>0</v>
      </c>
      <c r="Q83">
        <v>0</v>
      </c>
      <c r="R83">
        <v>0</v>
      </c>
      <c r="S83">
        <v>0</v>
      </c>
      <c r="AQ83">
        <v>0</v>
      </c>
      <c r="AR83">
        <v>1060.5</v>
      </c>
      <c r="AS83">
        <v>0</v>
      </c>
    </row>
    <row r="84" spans="1:45" hidden="1">
      <c r="A84" t="s">
        <v>26</v>
      </c>
      <c r="B84" t="s">
        <v>640</v>
      </c>
      <c r="C84" t="s">
        <v>707</v>
      </c>
      <c r="D84" t="s">
        <v>471</v>
      </c>
      <c r="E84" t="s">
        <v>186</v>
      </c>
      <c r="F84" t="s">
        <v>472</v>
      </c>
      <c r="G84" t="s">
        <v>473</v>
      </c>
      <c r="H84">
        <v>0</v>
      </c>
      <c r="I84">
        <v>0</v>
      </c>
      <c r="J84">
        <v>0</v>
      </c>
      <c r="K84">
        <v>0</v>
      </c>
      <c r="L84">
        <v>0</v>
      </c>
      <c r="M84">
        <v>0</v>
      </c>
      <c r="N84">
        <v>0</v>
      </c>
      <c r="O84">
        <v>0</v>
      </c>
      <c r="P84">
        <v>0</v>
      </c>
      <c r="Q84">
        <v>0</v>
      </c>
      <c r="R84">
        <v>0</v>
      </c>
      <c r="S84">
        <v>0</v>
      </c>
      <c r="AQ84">
        <v>0</v>
      </c>
      <c r="AR84">
        <v>15377.25</v>
      </c>
      <c r="AS84">
        <v>0</v>
      </c>
    </row>
    <row r="85" spans="1:45" hidden="1">
      <c r="A85" t="s">
        <v>26</v>
      </c>
      <c r="B85" t="s">
        <v>640</v>
      </c>
      <c r="C85" t="s">
        <v>205</v>
      </c>
      <c r="D85" t="s">
        <v>206</v>
      </c>
      <c r="E85" t="s">
        <v>207</v>
      </c>
      <c r="F85" t="s">
        <v>208</v>
      </c>
      <c r="G85" t="s">
        <v>209</v>
      </c>
      <c r="H85">
        <v>1275</v>
      </c>
      <c r="J85">
        <v>0</v>
      </c>
      <c r="K85">
        <v>1765</v>
      </c>
      <c r="L85">
        <v>0</v>
      </c>
      <c r="M85">
        <v>0</v>
      </c>
      <c r="N85">
        <v>2396</v>
      </c>
      <c r="O85">
        <v>0</v>
      </c>
      <c r="P85">
        <v>0</v>
      </c>
      <c r="Q85">
        <v>0</v>
      </c>
      <c r="R85">
        <v>0</v>
      </c>
      <c r="S85">
        <v>272</v>
      </c>
      <c r="AQ85">
        <v>5708</v>
      </c>
      <c r="AR85">
        <v>0.16159999999999999</v>
      </c>
      <c r="AS85">
        <v>922.41279999999995</v>
      </c>
    </row>
    <row r="86" spans="1:45" hidden="1">
      <c r="A86" t="s">
        <v>26</v>
      </c>
      <c r="B86" t="s">
        <v>640</v>
      </c>
      <c r="C86" t="s">
        <v>210</v>
      </c>
      <c r="D86" t="s">
        <v>211</v>
      </c>
      <c r="E86" t="s">
        <v>207</v>
      </c>
      <c r="F86" t="s">
        <v>212</v>
      </c>
      <c r="G86" t="s">
        <v>209</v>
      </c>
      <c r="H86">
        <v>6274</v>
      </c>
      <c r="I86">
        <v>3800</v>
      </c>
      <c r="J86">
        <v>371</v>
      </c>
      <c r="K86">
        <v>1765.4</v>
      </c>
      <c r="L86">
        <v>0</v>
      </c>
      <c r="M86">
        <v>0</v>
      </c>
      <c r="N86">
        <v>2396</v>
      </c>
      <c r="O86">
        <v>792</v>
      </c>
      <c r="P86">
        <v>0</v>
      </c>
      <c r="Q86">
        <v>2700</v>
      </c>
      <c r="R86">
        <v>311</v>
      </c>
      <c r="S86">
        <v>1167</v>
      </c>
      <c r="AQ86">
        <v>19576.400000000001</v>
      </c>
      <c r="AR86">
        <v>0.63629999999999998</v>
      </c>
      <c r="AS86">
        <v>12456.463320000001</v>
      </c>
    </row>
    <row r="87" spans="1:45" hidden="1">
      <c r="A87" t="s">
        <v>26</v>
      </c>
      <c r="B87" t="s">
        <v>640</v>
      </c>
      <c r="C87" t="s">
        <v>213</v>
      </c>
      <c r="D87" t="s">
        <v>214</v>
      </c>
      <c r="E87" t="s">
        <v>207</v>
      </c>
      <c r="F87" t="s">
        <v>215</v>
      </c>
      <c r="G87" t="s">
        <v>152</v>
      </c>
      <c r="H87">
        <v>6274</v>
      </c>
      <c r="I87">
        <v>3800</v>
      </c>
      <c r="J87">
        <v>370.68</v>
      </c>
      <c r="K87">
        <v>1765.4</v>
      </c>
      <c r="L87">
        <v>890</v>
      </c>
      <c r="M87">
        <v>0</v>
      </c>
      <c r="N87">
        <v>2396.33</v>
      </c>
      <c r="O87">
        <v>791.82</v>
      </c>
      <c r="P87">
        <v>836.98</v>
      </c>
      <c r="Q87">
        <v>2700</v>
      </c>
      <c r="R87">
        <v>311</v>
      </c>
      <c r="S87">
        <v>1167</v>
      </c>
      <c r="AQ87">
        <v>21303.21</v>
      </c>
      <c r="AR87">
        <v>0.32319999999999999</v>
      </c>
      <c r="AS87">
        <v>6885.1974719999998</v>
      </c>
    </row>
    <row r="88" spans="1:45" hidden="1">
      <c r="A88" t="s">
        <v>26</v>
      </c>
      <c r="B88" t="s">
        <v>640</v>
      </c>
      <c r="C88" t="s">
        <v>255</v>
      </c>
      <c r="D88" t="s">
        <v>256</v>
      </c>
      <c r="E88" t="s">
        <v>207</v>
      </c>
      <c r="F88" t="s">
        <v>257</v>
      </c>
      <c r="G88" t="s">
        <v>258</v>
      </c>
      <c r="H88">
        <v>5</v>
      </c>
      <c r="I88">
        <v>37</v>
      </c>
      <c r="J88">
        <v>0</v>
      </c>
      <c r="K88">
        <v>4</v>
      </c>
      <c r="L88">
        <v>0</v>
      </c>
      <c r="M88">
        <v>0</v>
      </c>
      <c r="N88">
        <v>35</v>
      </c>
      <c r="O88">
        <v>0</v>
      </c>
      <c r="P88">
        <v>0</v>
      </c>
      <c r="Q88">
        <v>12</v>
      </c>
      <c r="R88">
        <v>2</v>
      </c>
      <c r="S88">
        <v>8</v>
      </c>
      <c r="AQ88">
        <v>103</v>
      </c>
      <c r="AR88">
        <v>31.815000000000001</v>
      </c>
      <c r="AS88">
        <v>3276.9450000000002</v>
      </c>
    </row>
    <row r="89" spans="1:45" hidden="1">
      <c r="A89" t="s">
        <v>26</v>
      </c>
      <c r="B89" t="s">
        <v>640</v>
      </c>
      <c r="C89" t="s">
        <v>217</v>
      </c>
      <c r="D89" t="s">
        <v>218</v>
      </c>
      <c r="E89" t="s">
        <v>207</v>
      </c>
      <c r="F89" t="s">
        <v>219</v>
      </c>
      <c r="G89" t="s">
        <v>220</v>
      </c>
      <c r="H89">
        <v>42</v>
      </c>
      <c r="I89">
        <v>34</v>
      </c>
      <c r="J89">
        <v>4</v>
      </c>
      <c r="K89">
        <v>16</v>
      </c>
      <c r="L89">
        <v>13</v>
      </c>
      <c r="M89">
        <v>3</v>
      </c>
      <c r="N89">
        <v>20</v>
      </c>
      <c r="O89">
        <v>6</v>
      </c>
      <c r="P89">
        <v>9</v>
      </c>
      <c r="Q89">
        <v>55</v>
      </c>
      <c r="R89">
        <v>3</v>
      </c>
      <c r="S89">
        <v>14</v>
      </c>
      <c r="AQ89">
        <v>219</v>
      </c>
      <c r="AR89">
        <v>9.5950000000000006</v>
      </c>
      <c r="AS89">
        <v>2101.3049999999998</v>
      </c>
    </row>
    <row r="90" spans="1:45" hidden="1">
      <c r="A90" t="s">
        <v>26</v>
      </c>
      <c r="B90" t="s">
        <v>640</v>
      </c>
      <c r="C90" t="s">
        <v>708</v>
      </c>
      <c r="D90" t="s">
        <v>474</v>
      </c>
      <c r="E90" t="s">
        <v>207</v>
      </c>
      <c r="F90" t="s">
        <v>475</v>
      </c>
      <c r="G90" t="s">
        <v>476</v>
      </c>
      <c r="H90">
        <v>0</v>
      </c>
      <c r="I90">
        <v>5</v>
      </c>
      <c r="J90">
        <v>0</v>
      </c>
      <c r="K90">
        <v>0</v>
      </c>
      <c r="L90">
        <v>0</v>
      </c>
      <c r="M90">
        <v>0</v>
      </c>
      <c r="N90">
        <v>0</v>
      </c>
      <c r="O90">
        <v>0</v>
      </c>
      <c r="P90">
        <v>0</v>
      </c>
      <c r="Q90">
        <v>0</v>
      </c>
      <c r="R90">
        <v>0</v>
      </c>
      <c r="S90">
        <v>0</v>
      </c>
      <c r="AQ90">
        <v>5</v>
      </c>
      <c r="AR90">
        <v>79.790000000000006</v>
      </c>
      <c r="AS90">
        <v>398.95</v>
      </c>
    </row>
    <row r="91" spans="1:45" hidden="1">
      <c r="A91" t="s">
        <v>26</v>
      </c>
      <c r="B91" t="s">
        <v>640</v>
      </c>
      <c r="C91" t="s">
        <v>709</v>
      </c>
      <c r="D91" t="s">
        <v>477</v>
      </c>
      <c r="E91" t="s">
        <v>207</v>
      </c>
      <c r="F91" t="s">
        <v>478</v>
      </c>
      <c r="G91" t="s">
        <v>479</v>
      </c>
      <c r="H91">
        <v>0</v>
      </c>
      <c r="I91">
        <v>0</v>
      </c>
      <c r="J91">
        <v>0</v>
      </c>
      <c r="K91">
        <v>0</v>
      </c>
      <c r="L91">
        <v>0</v>
      </c>
      <c r="M91">
        <v>0</v>
      </c>
      <c r="N91">
        <v>0</v>
      </c>
      <c r="O91">
        <v>0</v>
      </c>
      <c r="P91">
        <v>0</v>
      </c>
      <c r="Q91">
        <v>0</v>
      </c>
      <c r="R91">
        <v>0</v>
      </c>
      <c r="S91">
        <v>0</v>
      </c>
      <c r="AQ91">
        <v>0</v>
      </c>
      <c r="AR91">
        <v>2.121</v>
      </c>
      <c r="AS91">
        <v>0</v>
      </c>
    </row>
    <row r="92" spans="1:45" hidden="1">
      <c r="A92" t="s">
        <v>26</v>
      </c>
      <c r="B92" t="s">
        <v>640</v>
      </c>
      <c r="C92" t="s">
        <v>221</v>
      </c>
      <c r="D92" t="s">
        <v>222</v>
      </c>
      <c r="E92" t="s">
        <v>207</v>
      </c>
      <c r="F92" t="s">
        <v>223</v>
      </c>
      <c r="G92" t="s">
        <v>224</v>
      </c>
      <c r="H92">
        <v>0</v>
      </c>
      <c r="I92">
        <v>0</v>
      </c>
      <c r="J92">
        <v>0</v>
      </c>
      <c r="K92">
        <v>0</v>
      </c>
      <c r="L92">
        <v>0</v>
      </c>
      <c r="M92">
        <v>0</v>
      </c>
      <c r="N92">
        <v>0</v>
      </c>
      <c r="O92">
        <v>0</v>
      </c>
      <c r="P92">
        <v>0</v>
      </c>
      <c r="Q92">
        <v>0</v>
      </c>
      <c r="R92">
        <v>0</v>
      </c>
      <c r="S92">
        <v>0</v>
      </c>
      <c r="AQ92">
        <v>0</v>
      </c>
      <c r="AR92">
        <v>2651.25</v>
      </c>
      <c r="AS92">
        <v>0</v>
      </c>
    </row>
    <row r="93" spans="1:45" hidden="1">
      <c r="A93" t="s">
        <v>26</v>
      </c>
      <c r="B93" t="s">
        <v>640</v>
      </c>
      <c r="C93" t="s">
        <v>225</v>
      </c>
      <c r="D93" t="s">
        <v>226</v>
      </c>
      <c r="E93" t="s">
        <v>207</v>
      </c>
      <c r="F93" t="s">
        <v>227</v>
      </c>
      <c r="G93" t="s">
        <v>228</v>
      </c>
      <c r="H93">
        <v>13</v>
      </c>
      <c r="I93">
        <v>0</v>
      </c>
      <c r="J93">
        <v>0</v>
      </c>
      <c r="K93">
        <v>8</v>
      </c>
      <c r="L93">
        <v>2</v>
      </c>
      <c r="M93">
        <v>0</v>
      </c>
      <c r="N93">
        <v>10</v>
      </c>
      <c r="O93">
        <v>0</v>
      </c>
      <c r="P93">
        <v>0</v>
      </c>
      <c r="Q93">
        <v>11</v>
      </c>
      <c r="R93">
        <v>0</v>
      </c>
      <c r="S93">
        <v>5</v>
      </c>
      <c r="AQ93">
        <v>49</v>
      </c>
      <c r="AR93">
        <v>21.21</v>
      </c>
      <c r="AS93">
        <v>1039.29</v>
      </c>
    </row>
    <row r="94" spans="1:45" hidden="1">
      <c r="A94" t="s">
        <v>26</v>
      </c>
      <c r="B94" t="s">
        <v>640</v>
      </c>
      <c r="C94" t="s">
        <v>710</v>
      </c>
      <c r="D94" t="s">
        <v>480</v>
      </c>
      <c r="E94" t="s">
        <v>207</v>
      </c>
      <c r="F94" t="s">
        <v>481</v>
      </c>
      <c r="G94" t="s">
        <v>482</v>
      </c>
      <c r="H94">
        <v>0</v>
      </c>
      <c r="I94">
        <v>0</v>
      </c>
      <c r="J94">
        <v>0</v>
      </c>
      <c r="K94">
        <v>0</v>
      </c>
      <c r="L94">
        <v>0</v>
      </c>
      <c r="M94">
        <v>0</v>
      </c>
      <c r="N94">
        <v>0</v>
      </c>
      <c r="O94">
        <v>0</v>
      </c>
      <c r="P94">
        <v>0</v>
      </c>
      <c r="Q94">
        <v>1</v>
      </c>
      <c r="R94">
        <v>0</v>
      </c>
      <c r="S94">
        <v>1</v>
      </c>
      <c r="AQ94">
        <v>2</v>
      </c>
      <c r="AR94">
        <v>1272.5999999999999</v>
      </c>
      <c r="AS94">
        <v>2545.1999999999998</v>
      </c>
    </row>
    <row r="95" spans="1:45" hidden="1">
      <c r="A95" t="s">
        <v>26</v>
      </c>
      <c r="B95" t="s">
        <v>640</v>
      </c>
      <c r="C95" t="s">
        <v>711</v>
      </c>
      <c r="D95" t="s">
        <v>488</v>
      </c>
      <c r="E95" t="s">
        <v>207</v>
      </c>
      <c r="F95" t="s">
        <v>489</v>
      </c>
      <c r="G95" t="s">
        <v>490</v>
      </c>
      <c r="H95">
        <v>0</v>
      </c>
      <c r="I95">
        <v>0</v>
      </c>
      <c r="J95">
        <v>0</v>
      </c>
      <c r="K95">
        <v>0</v>
      </c>
      <c r="L95">
        <v>0</v>
      </c>
      <c r="M95">
        <v>0</v>
      </c>
      <c r="N95">
        <v>80</v>
      </c>
      <c r="O95">
        <v>0</v>
      </c>
      <c r="P95">
        <v>0</v>
      </c>
      <c r="Q95">
        <v>0</v>
      </c>
      <c r="R95">
        <v>0</v>
      </c>
      <c r="S95">
        <v>0</v>
      </c>
      <c r="AQ95">
        <v>80</v>
      </c>
      <c r="AR95">
        <v>0.5353</v>
      </c>
      <c r="AS95">
        <v>42.823999999999998</v>
      </c>
    </row>
    <row r="96" spans="1:45" hidden="1">
      <c r="A96" t="s">
        <v>26</v>
      </c>
      <c r="B96" t="s">
        <v>640</v>
      </c>
      <c r="C96" t="s">
        <v>712</v>
      </c>
      <c r="D96" t="s">
        <v>483</v>
      </c>
      <c r="E96" t="s">
        <v>207</v>
      </c>
      <c r="F96" t="s">
        <v>484</v>
      </c>
      <c r="G96" t="s">
        <v>392</v>
      </c>
      <c r="H96">
        <v>0</v>
      </c>
      <c r="I96">
        <v>0</v>
      </c>
      <c r="J96">
        <v>0</v>
      </c>
      <c r="K96">
        <v>0</v>
      </c>
      <c r="L96">
        <v>0</v>
      </c>
      <c r="M96">
        <v>0</v>
      </c>
      <c r="N96">
        <v>0</v>
      </c>
      <c r="O96">
        <v>0</v>
      </c>
      <c r="P96">
        <v>0</v>
      </c>
      <c r="Q96">
        <v>0</v>
      </c>
      <c r="R96">
        <v>0</v>
      </c>
      <c r="S96">
        <v>0</v>
      </c>
      <c r="AQ96">
        <v>0</v>
      </c>
      <c r="AR96">
        <v>2121</v>
      </c>
      <c r="AS96">
        <v>0</v>
      </c>
    </row>
    <row r="97" spans="1:45" hidden="1">
      <c r="A97" t="s">
        <v>26</v>
      </c>
      <c r="B97" t="s">
        <v>640</v>
      </c>
      <c r="C97" t="s">
        <v>713</v>
      </c>
      <c r="D97" t="s">
        <v>485</v>
      </c>
      <c r="E97" t="s">
        <v>207</v>
      </c>
      <c r="F97" t="s">
        <v>486</v>
      </c>
      <c r="G97" t="s">
        <v>487</v>
      </c>
      <c r="H97">
        <v>0</v>
      </c>
      <c r="I97">
        <v>1</v>
      </c>
      <c r="J97">
        <v>0</v>
      </c>
      <c r="K97">
        <v>0</v>
      </c>
      <c r="L97">
        <v>0</v>
      </c>
      <c r="M97">
        <v>0</v>
      </c>
      <c r="N97">
        <v>0</v>
      </c>
      <c r="O97">
        <v>0</v>
      </c>
      <c r="P97">
        <v>0</v>
      </c>
      <c r="Q97">
        <v>0</v>
      </c>
      <c r="R97">
        <v>0</v>
      </c>
      <c r="S97">
        <v>0</v>
      </c>
      <c r="AQ97">
        <v>1</v>
      </c>
      <c r="AR97">
        <v>265.125</v>
      </c>
      <c r="AS97">
        <v>265.125</v>
      </c>
    </row>
    <row r="98" spans="1:45" hidden="1">
      <c r="A98" t="s">
        <v>26</v>
      </c>
      <c r="B98" t="s">
        <v>640</v>
      </c>
      <c r="C98" t="s">
        <v>229</v>
      </c>
      <c r="D98" t="s">
        <v>230</v>
      </c>
      <c r="E98" t="s">
        <v>231</v>
      </c>
      <c r="F98" t="s">
        <v>232</v>
      </c>
      <c r="G98" t="s">
        <v>233</v>
      </c>
      <c r="H98">
        <v>2</v>
      </c>
      <c r="I98">
        <v>0</v>
      </c>
      <c r="J98">
        <v>0</v>
      </c>
      <c r="K98">
        <v>0</v>
      </c>
      <c r="L98">
        <v>0</v>
      </c>
      <c r="M98">
        <v>0</v>
      </c>
      <c r="N98">
        <v>2</v>
      </c>
      <c r="O98">
        <v>0</v>
      </c>
      <c r="P98">
        <v>1</v>
      </c>
      <c r="Q98">
        <v>2</v>
      </c>
      <c r="R98">
        <v>1</v>
      </c>
      <c r="S98">
        <v>0</v>
      </c>
      <c r="AQ98">
        <v>8</v>
      </c>
      <c r="AR98">
        <v>1484.7</v>
      </c>
      <c r="AS98">
        <v>11877.6</v>
      </c>
    </row>
    <row r="99" spans="1:45" hidden="1">
      <c r="A99" t="s">
        <v>26</v>
      </c>
      <c r="B99" t="s">
        <v>640</v>
      </c>
      <c r="C99" t="s">
        <v>234</v>
      </c>
      <c r="D99" t="s">
        <v>230</v>
      </c>
      <c r="E99" t="s">
        <v>231</v>
      </c>
      <c r="F99" t="s">
        <v>285</v>
      </c>
      <c r="G99" t="s">
        <v>233</v>
      </c>
      <c r="H99">
        <v>0</v>
      </c>
      <c r="I99">
        <v>0</v>
      </c>
      <c r="J99">
        <v>0</v>
      </c>
      <c r="K99">
        <v>0</v>
      </c>
      <c r="L99">
        <v>0</v>
      </c>
      <c r="M99">
        <v>0</v>
      </c>
      <c r="N99">
        <v>0</v>
      </c>
      <c r="O99">
        <v>0</v>
      </c>
      <c r="P99">
        <v>0</v>
      </c>
      <c r="Q99">
        <v>0</v>
      </c>
      <c r="R99">
        <v>0</v>
      </c>
      <c r="S99">
        <v>0</v>
      </c>
      <c r="AQ99">
        <v>0</v>
      </c>
      <c r="AR99">
        <v>1696.8</v>
      </c>
      <c r="AS99">
        <v>0</v>
      </c>
    </row>
    <row r="100" spans="1:45" hidden="1">
      <c r="A100" t="s">
        <v>26</v>
      </c>
      <c r="B100" t="s">
        <v>640</v>
      </c>
      <c r="C100" t="s">
        <v>714</v>
      </c>
      <c r="D100" t="s">
        <v>230</v>
      </c>
      <c r="E100" t="s">
        <v>231</v>
      </c>
      <c r="F100" t="s">
        <v>491</v>
      </c>
      <c r="G100" t="s">
        <v>233</v>
      </c>
      <c r="H100">
        <v>0</v>
      </c>
      <c r="I100">
        <v>0</v>
      </c>
      <c r="J100">
        <v>0</v>
      </c>
      <c r="K100">
        <v>0</v>
      </c>
      <c r="L100">
        <v>0</v>
      </c>
      <c r="M100">
        <v>0</v>
      </c>
      <c r="N100">
        <v>0</v>
      </c>
      <c r="O100">
        <v>0</v>
      </c>
      <c r="P100">
        <v>0</v>
      </c>
      <c r="Q100">
        <v>0</v>
      </c>
      <c r="R100">
        <v>0</v>
      </c>
      <c r="S100">
        <v>0</v>
      </c>
      <c r="AQ100">
        <v>0</v>
      </c>
      <c r="AR100">
        <v>1908.9</v>
      </c>
      <c r="AS100">
        <v>0</v>
      </c>
    </row>
    <row r="101" spans="1:45" hidden="1">
      <c r="A101" t="s">
        <v>26</v>
      </c>
      <c r="B101" t="s">
        <v>640</v>
      </c>
      <c r="C101" t="s">
        <v>236</v>
      </c>
      <c r="D101" t="s">
        <v>237</v>
      </c>
      <c r="E101" t="s">
        <v>231</v>
      </c>
      <c r="F101" t="s">
        <v>238</v>
      </c>
      <c r="G101" t="s">
        <v>239</v>
      </c>
      <c r="H101">
        <v>0</v>
      </c>
      <c r="I101">
        <v>0</v>
      </c>
      <c r="J101">
        <v>0</v>
      </c>
      <c r="K101">
        <v>0</v>
      </c>
      <c r="L101">
        <v>0</v>
      </c>
      <c r="M101">
        <v>0</v>
      </c>
      <c r="N101">
        <v>0</v>
      </c>
      <c r="O101">
        <v>0</v>
      </c>
      <c r="P101">
        <v>0</v>
      </c>
      <c r="Q101">
        <v>0</v>
      </c>
      <c r="R101">
        <v>0</v>
      </c>
      <c r="S101">
        <v>0</v>
      </c>
      <c r="AQ101">
        <v>0</v>
      </c>
      <c r="AR101">
        <v>265.125</v>
      </c>
      <c r="AS101">
        <v>0</v>
      </c>
    </row>
    <row r="102" spans="1:45" hidden="1">
      <c r="A102" t="s">
        <v>26</v>
      </c>
      <c r="B102" t="s">
        <v>640</v>
      </c>
      <c r="C102" t="s">
        <v>715</v>
      </c>
      <c r="D102" t="s">
        <v>492</v>
      </c>
      <c r="E102" t="s">
        <v>231</v>
      </c>
      <c r="F102" t="s">
        <v>493</v>
      </c>
      <c r="G102" t="s">
        <v>494</v>
      </c>
      <c r="H102">
        <v>0</v>
      </c>
      <c r="I102">
        <v>0</v>
      </c>
      <c r="J102">
        <v>0</v>
      </c>
      <c r="K102">
        <v>0</v>
      </c>
      <c r="L102">
        <v>0</v>
      </c>
      <c r="M102">
        <v>0</v>
      </c>
      <c r="N102">
        <v>0</v>
      </c>
      <c r="O102">
        <v>0</v>
      </c>
      <c r="P102">
        <v>0</v>
      </c>
      <c r="Q102">
        <v>0</v>
      </c>
      <c r="R102">
        <v>0</v>
      </c>
      <c r="S102">
        <v>0</v>
      </c>
      <c r="AQ102">
        <v>0</v>
      </c>
      <c r="AR102">
        <v>742.35</v>
      </c>
      <c r="AS102">
        <v>0</v>
      </c>
    </row>
    <row r="103" spans="1:45" hidden="1">
      <c r="A103" t="s">
        <v>26</v>
      </c>
      <c r="B103" t="s">
        <v>640</v>
      </c>
      <c r="C103" t="s">
        <v>716</v>
      </c>
      <c r="D103" t="s">
        <v>495</v>
      </c>
      <c r="E103" t="s">
        <v>231</v>
      </c>
      <c r="F103" t="s">
        <v>496</v>
      </c>
      <c r="G103" t="s">
        <v>497</v>
      </c>
      <c r="H103">
        <v>0</v>
      </c>
      <c r="I103">
        <v>0</v>
      </c>
      <c r="J103">
        <v>0</v>
      </c>
      <c r="K103">
        <v>0</v>
      </c>
      <c r="L103">
        <v>0</v>
      </c>
      <c r="M103">
        <v>0</v>
      </c>
      <c r="N103">
        <v>0</v>
      </c>
      <c r="O103">
        <v>0</v>
      </c>
      <c r="P103">
        <v>0</v>
      </c>
      <c r="Q103">
        <v>0</v>
      </c>
      <c r="R103">
        <v>0</v>
      </c>
      <c r="S103">
        <v>0</v>
      </c>
      <c r="AQ103">
        <v>0</v>
      </c>
      <c r="AR103">
        <v>848.4</v>
      </c>
      <c r="AS103">
        <v>0</v>
      </c>
    </row>
    <row r="104" spans="1:45" hidden="1">
      <c r="A104" t="s">
        <v>26</v>
      </c>
      <c r="B104" t="s">
        <v>640</v>
      </c>
      <c r="C104" t="s">
        <v>717</v>
      </c>
      <c r="D104" t="s">
        <v>498</v>
      </c>
      <c r="E104" t="s">
        <v>242</v>
      </c>
      <c r="F104" t="s">
        <v>499</v>
      </c>
      <c r="G104" t="s">
        <v>500</v>
      </c>
      <c r="H104">
        <v>6274</v>
      </c>
      <c r="I104">
        <v>3800</v>
      </c>
      <c r="J104">
        <v>370.68</v>
      </c>
      <c r="K104">
        <v>1765.4</v>
      </c>
      <c r="L104">
        <v>890</v>
      </c>
      <c r="M104">
        <v>50</v>
      </c>
      <c r="N104">
        <v>2396.33</v>
      </c>
      <c r="O104">
        <v>791.82</v>
      </c>
      <c r="P104">
        <v>836.98</v>
      </c>
      <c r="Q104">
        <v>2700</v>
      </c>
      <c r="R104">
        <v>311</v>
      </c>
      <c r="S104">
        <v>0</v>
      </c>
      <c r="AQ104">
        <v>20186.21</v>
      </c>
      <c r="AR104">
        <v>1.4341999999999999</v>
      </c>
      <c r="AS104">
        <v>28951.062382</v>
      </c>
    </row>
    <row r="105" spans="1:45" hidden="1">
      <c r="A105" t="s">
        <v>26</v>
      </c>
      <c r="B105" t="s">
        <v>640</v>
      </c>
      <c r="C105" t="s">
        <v>718</v>
      </c>
      <c r="D105" t="s">
        <v>504</v>
      </c>
      <c r="E105" t="s">
        <v>242</v>
      </c>
      <c r="F105" t="s">
        <v>505</v>
      </c>
      <c r="G105" t="s">
        <v>506</v>
      </c>
      <c r="H105">
        <v>3500</v>
      </c>
      <c r="I105">
        <v>0</v>
      </c>
      <c r="J105">
        <v>0</v>
      </c>
      <c r="K105">
        <v>0</v>
      </c>
      <c r="L105">
        <v>0</v>
      </c>
      <c r="M105">
        <v>1200</v>
      </c>
      <c r="N105">
        <v>0</v>
      </c>
      <c r="O105">
        <v>0</v>
      </c>
      <c r="P105">
        <v>0</v>
      </c>
      <c r="Q105">
        <v>300</v>
      </c>
      <c r="R105">
        <v>0</v>
      </c>
      <c r="S105">
        <v>0</v>
      </c>
      <c r="AQ105">
        <v>5000</v>
      </c>
      <c r="AR105">
        <v>0.84840000000000004</v>
      </c>
      <c r="AS105">
        <v>4242</v>
      </c>
    </row>
    <row r="106" spans="1:45" hidden="1">
      <c r="A106" t="s">
        <v>26</v>
      </c>
      <c r="B106" t="s">
        <v>640</v>
      </c>
      <c r="C106" t="s">
        <v>719</v>
      </c>
      <c r="D106" t="s">
        <v>501</v>
      </c>
      <c r="E106" t="s">
        <v>242</v>
      </c>
      <c r="F106" t="s">
        <v>502</v>
      </c>
      <c r="G106" t="s">
        <v>503</v>
      </c>
      <c r="H106">
        <v>0</v>
      </c>
      <c r="I106">
        <v>0</v>
      </c>
      <c r="J106">
        <v>0</v>
      </c>
      <c r="K106">
        <v>0</v>
      </c>
      <c r="L106">
        <v>0</v>
      </c>
      <c r="M106">
        <v>0</v>
      </c>
      <c r="N106">
        <v>0</v>
      </c>
      <c r="O106">
        <v>0</v>
      </c>
      <c r="P106">
        <v>0</v>
      </c>
      <c r="Q106">
        <v>1</v>
      </c>
      <c r="R106">
        <v>0</v>
      </c>
      <c r="S106">
        <v>0</v>
      </c>
      <c r="AQ106">
        <v>1</v>
      </c>
      <c r="AR106">
        <v>1272.5999999999999</v>
      </c>
      <c r="AS106">
        <v>1272.5999999999999</v>
      </c>
    </row>
    <row r="107" spans="1:45" hidden="1">
      <c r="A107" t="s">
        <v>26</v>
      </c>
      <c r="B107" t="s">
        <v>640</v>
      </c>
      <c r="C107" t="s">
        <v>720</v>
      </c>
      <c r="D107" t="s">
        <v>518</v>
      </c>
      <c r="E107" t="s">
        <v>242</v>
      </c>
      <c r="F107" t="s">
        <v>519</v>
      </c>
      <c r="G107" t="s">
        <v>517</v>
      </c>
      <c r="H107">
        <v>0</v>
      </c>
      <c r="I107">
        <v>0</v>
      </c>
      <c r="J107">
        <v>0</v>
      </c>
      <c r="K107">
        <v>0</v>
      </c>
      <c r="L107">
        <v>0</v>
      </c>
      <c r="M107">
        <v>0</v>
      </c>
      <c r="N107">
        <v>0</v>
      </c>
      <c r="O107">
        <v>0</v>
      </c>
      <c r="P107">
        <v>0</v>
      </c>
      <c r="Q107">
        <v>0</v>
      </c>
      <c r="R107">
        <v>0</v>
      </c>
      <c r="S107">
        <v>0</v>
      </c>
      <c r="AQ107">
        <v>0</v>
      </c>
      <c r="AR107">
        <v>3181.5</v>
      </c>
      <c r="AS107">
        <v>0</v>
      </c>
    </row>
    <row r="108" spans="1:45" hidden="1">
      <c r="A108" t="s">
        <v>26</v>
      </c>
      <c r="B108" t="s">
        <v>640</v>
      </c>
      <c r="C108" t="s">
        <v>721</v>
      </c>
      <c r="D108" t="s">
        <v>520</v>
      </c>
      <c r="E108" t="s">
        <v>242</v>
      </c>
      <c r="F108" t="s">
        <v>521</v>
      </c>
      <c r="G108" t="s">
        <v>517</v>
      </c>
      <c r="H108">
        <v>0</v>
      </c>
      <c r="I108">
        <v>0</v>
      </c>
      <c r="J108">
        <v>0</v>
      </c>
      <c r="K108">
        <v>0</v>
      </c>
      <c r="L108">
        <v>0</v>
      </c>
      <c r="M108">
        <v>0</v>
      </c>
      <c r="N108">
        <v>0</v>
      </c>
      <c r="O108">
        <v>0</v>
      </c>
      <c r="P108">
        <v>0</v>
      </c>
      <c r="Q108">
        <v>0</v>
      </c>
      <c r="R108">
        <v>0</v>
      </c>
      <c r="S108">
        <v>0</v>
      </c>
      <c r="AQ108">
        <v>0</v>
      </c>
      <c r="AR108">
        <v>2651.25</v>
      </c>
      <c r="AS108">
        <v>0</v>
      </c>
    </row>
    <row r="109" spans="1:45" hidden="1">
      <c r="A109" t="s">
        <v>26</v>
      </c>
      <c r="B109" t="s">
        <v>640</v>
      </c>
      <c r="C109" t="s">
        <v>240</v>
      </c>
      <c r="D109" t="s">
        <v>241</v>
      </c>
      <c r="E109" t="s">
        <v>242</v>
      </c>
      <c r="F109" t="s">
        <v>243</v>
      </c>
      <c r="G109" t="s">
        <v>244</v>
      </c>
      <c r="H109">
        <v>0</v>
      </c>
      <c r="I109">
        <v>0</v>
      </c>
      <c r="J109">
        <v>0</v>
      </c>
      <c r="K109">
        <v>0</v>
      </c>
      <c r="L109">
        <v>0</v>
      </c>
      <c r="M109">
        <v>0</v>
      </c>
      <c r="N109">
        <v>0</v>
      </c>
      <c r="O109">
        <v>0</v>
      </c>
      <c r="P109">
        <v>0</v>
      </c>
      <c r="Q109">
        <v>2</v>
      </c>
      <c r="R109">
        <v>0</v>
      </c>
      <c r="S109">
        <v>0</v>
      </c>
      <c r="AQ109">
        <v>2</v>
      </c>
      <c r="AR109">
        <v>318.14999999999998</v>
      </c>
      <c r="AS109">
        <v>636.29999999999995</v>
      </c>
    </row>
    <row r="110" spans="1:45" hidden="1">
      <c r="A110" t="s">
        <v>26</v>
      </c>
      <c r="B110" t="s">
        <v>640</v>
      </c>
      <c r="C110" t="s">
        <v>245</v>
      </c>
      <c r="D110" t="s">
        <v>246</v>
      </c>
      <c r="E110" t="s">
        <v>242</v>
      </c>
      <c r="F110" t="s">
        <v>247</v>
      </c>
      <c r="G110" t="s">
        <v>248</v>
      </c>
      <c r="H110">
        <v>3</v>
      </c>
      <c r="I110">
        <v>0</v>
      </c>
      <c r="J110">
        <v>0</v>
      </c>
      <c r="K110">
        <v>0</v>
      </c>
      <c r="L110">
        <v>0</v>
      </c>
      <c r="M110">
        <v>0</v>
      </c>
      <c r="N110">
        <v>1</v>
      </c>
      <c r="O110">
        <v>2</v>
      </c>
      <c r="P110">
        <v>0</v>
      </c>
      <c r="Q110">
        <v>2</v>
      </c>
      <c r="R110">
        <v>0</v>
      </c>
      <c r="S110">
        <v>0</v>
      </c>
      <c r="AQ110">
        <v>8</v>
      </c>
      <c r="AR110">
        <v>265.125</v>
      </c>
      <c r="AS110">
        <v>2121</v>
      </c>
    </row>
    <row r="111" spans="1:45" hidden="1">
      <c r="A111" t="s">
        <v>26</v>
      </c>
      <c r="B111" t="s">
        <v>640</v>
      </c>
      <c r="C111" t="s">
        <v>259</v>
      </c>
      <c r="D111" t="s">
        <v>260</v>
      </c>
      <c r="E111" t="s">
        <v>242</v>
      </c>
      <c r="F111" t="s">
        <v>261</v>
      </c>
      <c r="G111" t="s">
        <v>262</v>
      </c>
      <c r="H111">
        <v>2</v>
      </c>
      <c r="I111">
        <v>2</v>
      </c>
      <c r="J111">
        <v>0</v>
      </c>
      <c r="K111">
        <v>0</v>
      </c>
      <c r="L111">
        <v>0</v>
      </c>
      <c r="M111">
        <v>0</v>
      </c>
      <c r="N111">
        <v>1</v>
      </c>
      <c r="O111">
        <v>0</v>
      </c>
      <c r="P111">
        <v>0</v>
      </c>
      <c r="Q111">
        <v>1</v>
      </c>
      <c r="R111">
        <v>0</v>
      </c>
      <c r="S111">
        <v>1</v>
      </c>
      <c r="AQ111">
        <v>7</v>
      </c>
      <c r="AR111">
        <v>318.14999999999998</v>
      </c>
      <c r="AS111">
        <v>2227.0500000000002</v>
      </c>
    </row>
    <row r="112" spans="1:45" hidden="1">
      <c r="A112" t="s">
        <v>26</v>
      </c>
      <c r="B112" t="s">
        <v>640</v>
      </c>
      <c r="C112" t="s">
        <v>722</v>
      </c>
      <c r="D112" t="s">
        <v>507</v>
      </c>
      <c r="E112" t="s">
        <v>242</v>
      </c>
      <c r="F112" t="s">
        <v>508</v>
      </c>
      <c r="G112" t="s">
        <v>509</v>
      </c>
      <c r="H112">
        <v>0</v>
      </c>
      <c r="I112">
        <v>0</v>
      </c>
      <c r="J112">
        <v>0</v>
      </c>
      <c r="K112">
        <v>0</v>
      </c>
      <c r="L112">
        <v>0</v>
      </c>
      <c r="M112">
        <v>0</v>
      </c>
      <c r="N112">
        <v>0</v>
      </c>
      <c r="O112">
        <v>0</v>
      </c>
      <c r="P112">
        <v>0</v>
      </c>
      <c r="Q112">
        <v>0</v>
      </c>
      <c r="R112">
        <v>0</v>
      </c>
      <c r="S112">
        <v>0</v>
      </c>
      <c r="AQ112">
        <v>0</v>
      </c>
      <c r="AR112">
        <v>2121</v>
      </c>
      <c r="AS112">
        <v>0</v>
      </c>
    </row>
    <row r="113" spans="1:45" hidden="1">
      <c r="A113" t="s">
        <v>26</v>
      </c>
      <c r="B113" t="s">
        <v>640</v>
      </c>
      <c r="C113" t="s">
        <v>723</v>
      </c>
      <c r="D113" t="s">
        <v>510</v>
      </c>
      <c r="E113" t="s">
        <v>242</v>
      </c>
      <c r="F113" t="s">
        <v>511</v>
      </c>
      <c r="G113" t="s">
        <v>512</v>
      </c>
      <c r="H113">
        <v>0</v>
      </c>
      <c r="I113">
        <v>0</v>
      </c>
      <c r="J113">
        <v>0</v>
      </c>
      <c r="K113">
        <v>0</v>
      </c>
      <c r="L113">
        <v>0</v>
      </c>
      <c r="M113">
        <v>0</v>
      </c>
      <c r="N113">
        <v>0</v>
      </c>
      <c r="O113">
        <v>0</v>
      </c>
      <c r="P113">
        <v>0</v>
      </c>
      <c r="Q113">
        <v>1</v>
      </c>
      <c r="R113">
        <v>0</v>
      </c>
      <c r="S113">
        <v>1</v>
      </c>
      <c r="AQ113">
        <v>2</v>
      </c>
      <c r="AR113">
        <v>212.1</v>
      </c>
      <c r="AS113">
        <v>424.2</v>
      </c>
    </row>
    <row r="114" spans="1:45" hidden="1">
      <c r="A114" t="s">
        <v>26</v>
      </c>
      <c r="B114" t="s">
        <v>640</v>
      </c>
      <c r="C114" t="s">
        <v>724</v>
      </c>
      <c r="D114" t="s">
        <v>526</v>
      </c>
      <c r="E114" t="s">
        <v>242</v>
      </c>
      <c r="F114" t="s">
        <v>527</v>
      </c>
      <c r="G114" t="s">
        <v>528</v>
      </c>
      <c r="H114">
        <v>0</v>
      </c>
      <c r="I114">
        <v>0</v>
      </c>
      <c r="J114">
        <v>0</v>
      </c>
      <c r="K114">
        <v>3123.35</v>
      </c>
      <c r="L114">
        <v>0</v>
      </c>
      <c r="M114">
        <v>0</v>
      </c>
      <c r="N114">
        <v>0</v>
      </c>
      <c r="O114">
        <v>824</v>
      </c>
      <c r="P114">
        <v>3400</v>
      </c>
      <c r="Q114">
        <v>0</v>
      </c>
      <c r="R114">
        <v>600</v>
      </c>
      <c r="S114">
        <v>0</v>
      </c>
      <c r="AQ114">
        <v>7947.35</v>
      </c>
      <c r="AR114">
        <v>0.42420000000000002</v>
      </c>
      <c r="AS114">
        <v>3371.2658700000002</v>
      </c>
    </row>
    <row r="115" spans="1:45" hidden="1">
      <c r="A115" t="s">
        <v>26</v>
      </c>
      <c r="B115" t="s">
        <v>640</v>
      </c>
      <c r="C115" t="s">
        <v>725</v>
      </c>
      <c r="D115" t="s">
        <v>529</v>
      </c>
      <c r="E115" t="s">
        <v>242</v>
      </c>
      <c r="F115" t="s">
        <v>530</v>
      </c>
      <c r="G115" t="s">
        <v>531</v>
      </c>
      <c r="H115">
        <v>0</v>
      </c>
      <c r="I115">
        <v>0</v>
      </c>
      <c r="J115">
        <v>0</v>
      </c>
      <c r="K115">
        <v>0</v>
      </c>
      <c r="L115">
        <v>0</v>
      </c>
      <c r="M115">
        <v>0</v>
      </c>
      <c r="N115">
        <v>0</v>
      </c>
      <c r="O115">
        <v>0</v>
      </c>
      <c r="P115">
        <v>0</v>
      </c>
      <c r="Q115">
        <v>0</v>
      </c>
      <c r="R115">
        <v>0</v>
      </c>
      <c r="S115">
        <v>0</v>
      </c>
      <c r="AQ115">
        <v>0</v>
      </c>
      <c r="AR115">
        <v>212.1</v>
      </c>
      <c r="AS115">
        <v>0</v>
      </c>
    </row>
    <row r="116" spans="1:45" hidden="1">
      <c r="A116" t="s">
        <v>26</v>
      </c>
      <c r="B116" t="s">
        <v>640</v>
      </c>
      <c r="C116" t="s">
        <v>726</v>
      </c>
      <c r="D116" t="s">
        <v>532</v>
      </c>
      <c r="E116" t="s">
        <v>242</v>
      </c>
      <c r="F116" t="s">
        <v>533</v>
      </c>
      <c r="G116" t="s">
        <v>534</v>
      </c>
      <c r="H116">
        <v>0</v>
      </c>
      <c r="I116">
        <v>0</v>
      </c>
      <c r="J116">
        <v>0</v>
      </c>
      <c r="K116">
        <v>0</v>
      </c>
      <c r="L116">
        <v>0</v>
      </c>
      <c r="M116">
        <v>0</v>
      </c>
      <c r="N116">
        <v>0</v>
      </c>
      <c r="O116">
        <v>15</v>
      </c>
      <c r="P116">
        <v>5</v>
      </c>
      <c r="Q116">
        <v>0</v>
      </c>
      <c r="R116">
        <v>10</v>
      </c>
      <c r="S116">
        <v>0</v>
      </c>
      <c r="AQ116">
        <v>30</v>
      </c>
      <c r="AR116">
        <v>21.21</v>
      </c>
      <c r="AS116">
        <v>636.29999999999995</v>
      </c>
    </row>
    <row r="117" spans="1:45" hidden="1">
      <c r="A117" t="s">
        <v>26</v>
      </c>
      <c r="B117" t="s">
        <v>640</v>
      </c>
      <c r="C117" t="s">
        <v>727</v>
      </c>
      <c r="D117" t="s">
        <v>287</v>
      </c>
      <c r="E117" t="s">
        <v>242</v>
      </c>
      <c r="F117" t="s">
        <v>537</v>
      </c>
      <c r="G117" t="s">
        <v>538</v>
      </c>
      <c r="H117">
        <v>0</v>
      </c>
      <c r="I117">
        <v>0</v>
      </c>
      <c r="J117">
        <v>0</v>
      </c>
      <c r="K117">
        <v>0</v>
      </c>
      <c r="L117">
        <v>0</v>
      </c>
      <c r="M117">
        <v>0</v>
      </c>
      <c r="N117">
        <v>0</v>
      </c>
      <c r="O117">
        <v>0</v>
      </c>
      <c r="P117">
        <v>0</v>
      </c>
      <c r="Q117">
        <v>0</v>
      </c>
      <c r="R117">
        <v>0</v>
      </c>
      <c r="S117">
        <v>0</v>
      </c>
      <c r="AQ117">
        <v>0</v>
      </c>
      <c r="AR117">
        <v>127.26</v>
      </c>
      <c r="AS117">
        <v>0</v>
      </c>
    </row>
    <row r="118" spans="1:45" hidden="1">
      <c r="A118" t="s">
        <v>26</v>
      </c>
      <c r="B118" t="s">
        <v>640</v>
      </c>
      <c r="C118" t="s">
        <v>728</v>
      </c>
      <c r="D118" t="s">
        <v>287</v>
      </c>
      <c r="E118" t="s">
        <v>242</v>
      </c>
      <c r="F118" t="s">
        <v>535</v>
      </c>
      <c r="G118" t="s">
        <v>536</v>
      </c>
      <c r="H118">
        <v>0</v>
      </c>
      <c r="I118">
        <v>0</v>
      </c>
      <c r="J118">
        <v>0</v>
      </c>
      <c r="K118">
        <v>0</v>
      </c>
      <c r="L118">
        <v>0</v>
      </c>
      <c r="M118">
        <v>0</v>
      </c>
      <c r="N118">
        <v>0</v>
      </c>
      <c r="O118">
        <v>0</v>
      </c>
      <c r="P118">
        <v>0</v>
      </c>
      <c r="Q118">
        <v>0</v>
      </c>
      <c r="R118">
        <v>0</v>
      </c>
      <c r="S118">
        <v>0</v>
      </c>
      <c r="AQ118">
        <v>0</v>
      </c>
      <c r="AR118">
        <v>424.2</v>
      </c>
      <c r="AS118">
        <v>0</v>
      </c>
    </row>
    <row r="119" spans="1:45" hidden="1">
      <c r="A119" t="s">
        <v>26</v>
      </c>
      <c r="B119" t="s">
        <v>640</v>
      </c>
      <c r="C119" t="s">
        <v>729</v>
      </c>
      <c r="D119" t="s">
        <v>522</v>
      </c>
      <c r="E119" t="s">
        <v>242</v>
      </c>
      <c r="F119" t="s">
        <v>523</v>
      </c>
      <c r="G119" t="s">
        <v>517</v>
      </c>
      <c r="H119">
        <v>0</v>
      </c>
      <c r="I119">
        <v>0</v>
      </c>
      <c r="J119">
        <v>0</v>
      </c>
      <c r="K119">
        <v>0</v>
      </c>
      <c r="L119">
        <v>0</v>
      </c>
      <c r="M119">
        <v>0</v>
      </c>
      <c r="N119">
        <v>0</v>
      </c>
      <c r="O119">
        <v>0</v>
      </c>
      <c r="P119">
        <v>0</v>
      </c>
      <c r="Q119">
        <v>0</v>
      </c>
      <c r="R119">
        <v>0</v>
      </c>
      <c r="S119">
        <v>0</v>
      </c>
      <c r="AQ119">
        <v>0</v>
      </c>
      <c r="AR119">
        <v>1272.5999999999999</v>
      </c>
      <c r="AS119">
        <v>0</v>
      </c>
    </row>
    <row r="120" spans="1:45" hidden="1">
      <c r="A120" t="s">
        <v>26</v>
      </c>
      <c r="B120" t="s">
        <v>640</v>
      </c>
      <c r="C120" t="s">
        <v>730</v>
      </c>
      <c r="D120" t="s">
        <v>515</v>
      </c>
      <c r="E120" t="s">
        <v>242</v>
      </c>
      <c r="F120" t="s">
        <v>516</v>
      </c>
      <c r="G120" t="s">
        <v>517</v>
      </c>
      <c r="H120">
        <v>0</v>
      </c>
      <c r="I120">
        <v>0</v>
      </c>
      <c r="J120">
        <v>0</v>
      </c>
      <c r="K120">
        <v>0</v>
      </c>
      <c r="L120">
        <v>0</v>
      </c>
      <c r="M120">
        <v>0</v>
      </c>
      <c r="N120">
        <v>0</v>
      </c>
      <c r="O120">
        <v>0</v>
      </c>
      <c r="P120">
        <v>0</v>
      </c>
      <c r="Q120">
        <v>0</v>
      </c>
      <c r="R120">
        <v>0</v>
      </c>
      <c r="S120">
        <v>0</v>
      </c>
      <c r="AQ120">
        <v>0</v>
      </c>
      <c r="AR120">
        <v>3181.5</v>
      </c>
      <c r="AS120">
        <v>0</v>
      </c>
    </row>
    <row r="121" spans="1:45" hidden="1">
      <c r="A121" t="s">
        <v>26</v>
      </c>
      <c r="B121" t="s">
        <v>640</v>
      </c>
      <c r="C121" t="s">
        <v>731</v>
      </c>
      <c r="D121" t="s">
        <v>524</v>
      </c>
      <c r="E121" t="s">
        <v>242</v>
      </c>
      <c r="F121" t="s">
        <v>525</v>
      </c>
      <c r="G121" t="s">
        <v>503</v>
      </c>
      <c r="H121">
        <v>0</v>
      </c>
      <c r="I121">
        <v>0</v>
      </c>
      <c r="J121">
        <v>0</v>
      </c>
      <c r="K121">
        <v>0</v>
      </c>
      <c r="L121">
        <v>0</v>
      </c>
      <c r="M121">
        <v>0</v>
      </c>
      <c r="N121">
        <v>0</v>
      </c>
      <c r="O121">
        <v>0</v>
      </c>
      <c r="P121">
        <v>0</v>
      </c>
      <c r="Q121">
        <v>0</v>
      </c>
      <c r="R121">
        <v>0</v>
      </c>
      <c r="S121">
        <v>0</v>
      </c>
      <c r="AQ121">
        <v>0</v>
      </c>
      <c r="AR121">
        <v>15907.5</v>
      </c>
      <c r="AS121">
        <v>0</v>
      </c>
    </row>
    <row r="122" spans="1:45" hidden="1">
      <c r="A122" t="s">
        <v>26</v>
      </c>
      <c r="B122" t="s">
        <v>640</v>
      </c>
      <c r="C122" t="s">
        <v>732</v>
      </c>
      <c r="D122" t="s">
        <v>513</v>
      </c>
      <c r="E122" t="s">
        <v>242</v>
      </c>
      <c r="F122" t="s">
        <v>514</v>
      </c>
      <c r="G122" t="s">
        <v>453</v>
      </c>
      <c r="H122">
        <v>0</v>
      </c>
      <c r="I122">
        <v>0</v>
      </c>
      <c r="J122">
        <v>0</v>
      </c>
      <c r="K122">
        <v>0</v>
      </c>
      <c r="L122">
        <v>0</v>
      </c>
      <c r="M122">
        <v>0</v>
      </c>
      <c r="N122">
        <v>0</v>
      </c>
      <c r="O122">
        <v>0</v>
      </c>
      <c r="P122">
        <v>0</v>
      </c>
      <c r="Q122">
        <v>0</v>
      </c>
      <c r="R122">
        <v>0</v>
      </c>
      <c r="S122">
        <v>0</v>
      </c>
      <c r="AQ122">
        <v>0</v>
      </c>
      <c r="AR122">
        <v>848.4</v>
      </c>
      <c r="AS122">
        <v>0</v>
      </c>
    </row>
    <row r="123" spans="1:45" hidden="1">
      <c r="A123" t="s">
        <v>26</v>
      </c>
      <c r="B123" t="s">
        <v>640</v>
      </c>
      <c r="C123" t="s">
        <v>733</v>
      </c>
      <c r="D123" t="s">
        <v>287</v>
      </c>
      <c r="E123" t="s">
        <v>242</v>
      </c>
      <c r="F123" t="s">
        <v>539</v>
      </c>
      <c r="G123" t="s">
        <v>540</v>
      </c>
      <c r="H123">
        <v>2000</v>
      </c>
      <c r="I123">
        <v>1500</v>
      </c>
      <c r="J123">
        <v>200</v>
      </c>
      <c r="K123">
        <v>500</v>
      </c>
      <c r="L123">
        <v>1000</v>
      </c>
      <c r="M123">
        <v>0</v>
      </c>
      <c r="N123">
        <v>1000</v>
      </c>
      <c r="O123">
        <v>0</v>
      </c>
      <c r="P123">
        <v>2000</v>
      </c>
      <c r="Q123">
        <v>0</v>
      </c>
      <c r="R123">
        <v>0</v>
      </c>
      <c r="S123">
        <v>0</v>
      </c>
      <c r="AQ123">
        <v>8200</v>
      </c>
      <c r="AR123">
        <v>8.08</v>
      </c>
      <c r="AS123">
        <v>66256</v>
      </c>
    </row>
    <row r="124" spans="1:45" hidden="1">
      <c r="A124" t="s">
        <v>26</v>
      </c>
      <c r="B124" t="s">
        <v>640</v>
      </c>
      <c r="C124" t="s">
        <v>734</v>
      </c>
      <c r="D124" t="s">
        <v>287</v>
      </c>
      <c r="E124" t="s">
        <v>242</v>
      </c>
      <c r="F124" t="s">
        <v>541</v>
      </c>
      <c r="G124" t="s">
        <v>540</v>
      </c>
      <c r="H124">
        <v>4000</v>
      </c>
      <c r="I124">
        <v>3000</v>
      </c>
      <c r="J124">
        <v>800</v>
      </c>
      <c r="K124">
        <v>2000</v>
      </c>
      <c r="L124">
        <v>2000</v>
      </c>
      <c r="M124">
        <v>0</v>
      </c>
      <c r="N124">
        <v>3000</v>
      </c>
      <c r="O124">
        <v>3000</v>
      </c>
      <c r="P124">
        <v>500</v>
      </c>
      <c r="Q124">
        <v>1000</v>
      </c>
      <c r="R124">
        <v>1000</v>
      </c>
      <c r="S124">
        <v>500</v>
      </c>
      <c r="AQ124">
        <v>20800</v>
      </c>
      <c r="AR124">
        <v>7.4740000000000002</v>
      </c>
      <c r="AS124">
        <v>155459.20000000001</v>
      </c>
    </row>
    <row r="125" spans="1:45" hidden="1">
      <c r="A125" t="s">
        <v>26</v>
      </c>
      <c r="B125" t="s">
        <v>640</v>
      </c>
      <c r="C125" t="s">
        <v>735</v>
      </c>
      <c r="D125" t="s">
        <v>543</v>
      </c>
      <c r="E125" t="s">
        <v>542</v>
      </c>
      <c r="F125" t="s">
        <v>544</v>
      </c>
      <c r="G125" t="s">
        <v>545</v>
      </c>
      <c r="N125">
        <v>0</v>
      </c>
      <c r="O125">
        <v>0</v>
      </c>
      <c r="P125">
        <v>0</v>
      </c>
      <c r="Q125">
        <v>0</v>
      </c>
      <c r="R125">
        <v>0</v>
      </c>
      <c r="S125">
        <v>0</v>
      </c>
      <c r="AQ125">
        <v>0</v>
      </c>
      <c r="AR125">
        <v>0</v>
      </c>
      <c r="AS125">
        <v>0</v>
      </c>
    </row>
    <row r="126" spans="1:45" hidden="1">
      <c r="A126" t="s">
        <v>26</v>
      </c>
      <c r="B126" t="s">
        <v>640</v>
      </c>
      <c r="C126" t="s">
        <v>286</v>
      </c>
      <c r="D126" t="s">
        <v>287</v>
      </c>
      <c r="E126" t="s">
        <v>288</v>
      </c>
      <c r="F126" t="s">
        <v>289</v>
      </c>
      <c r="G126" t="s">
        <v>547</v>
      </c>
      <c r="AQ126">
        <v>0</v>
      </c>
      <c r="AR126">
        <v>0.05</v>
      </c>
      <c r="AS126">
        <v>26919.54825</v>
      </c>
    </row>
    <row r="127" spans="1:45" hidden="1">
      <c r="A127" t="s">
        <v>26</v>
      </c>
      <c r="B127" t="s">
        <v>640</v>
      </c>
      <c r="C127" t="s">
        <v>291</v>
      </c>
      <c r="D127" t="s">
        <v>287</v>
      </c>
      <c r="E127" t="s">
        <v>288</v>
      </c>
      <c r="F127" t="s">
        <v>292</v>
      </c>
      <c r="G127" t="s">
        <v>293</v>
      </c>
      <c r="AQ127">
        <v>0</v>
      </c>
      <c r="AR127">
        <v>6.0600000000000001E-2</v>
      </c>
      <c r="AS127">
        <v>0</v>
      </c>
    </row>
    <row r="128" spans="1:45" hidden="1">
      <c r="A128" t="s">
        <v>26</v>
      </c>
      <c r="B128" t="s">
        <v>640</v>
      </c>
      <c r="C128" t="s">
        <v>736</v>
      </c>
      <c r="D128" t="s">
        <v>287</v>
      </c>
      <c r="E128" t="s">
        <v>288</v>
      </c>
      <c r="F128" t="s">
        <v>550</v>
      </c>
      <c r="G128" t="s">
        <v>293</v>
      </c>
      <c r="AQ128">
        <v>0</v>
      </c>
      <c r="AR128">
        <v>5.0500000000000003E-2</v>
      </c>
      <c r="AS128">
        <v>0</v>
      </c>
    </row>
    <row r="129" spans="1:45" hidden="1">
      <c r="A129" t="s">
        <v>26</v>
      </c>
      <c r="B129" t="s">
        <v>640</v>
      </c>
      <c r="C129" t="s">
        <v>737</v>
      </c>
      <c r="D129" t="s">
        <v>287</v>
      </c>
      <c r="E129" t="s">
        <v>288</v>
      </c>
      <c r="F129" t="s">
        <v>548</v>
      </c>
      <c r="G129" t="s">
        <v>293</v>
      </c>
      <c r="AQ129">
        <v>0</v>
      </c>
      <c r="AR129">
        <v>0.1111</v>
      </c>
      <c r="AS129">
        <v>0</v>
      </c>
    </row>
    <row r="130" spans="1:45" hidden="1">
      <c r="A130" t="s">
        <v>26</v>
      </c>
      <c r="B130" t="s">
        <v>640</v>
      </c>
      <c r="C130" t="s">
        <v>738</v>
      </c>
      <c r="D130" t="s">
        <v>287</v>
      </c>
      <c r="E130" t="s">
        <v>288</v>
      </c>
      <c r="F130" t="s">
        <v>549</v>
      </c>
      <c r="G130" t="s">
        <v>293</v>
      </c>
      <c r="AQ130">
        <v>0</v>
      </c>
      <c r="AR130">
        <v>0.10100000000000001</v>
      </c>
      <c r="AS130">
        <v>0</v>
      </c>
    </row>
    <row r="131" spans="1:45" hidden="1">
      <c r="A131" t="s">
        <v>24</v>
      </c>
      <c r="B131" t="s">
        <v>739</v>
      </c>
      <c r="C131" t="s">
        <v>641</v>
      </c>
      <c r="D131" t="s">
        <v>324</v>
      </c>
      <c r="E131" t="s">
        <v>323</v>
      </c>
      <c r="F131" t="s">
        <v>325</v>
      </c>
      <c r="G131" t="s">
        <v>326</v>
      </c>
      <c r="AQ131">
        <v>0</v>
      </c>
      <c r="AR131">
        <v>1.35E-2</v>
      </c>
      <c r="AS131">
        <v>0</v>
      </c>
    </row>
    <row r="132" spans="1:45" hidden="1">
      <c r="A132" t="s">
        <v>24</v>
      </c>
      <c r="B132" t="s">
        <v>739</v>
      </c>
      <c r="C132" t="s">
        <v>642</v>
      </c>
      <c r="D132" t="s">
        <v>327</v>
      </c>
      <c r="E132" t="s">
        <v>323</v>
      </c>
      <c r="F132" t="s">
        <v>328</v>
      </c>
      <c r="G132" t="s">
        <v>329</v>
      </c>
      <c r="AQ132">
        <v>0</v>
      </c>
      <c r="AR132">
        <v>5.9330000000000001E-2</v>
      </c>
      <c r="AS132">
        <v>0</v>
      </c>
    </row>
    <row r="133" spans="1:45" hidden="1">
      <c r="A133" t="s">
        <v>24</v>
      </c>
      <c r="B133" t="s">
        <v>739</v>
      </c>
      <c r="C133" t="s">
        <v>643</v>
      </c>
      <c r="D133" t="s">
        <v>330</v>
      </c>
      <c r="E133" t="s">
        <v>323</v>
      </c>
      <c r="F133" t="s">
        <v>331</v>
      </c>
      <c r="G133" t="s">
        <v>740</v>
      </c>
      <c r="AQ133">
        <v>0</v>
      </c>
      <c r="AR133">
        <v>0.1</v>
      </c>
      <c r="AS133">
        <v>0</v>
      </c>
    </row>
    <row r="134" spans="1:45" hidden="1">
      <c r="A134" t="s">
        <v>24</v>
      </c>
      <c r="B134" t="s">
        <v>739</v>
      </c>
      <c r="C134" t="s">
        <v>644</v>
      </c>
      <c r="D134" t="s">
        <v>332</v>
      </c>
      <c r="E134" t="s">
        <v>323</v>
      </c>
      <c r="F134" t="s">
        <v>333</v>
      </c>
      <c r="G134" t="s">
        <v>740</v>
      </c>
      <c r="AQ134">
        <v>0</v>
      </c>
      <c r="AR134">
        <v>0.125</v>
      </c>
      <c r="AS134">
        <v>0</v>
      </c>
    </row>
    <row r="135" spans="1:45" hidden="1">
      <c r="A135" t="s">
        <v>24</v>
      </c>
      <c r="B135" t="s">
        <v>739</v>
      </c>
      <c r="C135" t="s">
        <v>645</v>
      </c>
      <c r="D135" t="s">
        <v>334</v>
      </c>
      <c r="E135" t="s">
        <v>323</v>
      </c>
      <c r="F135" t="s">
        <v>335</v>
      </c>
      <c r="G135" t="s">
        <v>329</v>
      </c>
      <c r="AQ135">
        <v>0</v>
      </c>
      <c r="AR135">
        <v>0.28000000000000003</v>
      </c>
    </row>
    <row r="136" spans="1:45" hidden="1">
      <c r="A136" t="s">
        <v>24</v>
      </c>
      <c r="B136" t="s">
        <v>739</v>
      </c>
      <c r="C136" t="s">
        <v>646</v>
      </c>
      <c r="D136" t="s">
        <v>137</v>
      </c>
      <c r="E136" t="s">
        <v>138</v>
      </c>
      <c r="F136" t="s">
        <v>337</v>
      </c>
      <c r="G136" t="s">
        <v>140</v>
      </c>
      <c r="J136">
        <v>1</v>
      </c>
      <c r="K136">
        <v>1</v>
      </c>
      <c r="L136">
        <v>2</v>
      </c>
      <c r="O136">
        <v>2</v>
      </c>
      <c r="AQ136">
        <v>6</v>
      </c>
      <c r="AR136">
        <v>212.1</v>
      </c>
      <c r="AS136">
        <v>1272.5999999999999</v>
      </c>
    </row>
    <row r="137" spans="1:45" hidden="1">
      <c r="A137" t="s">
        <v>24</v>
      </c>
      <c r="B137" t="s">
        <v>739</v>
      </c>
      <c r="C137" t="s">
        <v>136</v>
      </c>
      <c r="D137" t="s">
        <v>137</v>
      </c>
      <c r="E137" t="s">
        <v>138</v>
      </c>
      <c r="F137" t="s">
        <v>139</v>
      </c>
      <c r="G137" t="s">
        <v>140</v>
      </c>
      <c r="J137">
        <v>1</v>
      </c>
      <c r="K137">
        <v>1</v>
      </c>
      <c r="AQ137">
        <v>2</v>
      </c>
      <c r="AR137">
        <v>1696.8</v>
      </c>
      <c r="AS137">
        <v>3393.6</v>
      </c>
    </row>
    <row r="138" spans="1:45" hidden="1">
      <c r="A138" t="s">
        <v>24</v>
      </c>
      <c r="B138" t="s">
        <v>739</v>
      </c>
      <c r="C138" t="s">
        <v>143</v>
      </c>
      <c r="D138" t="s">
        <v>137</v>
      </c>
      <c r="E138" t="s">
        <v>138</v>
      </c>
      <c r="F138" t="s">
        <v>277</v>
      </c>
      <c r="G138" t="s">
        <v>140</v>
      </c>
      <c r="K138">
        <v>2</v>
      </c>
      <c r="M138">
        <v>1</v>
      </c>
      <c r="AQ138">
        <v>3</v>
      </c>
      <c r="AR138">
        <v>3923.85</v>
      </c>
      <c r="AS138">
        <v>11771.55</v>
      </c>
    </row>
    <row r="139" spans="1:45" hidden="1">
      <c r="A139" t="s">
        <v>24</v>
      </c>
      <c r="B139" t="s">
        <v>739</v>
      </c>
      <c r="C139" t="s">
        <v>647</v>
      </c>
      <c r="D139" t="s">
        <v>137</v>
      </c>
      <c r="E139" t="s">
        <v>138</v>
      </c>
      <c r="F139" t="s">
        <v>338</v>
      </c>
      <c r="G139" t="s">
        <v>140</v>
      </c>
      <c r="AQ139">
        <v>0</v>
      </c>
      <c r="AR139">
        <v>6893.25</v>
      </c>
      <c r="AS139">
        <v>0</v>
      </c>
    </row>
    <row r="140" spans="1:45" hidden="1">
      <c r="A140" t="s">
        <v>24</v>
      </c>
      <c r="B140" t="s">
        <v>739</v>
      </c>
      <c r="C140" t="s">
        <v>648</v>
      </c>
      <c r="D140" t="s">
        <v>342</v>
      </c>
      <c r="E140" t="s">
        <v>138</v>
      </c>
      <c r="F140" t="s">
        <v>343</v>
      </c>
      <c r="G140" t="s">
        <v>140</v>
      </c>
      <c r="AQ140">
        <v>0</v>
      </c>
      <c r="AR140">
        <v>13786.5</v>
      </c>
      <c r="AS140">
        <v>0</v>
      </c>
    </row>
    <row r="141" spans="1:45" hidden="1">
      <c r="A141" t="s">
        <v>24</v>
      </c>
      <c r="B141" t="s">
        <v>739</v>
      </c>
      <c r="C141" t="s">
        <v>649</v>
      </c>
      <c r="D141" t="s">
        <v>344</v>
      </c>
      <c r="E141" t="s">
        <v>138</v>
      </c>
      <c r="F141" t="s">
        <v>345</v>
      </c>
      <c r="G141" t="s">
        <v>346</v>
      </c>
      <c r="AQ141">
        <v>0</v>
      </c>
      <c r="AR141">
        <v>11.11</v>
      </c>
      <c r="AS141">
        <v>0</v>
      </c>
    </row>
    <row r="142" spans="1:45" hidden="1">
      <c r="A142" t="s">
        <v>24</v>
      </c>
      <c r="B142" t="s">
        <v>739</v>
      </c>
      <c r="C142" t="s">
        <v>650</v>
      </c>
      <c r="D142" t="s">
        <v>339</v>
      </c>
      <c r="E142" t="s">
        <v>138</v>
      </c>
      <c r="F142" t="s">
        <v>340</v>
      </c>
      <c r="G142" t="s">
        <v>341</v>
      </c>
      <c r="AQ142">
        <v>0</v>
      </c>
      <c r="AR142">
        <v>557.52</v>
      </c>
      <c r="AS142">
        <v>0</v>
      </c>
    </row>
    <row r="143" spans="1:45" hidden="1">
      <c r="A143" t="s">
        <v>24</v>
      </c>
      <c r="B143" t="s">
        <v>739</v>
      </c>
      <c r="C143" t="s">
        <v>651</v>
      </c>
      <c r="D143" t="s">
        <v>347</v>
      </c>
      <c r="E143" t="s">
        <v>138</v>
      </c>
      <c r="F143" t="s">
        <v>350</v>
      </c>
      <c r="G143" t="s">
        <v>349</v>
      </c>
      <c r="K143">
        <v>1</v>
      </c>
      <c r="AQ143">
        <v>1</v>
      </c>
      <c r="AR143">
        <v>234.32</v>
      </c>
      <c r="AS143">
        <v>234.32</v>
      </c>
    </row>
    <row r="144" spans="1:45" hidden="1">
      <c r="A144" t="s">
        <v>24</v>
      </c>
      <c r="B144" t="s">
        <v>739</v>
      </c>
      <c r="C144" t="s">
        <v>652</v>
      </c>
      <c r="D144" t="s">
        <v>347</v>
      </c>
      <c r="E144" t="s">
        <v>138</v>
      </c>
      <c r="F144" t="s">
        <v>348</v>
      </c>
      <c r="G144" t="s">
        <v>349</v>
      </c>
      <c r="AQ144">
        <v>0</v>
      </c>
      <c r="AR144">
        <v>456.52</v>
      </c>
      <c r="AS144">
        <v>0</v>
      </c>
    </row>
    <row r="145" spans="1:45" hidden="1">
      <c r="A145" t="s">
        <v>24</v>
      </c>
      <c r="B145" t="s">
        <v>739</v>
      </c>
      <c r="C145" t="s">
        <v>653</v>
      </c>
      <c r="D145" t="s">
        <v>347</v>
      </c>
      <c r="E145" t="s">
        <v>138</v>
      </c>
      <c r="F145" t="s">
        <v>351</v>
      </c>
      <c r="G145" t="s">
        <v>349</v>
      </c>
      <c r="AQ145">
        <v>0</v>
      </c>
      <c r="AR145">
        <v>679.73</v>
      </c>
      <c r="AS145">
        <v>0</v>
      </c>
    </row>
    <row r="146" spans="1:45" hidden="1">
      <c r="A146" t="s">
        <v>24</v>
      </c>
      <c r="B146" t="s">
        <v>739</v>
      </c>
      <c r="C146" t="s">
        <v>654</v>
      </c>
      <c r="D146" t="s">
        <v>352</v>
      </c>
      <c r="E146" t="s">
        <v>138</v>
      </c>
      <c r="F146" t="s">
        <v>353</v>
      </c>
      <c r="G146" t="s">
        <v>354</v>
      </c>
      <c r="AQ146">
        <v>0</v>
      </c>
      <c r="AR146">
        <v>3923.85</v>
      </c>
      <c r="AS146">
        <v>0</v>
      </c>
    </row>
    <row r="147" spans="1:45" hidden="1">
      <c r="A147" t="s">
        <v>24</v>
      </c>
      <c r="B147" t="s">
        <v>739</v>
      </c>
      <c r="C147" t="s">
        <v>655</v>
      </c>
      <c r="D147" t="s">
        <v>355</v>
      </c>
      <c r="E147" t="s">
        <v>138</v>
      </c>
      <c r="F147" t="s">
        <v>356</v>
      </c>
      <c r="G147" t="s">
        <v>357</v>
      </c>
      <c r="AQ147">
        <v>0</v>
      </c>
      <c r="AR147">
        <v>556.51</v>
      </c>
      <c r="AS147">
        <v>0</v>
      </c>
    </row>
    <row r="148" spans="1:45" hidden="1">
      <c r="A148" t="s">
        <v>24</v>
      </c>
      <c r="B148" t="s">
        <v>739</v>
      </c>
      <c r="C148" t="s">
        <v>656</v>
      </c>
      <c r="D148" t="s">
        <v>358</v>
      </c>
      <c r="E148" t="s">
        <v>138</v>
      </c>
      <c r="F148" t="s">
        <v>359</v>
      </c>
      <c r="G148" t="s">
        <v>360</v>
      </c>
      <c r="AQ148">
        <v>0</v>
      </c>
      <c r="AR148">
        <v>334.31</v>
      </c>
      <c r="AS148">
        <v>0</v>
      </c>
    </row>
    <row r="149" spans="1:45" hidden="1">
      <c r="A149" t="s">
        <v>24</v>
      </c>
      <c r="B149" t="s">
        <v>739</v>
      </c>
      <c r="C149" t="s">
        <v>657</v>
      </c>
      <c r="D149" t="s">
        <v>361</v>
      </c>
      <c r="E149" t="s">
        <v>138</v>
      </c>
      <c r="F149" t="s">
        <v>362</v>
      </c>
      <c r="G149" t="s">
        <v>363</v>
      </c>
      <c r="AQ149">
        <v>0</v>
      </c>
      <c r="AR149">
        <v>1.0605</v>
      </c>
      <c r="AS149">
        <v>0</v>
      </c>
    </row>
    <row r="150" spans="1:45" hidden="1">
      <c r="A150" t="s">
        <v>24</v>
      </c>
      <c r="B150" t="s">
        <v>739</v>
      </c>
      <c r="C150" t="s">
        <v>658</v>
      </c>
      <c r="D150" t="s">
        <v>364</v>
      </c>
      <c r="E150" t="s">
        <v>138</v>
      </c>
      <c r="F150" t="s">
        <v>366</v>
      </c>
      <c r="G150" t="s">
        <v>363</v>
      </c>
      <c r="AQ150">
        <v>0</v>
      </c>
      <c r="AR150">
        <v>4.242</v>
      </c>
      <c r="AS150">
        <v>0</v>
      </c>
    </row>
    <row r="151" spans="1:45" hidden="1">
      <c r="A151" t="s">
        <v>24</v>
      </c>
      <c r="B151" t="s">
        <v>739</v>
      </c>
      <c r="C151" t="s">
        <v>659</v>
      </c>
      <c r="D151" t="s">
        <v>364</v>
      </c>
      <c r="E151" t="s">
        <v>138</v>
      </c>
      <c r="F151" t="s">
        <v>365</v>
      </c>
      <c r="G151" t="s">
        <v>363</v>
      </c>
      <c r="AQ151">
        <v>0</v>
      </c>
      <c r="AR151">
        <v>8.484</v>
      </c>
      <c r="AS151">
        <v>0</v>
      </c>
    </row>
    <row r="152" spans="1:45" hidden="1">
      <c r="A152" t="s">
        <v>24</v>
      </c>
      <c r="B152" t="s">
        <v>739</v>
      </c>
      <c r="C152" t="s">
        <v>660</v>
      </c>
      <c r="D152" t="s">
        <v>364</v>
      </c>
      <c r="E152" t="s">
        <v>138</v>
      </c>
      <c r="F152" t="s">
        <v>367</v>
      </c>
      <c r="G152" t="s">
        <v>363</v>
      </c>
      <c r="AQ152">
        <v>0</v>
      </c>
      <c r="AR152">
        <v>21.21</v>
      </c>
      <c r="AS152">
        <v>0</v>
      </c>
    </row>
    <row r="153" spans="1:45" hidden="1">
      <c r="A153" t="s">
        <v>24</v>
      </c>
      <c r="B153" t="s">
        <v>739</v>
      </c>
      <c r="C153" t="s">
        <v>278</v>
      </c>
      <c r="D153" t="s">
        <v>146</v>
      </c>
      <c r="E153" t="s">
        <v>138</v>
      </c>
      <c r="F153" t="s">
        <v>279</v>
      </c>
      <c r="G153" t="s">
        <v>148</v>
      </c>
      <c r="H153">
        <v>4</v>
      </c>
      <c r="I153">
        <v>3</v>
      </c>
      <c r="J153">
        <v>1</v>
      </c>
      <c r="P153">
        <v>2</v>
      </c>
      <c r="AQ153">
        <v>10</v>
      </c>
      <c r="AR153">
        <v>1272.5999999999999</v>
      </c>
      <c r="AS153">
        <v>12726</v>
      </c>
    </row>
    <row r="154" spans="1:45" hidden="1">
      <c r="A154" t="s">
        <v>24</v>
      </c>
      <c r="B154" t="s">
        <v>739</v>
      </c>
      <c r="C154" t="s">
        <v>661</v>
      </c>
      <c r="D154" t="s">
        <v>146</v>
      </c>
      <c r="E154" t="s">
        <v>138</v>
      </c>
      <c r="F154" t="s">
        <v>368</v>
      </c>
      <c r="G154" t="s">
        <v>148</v>
      </c>
      <c r="I154">
        <v>1</v>
      </c>
      <c r="AQ154">
        <v>1</v>
      </c>
      <c r="AR154">
        <v>2333.1</v>
      </c>
      <c r="AS154">
        <v>2333.1</v>
      </c>
    </row>
    <row r="155" spans="1:45" hidden="1">
      <c r="A155" t="s">
        <v>24</v>
      </c>
      <c r="B155" t="s">
        <v>739</v>
      </c>
      <c r="C155" t="s">
        <v>662</v>
      </c>
      <c r="D155" t="s">
        <v>146</v>
      </c>
      <c r="E155" t="s">
        <v>138</v>
      </c>
      <c r="F155" t="s">
        <v>369</v>
      </c>
      <c r="G155" t="s">
        <v>148</v>
      </c>
      <c r="AQ155">
        <v>0</v>
      </c>
      <c r="AR155">
        <v>3711.75</v>
      </c>
      <c r="AS155">
        <v>0</v>
      </c>
    </row>
    <row r="156" spans="1:45" hidden="1">
      <c r="A156" t="s">
        <v>24</v>
      </c>
      <c r="B156" t="s">
        <v>739</v>
      </c>
      <c r="C156" t="s">
        <v>663</v>
      </c>
      <c r="D156" t="s">
        <v>146</v>
      </c>
      <c r="E156" t="s">
        <v>138</v>
      </c>
      <c r="F156" t="s">
        <v>370</v>
      </c>
      <c r="G156" t="s">
        <v>148</v>
      </c>
      <c r="AQ156">
        <v>0</v>
      </c>
      <c r="AR156">
        <v>5832.75</v>
      </c>
      <c r="AS156">
        <v>0</v>
      </c>
    </row>
    <row r="157" spans="1:45" hidden="1">
      <c r="A157" t="s">
        <v>24</v>
      </c>
      <c r="B157" t="s">
        <v>739</v>
      </c>
      <c r="C157" t="s">
        <v>664</v>
      </c>
      <c r="D157" t="s">
        <v>371</v>
      </c>
      <c r="E157" t="s">
        <v>138</v>
      </c>
      <c r="F157" t="s">
        <v>372</v>
      </c>
      <c r="G157" t="s">
        <v>373</v>
      </c>
      <c r="AQ157">
        <v>0</v>
      </c>
      <c r="AR157">
        <v>3711.75</v>
      </c>
      <c r="AS157">
        <v>0</v>
      </c>
    </row>
    <row r="158" spans="1:45" hidden="1">
      <c r="A158" t="s">
        <v>24</v>
      </c>
      <c r="B158" t="s">
        <v>739</v>
      </c>
      <c r="C158" t="s">
        <v>149</v>
      </c>
      <c r="D158" t="s">
        <v>280</v>
      </c>
      <c r="E158" t="s">
        <v>138</v>
      </c>
      <c r="F158" t="s">
        <v>151</v>
      </c>
      <c r="G158" t="s">
        <v>152</v>
      </c>
      <c r="H158">
        <v>7280</v>
      </c>
      <c r="I158">
        <v>5948</v>
      </c>
      <c r="J158">
        <v>2149</v>
      </c>
      <c r="K158">
        <v>1910</v>
      </c>
      <c r="L158">
        <v>368</v>
      </c>
      <c r="M158">
        <v>238</v>
      </c>
      <c r="O158">
        <v>338</v>
      </c>
      <c r="R158">
        <v>40</v>
      </c>
      <c r="AQ158">
        <v>18271</v>
      </c>
      <c r="AR158">
        <v>1.111</v>
      </c>
      <c r="AS158">
        <v>20299.080999999998</v>
      </c>
    </row>
    <row r="159" spans="1:45" hidden="1">
      <c r="A159" t="s">
        <v>24</v>
      </c>
      <c r="B159" t="s">
        <v>739</v>
      </c>
      <c r="C159" t="s">
        <v>153</v>
      </c>
      <c r="D159" t="s">
        <v>154</v>
      </c>
      <c r="E159" t="s">
        <v>138</v>
      </c>
      <c r="F159" t="s">
        <v>155</v>
      </c>
      <c r="G159" t="s">
        <v>156</v>
      </c>
      <c r="H159">
        <v>87</v>
      </c>
      <c r="I159">
        <v>136</v>
      </c>
      <c r="J159">
        <v>34</v>
      </c>
      <c r="L159">
        <v>12</v>
      </c>
      <c r="N159">
        <v>12</v>
      </c>
      <c r="P159">
        <v>14</v>
      </c>
      <c r="AQ159">
        <v>295</v>
      </c>
      <c r="AR159">
        <v>116.655</v>
      </c>
      <c r="AS159">
        <v>34413.224999999999</v>
      </c>
    </row>
    <row r="160" spans="1:45" hidden="1">
      <c r="A160" t="s">
        <v>24</v>
      </c>
      <c r="B160" t="s">
        <v>739</v>
      </c>
      <c r="C160" t="s">
        <v>665</v>
      </c>
      <c r="D160" t="s">
        <v>375</v>
      </c>
      <c r="E160" t="s">
        <v>138</v>
      </c>
      <c r="F160" t="s">
        <v>376</v>
      </c>
      <c r="G160" t="s">
        <v>377</v>
      </c>
      <c r="AQ160">
        <v>0</v>
      </c>
      <c r="AR160">
        <v>89.081999999999994</v>
      </c>
      <c r="AS160">
        <v>0</v>
      </c>
    </row>
    <row r="161" spans="1:45" hidden="1">
      <c r="A161" t="s">
        <v>24</v>
      </c>
      <c r="B161" t="s">
        <v>739</v>
      </c>
      <c r="C161" t="s">
        <v>158</v>
      </c>
      <c r="D161" t="s">
        <v>159</v>
      </c>
      <c r="E161" t="s">
        <v>138</v>
      </c>
      <c r="F161" t="s">
        <v>160</v>
      </c>
      <c r="G161" t="s">
        <v>161</v>
      </c>
      <c r="H161">
        <v>70</v>
      </c>
      <c r="I161">
        <v>10</v>
      </c>
      <c r="K161">
        <v>9</v>
      </c>
      <c r="L161">
        <v>2</v>
      </c>
      <c r="O161">
        <v>11</v>
      </c>
      <c r="AQ161">
        <v>102</v>
      </c>
      <c r="AR161">
        <v>66.66</v>
      </c>
      <c r="AS161">
        <v>6799.32</v>
      </c>
    </row>
    <row r="162" spans="1:45" hidden="1">
      <c r="A162" t="s">
        <v>24</v>
      </c>
      <c r="B162" t="s">
        <v>739</v>
      </c>
      <c r="C162" t="s">
        <v>666</v>
      </c>
      <c r="D162" t="s">
        <v>378</v>
      </c>
      <c r="E162" t="s">
        <v>138</v>
      </c>
      <c r="F162" t="s">
        <v>379</v>
      </c>
      <c r="G162" t="s">
        <v>380</v>
      </c>
      <c r="AQ162">
        <v>0</v>
      </c>
      <c r="AR162">
        <v>389.86</v>
      </c>
      <c r="AS162">
        <v>0</v>
      </c>
    </row>
    <row r="163" spans="1:45" hidden="1">
      <c r="A163" t="s">
        <v>24</v>
      </c>
      <c r="B163" t="s">
        <v>739</v>
      </c>
      <c r="C163" t="s">
        <v>667</v>
      </c>
      <c r="D163" t="s">
        <v>281</v>
      </c>
      <c r="E163" t="s">
        <v>138</v>
      </c>
      <c r="F163" t="s">
        <v>384</v>
      </c>
      <c r="G163" t="s">
        <v>165</v>
      </c>
      <c r="I163">
        <v>3</v>
      </c>
      <c r="P163">
        <v>2</v>
      </c>
      <c r="R163">
        <v>1</v>
      </c>
      <c r="AQ163">
        <v>6</v>
      </c>
      <c r="AR163">
        <v>2227.0500000000002</v>
      </c>
      <c r="AS163">
        <v>13362.3</v>
      </c>
    </row>
    <row r="164" spans="1:45" hidden="1">
      <c r="A164" t="s">
        <v>24</v>
      </c>
      <c r="B164" t="s">
        <v>739</v>
      </c>
      <c r="C164" t="s">
        <v>162</v>
      </c>
      <c r="D164" t="s">
        <v>281</v>
      </c>
      <c r="E164" t="s">
        <v>138</v>
      </c>
      <c r="F164" t="s">
        <v>164</v>
      </c>
      <c r="G164" t="s">
        <v>165</v>
      </c>
      <c r="AQ164">
        <v>0</v>
      </c>
      <c r="AR164">
        <v>4242</v>
      </c>
      <c r="AS164">
        <v>0</v>
      </c>
    </row>
    <row r="165" spans="1:45" hidden="1">
      <c r="A165" t="s">
        <v>24</v>
      </c>
      <c r="B165" t="s">
        <v>739</v>
      </c>
      <c r="C165" t="s">
        <v>668</v>
      </c>
      <c r="D165" t="s">
        <v>381</v>
      </c>
      <c r="E165" t="s">
        <v>138</v>
      </c>
      <c r="F165" t="s">
        <v>382</v>
      </c>
      <c r="G165" t="s">
        <v>383</v>
      </c>
      <c r="AQ165">
        <v>0</v>
      </c>
      <c r="AR165">
        <v>39.39</v>
      </c>
      <c r="AS165">
        <v>0</v>
      </c>
    </row>
    <row r="166" spans="1:45" hidden="1">
      <c r="A166" t="s">
        <v>24</v>
      </c>
      <c r="B166" t="s">
        <v>739</v>
      </c>
      <c r="C166" t="s">
        <v>166</v>
      </c>
      <c r="D166" t="s">
        <v>282</v>
      </c>
      <c r="E166" t="s">
        <v>138</v>
      </c>
      <c r="F166" t="s">
        <v>168</v>
      </c>
      <c r="G166" t="s">
        <v>169</v>
      </c>
      <c r="I166">
        <v>360</v>
      </c>
      <c r="P166">
        <v>348</v>
      </c>
      <c r="AQ166">
        <v>708</v>
      </c>
      <c r="AR166">
        <v>1.111</v>
      </c>
      <c r="AS166">
        <v>786.58799999999997</v>
      </c>
    </row>
    <row r="167" spans="1:45" hidden="1">
      <c r="A167" t="s">
        <v>24</v>
      </c>
      <c r="B167" t="s">
        <v>739</v>
      </c>
      <c r="C167" t="s">
        <v>669</v>
      </c>
      <c r="D167" t="s">
        <v>385</v>
      </c>
      <c r="E167" t="s">
        <v>138</v>
      </c>
      <c r="F167" t="s">
        <v>386</v>
      </c>
      <c r="G167" t="s">
        <v>387</v>
      </c>
      <c r="AQ167">
        <v>0</v>
      </c>
      <c r="AR167">
        <v>22270.5</v>
      </c>
      <c r="AS167">
        <v>0</v>
      </c>
    </row>
    <row r="168" spans="1:45" hidden="1">
      <c r="A168" t="s">
        <v>24</v>
      </c>
      <c r="B168" t="s">
        <v>739</v>
      </c>
      <c r="C168" t="s">
        <v>670</v>
      </c>
      <c r="D168" t="s">
        <v>385</v>
      </c>
      <c r="E168" t="s">
        <v>138</v>
      </c>
      <c r="F168" t="s">
        <v>388</v>
      </c>
      <c r="G168" t="s">
        <v>389</v>
      </c>
      <c r="AQ168">
        <v>0</v>
      </c>
      <c r="AR168">
        <v>0.22220000000000001</v>
      </c>
      <c r="AS168">
        <v>0</v>
      </c>
    </row>
    <row r="169" spans="1:45" hidden="1">
      <c r="A169" t="s">
        <v>24</v>
      </c>
      <c r="B169" t="s">
        <v>739</v>
      </c>
      <c r="C169" t="s">
        <v>671</v>
      </c>
      <c r="D169" t="s">
        <v>393</v>
      </c>
      <c r="E169" t="s">
        <v>138</v>
      </c>
      <c r="F169" t="s">
        <v>394</v>
      </c>
      <c r="G169" t="s">
        <v>395</v>
      </c>
      <c r="AQ169">
        <v>0</v>
      </c>
      <c r="AR169">
        <v>99.99</v>
      </c>
      <c r="AS169">
        <v>0</v>
      </c>
    </row>
    <row r="170" spans="1:45" hidden="1">
      <c r="A170" t="s">
        <v>24</v>
      </c>
      <c r="B170" t="s">
        <v>739</v>
      </c>
      <c r="C170" t="s">
        <v>672</v>
      </c>
      <c r="D170" t="s">
        <v>393</v>
      </c>
      <c r="E170" t="s">
        <v>138</v>
      </c>
      <c r="F170" t="s">
        <v>396</v>
      </c>
      <c r="G170" t="s">
        <v>395</v>
      </c>
      <c r="AQ170">
        <v>0</v>
      </c>
      <c r="AR170">
        <v>99.99</v>
      </c>
      <c r="AS170">
        <v>0</v>
      </c>
    </row>
    <row r="171" spans="1:45" hidden="1">
      <c r="A171" t="s">
        <v>24</v>
      </c>
      <c r="B171" t="s">
        <v>739</v>
      </c>
      <c r="C171" t="s">
        <v>673</v>
      </c>
      <c r="D171" t="s">
        <v>393</v>
      </c>
      <c r="E171" t="s">
        <v>138</v>
      </c>
      <c r="F171" t="s">
        <v>397</v>
      </c>
      <c r="G171" t="s">
        <v>395</v>
      </c>
      <c r="AQ171">
        <v>0</v>
      </c>
      <c r="AR171">
        <v>66.66</v>
      </c>
      <c r="AS171">
        <v>0</v>
      </c>
    </row>
    <row r="172" spans="1:45" hidden="1">
      <c r="A172" t="s">
        <v>24</v>
      </c>
      <c r="B172" t="s">
        <v>739</v>
      </c>
      <c r="C172" t="s">
        <v>674</v>
      </c>
      <c r="D172" t="s">
        <v>287</v>
      </c>
      <c r="E172" t="s">
        <v>138</v>
      </c>
      <c r="F172" t="s">
        <v>402</v>
      </c>
      <c r="G172" t="s">
        <v>403</v>
      </c>
      <c r="AQ172">
        <v>0</v>
      </c>
      <c r="AR172">
        <v>318150</v>
      </c>
      <c r="AS172">
        <v>0</v>
      </c>
    </row>
    <row r="173" spans="1:45" hidden="1">
      <c r="A173" t="s">
        <v>24</v>
      </c>
      <c r="B173" t="s">
        <v>739</v>
      </c>
      <c r="C173" t="s">
        <v>675</v>
      </c>
      <c r="D173" t="s">
        <v>390</v>
      </c>
      <c r="E173" t="s">
        <v>138</v>
      </c>
      <c r="F173" t="s">
        <v>391</v>
      </c>
      <c r="G173" t="s">
        <v>392</v>
      </c>
      <c r="AQ173">
        <v>0</v>
      </c>
      <c r="AR173">
        <v>1336.23</v>
      </c>
      <c r="AS173">
        <v>0</v>
      </c>
    </row>
    <row r="174" spans="1:45" hidden="1">
      <c r="A174" t="s">
        <v>24</v>
      </c>
      <c r="B174" t="s">
        <v>739</v>
      </c>
      <c r="C174" t="s">
        <v>676</v>
      </c>
      <c r="D174" t="s">
        <v>398</v>
      </c>
      <c r="E174" t="s">
        <v>138</v>
      </c>
      <c r="F174" t="s">
        <v>399</v>
      </c>
      <c r="G174" t="s">
        <v>400</v>
      </c>
      <c r="AQ174">
        <v>0</v>
      </c>
      <c r="AR174">
        <v>14475.825000000001</v>
      </c>
      <c r="AS174">
        <v>0</v>
      </c>
    </row>
    <row r="175" spans="1:45" hidden="1">
      <c r="A175" t="s">
        <v>24</v>
      </c>
      <c r="B175" t="s">
        <v>739</v>
      </c>
      <c r="C175" t="s">
        <v>170</v>
      </c>
      <c r="D175" t="s">
        <v>171</v>
      </c>
      <c r="E175" t="s">
        <v>172</v>
      </c>
      <c r="F175" t="s">
        <v>173</v>
      </c>
      <c r="G175" t="s">
        <v>152</v>
      </c>
      <c r="H175">
        <v>7280</v>
      </c>
      <c r="I175">
        <v>5948</v>
      </c>
      <c r="J175">
        <v>2149</v>
      </c>
      <c r="K175">
        <v>1910</v>
      </c>
      <c r="L175">
        <v>368</v>
      </c>
      <c r="M175">
        <v>238</v>
      </c>
      <c r="N175">
        <v>167</v>
      </c>
      <c r="O175">
        <v>338</v>
      </c>
      <c r="P175">
        <v>400</v>
      </c>
      <c r="Q175">
        <v>333</v>
      </c>
      <c r="R175">
        <v>40</v>
      </c>
      <c r="AQ175">
        <v>19171</v>
      </c>
      <c r="AR175">
        <v>1.2726</v>
      </c>
      <c r="AS175">
        <v>24397.014599999999</v>
      </c>
    </row>
    <row r="176" spans="1:45" hidden="1">
      <c r="A176" t="s">
        <v>24</v>
      </c>
      <c r="B176" t="s">
        <v>739</v>
      </c>
      <c r="C176" t="s">
        <v>677</v>
      </c>
      <c r="D176" t="s">
        <v>405</v>
      </c>
      <c r="E176" t="s">
        <v>172</v>
      </c>
      <c r="F176" t="s">
        <v>406</v>
      </c>
      <c r="G176" t="s">
        <v>407</v>
      </c>
      <c r="H176">
        <v>10</v>
      </c>
      <c r="I176">
        <v>25</v>
      </c>
      <c r="J176">
        <v>5</v>
      </c>
      <c r="K176">
        <v>25</v>
      </c>
      <c r="M176">
        <v>3</v>
      </c>
      <c r="O176">
        <v>3</v>
      </c>
      <c r="AQ176">
        <v>71</v>
      </c>
      <c r="AR176">
        <v>47.47</v>
      </c>
      <c r="AS176">
        <v>3370.37</v>
      </c>
    </row>
    <row r="177" spans="1:45" hidden="1">
      <c r="A177" t="s">
        <v>24</v>
      </c>
      <c r="B177" t="s">
        <v>739</v>
      </c>
      <c r="C177" t="s">
        <v>678</v>
      </c>
      <c r="D177" t="s">
        <v>408</v>
      </c>
      <c r="E177" t="s">
        <v>172</v>
      </c>
      <c r="F177" t="s">
        <v>409</v>
      </c>
      <c r="G177" t="s">
        <v>410</v>
      </c>
      <c r="AQ177">
        <v>0</v>
      </c>
      <c r="AR177">
        <v>1.0605</v>
      </c>
      <c r="AS177">
        <v>0</v>
      </c>
    </row>
    <row r="178" spans="1:45" hidden="1">
      <c r="A178" t="s">
        <v>24</v>
      </c>
      <c r="B178" t="s">
        <v>739</v>
      </c>
      <c r="C178" t="s">
        <v>679</v>
      </c>
      <c r="D178" t="s">
        <v>411</v>
      </c>
      <c r="E178" t="s">
        <v>172</v>
      </c>
      <c r="F178" t="s">
        <v>412</v>
      </c>
      <c r="G178" t="s">
        <v>413</v>
      </c>
      <c r="AQ178">
        <v>0</v>
      </c>
      <c r="AR178">
        <v>37.1175</v>
      </c>
      <c r="AS178">
        <v>0</v>
      </c>
    </row>
    <row r="179" spans="1:45" hidden="1">
      <c r="A179" t="s">
        <v>24</v>
      </c>
      <c r="B179" t="s">
        <v>739</v>
      </c>
      <c r="C179" t="s">
        <v>680</v>
      </c>
      <c r="D179" t="s">
        <v>414</v>
      </c>
      <c r="E179" t="s">
        <v>172</v>
      </c>
      <c r="F179" t="s">
        <v>415</v>
      </c>
      <c r="G179" t="s">
        <v>224</v>
      </c>
      <c r="AQ179">
        <v>0</v>
      </c>
      <c r="AR179">
        <v>42.42</v>
      </c>
      <c r="AS179">
        <v>0</v>
      </c>
    </row>
    <row r="180" spans="1:45" hidden="1">
      <c r="A180" t="s">
        <v>24</v>
      </c>
      <c r="B180" t="s">
        <v>739</v>
      </c>
      <c r="C180" t="s">
        <v>681</v>
      </c>
      <c r="D180" t="s">
        <v>416</v>
      </c>
      <c r="E180" t="s">
        <v>172</v>
      </c>
      <c r="F180" t="s">
        <v>417</v>
      </c>
      <c r="G180" t="s">
        <v>418</v>
      </c>
      <c r="H180">
        <v>2543</v>
      </c>
      <c r="I180">
        <v>2841</v>
      </c>
      <c r="K180">
        <v>1535</v>
      </c>
      <c r="P180">
        <v>400</v>
      </c>
      <c r="AQ180">
        <v>7319</v>
      </c>
      <c r="AR180">
        <v>0.32319999999999999</v>
      </c>
      <c r="AS180">
        <v>2365.5007999999998</v>
      </c>
    </row>
    <row r="181" spans="1:45" hidden="1">
      <c r="A181" t="s">
        <v>24</v>
      </c>
      <c r="B181" t="s">
        <v>739</v>
      </c>
      <c r="C181" t="s">
        <v>682</v>
      </c>
      <c r="D181" t="s">
        <v>419</v>
      </c>
      <c r="E181" t="s">
        <v>172</v>
      </c>
      <c r="F181" t="s">
        <v>420</v>
      </c>
      <c r="G181" t="s">
        <v>421</v>
      </c>
      <c r="AQ181">
        <v>0</v>
      </c>
      <c r="AR181">
        <v>42.42</v>
      </c>
      <c r="AS181">
        <v>0</v>
      </c>
    </row>
    <row r="182" spans="1:45" hidden="1">
      <c r="A182" t="s">
        <v>24</v>
      </c>
      <c r="B182" t="s">
        <v>739</v>
      </c>
      <c r="C182" t="s">
        <v>683</v>
      </c>
      <c r="D182" t="s">
        <v>422</v>
      </c>
      <c r="E182" t="s">
        <v>172</v>
      </c>
      <c r="F182" t="s">
        <v>423</v>
      </c>
      <c r="G182" t="s">
        <v>407</v>
      </c>
      <c r="AQ182">
        <v>0</v>
      </c>
      <c r="AR182">
        <v>47.47</v>
      </c>
      <c r="AS182">
        <v>0</v>
      </c>
    </row>
    <row r="183" spans="1:45" hidden="1">
      <c r="A183" t="s">
        <v>24</v>
      </c>
      <c r="B183" t="s">
        <v>739</v>
      </c>
      <c r="C183" t="s">
        <v>684</v>
      </c>
      <c r="D183" t="s">
        <v>427</v>
      </c>
      <c r="E183" t="s">
        <v>172</v>
      </c>
      <c r="F183" t="s">
        <v>428</v>
      </c>
      <c r="G183" t="s">
        <v>429</v>
      </c>
      <c r="AQ183">
        <v>0</v>
      </c>
      <c r="AR183">
        <v>636.29999999999995</v>
      </c>
      <c r="AS183">
        <v>0</v>
      </c>
    </row>
    <row r="184" spans="1:45" hidden="1">
      <c r="A184" t="s">
        <v>24</v>
      </c>
      <c r="B184" t="s">
        <v>739</v>
      </c>
      <c r="C184" t="s">
        <v>174</v>
      </c>
      <c r="D184" t="s">
        <v>175</v>
      </c>
      <c r="E184" t="s">
        <v>172</v>
      </c>
      <c r="F184" t="s">
        <v>176</v>
      </c>
      <c r="G184" t="s">
        <v>177</v>
      </c>
      <c r="H184">
        <v>1</v>
      </c>
      <c r="I184">
        <v>2</v>
      </c>
      <c r="K184">
        <v>1</v>
      </c>
      <c r="M184">
        <v>1</v>
      </c>
      <c r="AQ184">
        <v>5</v>
      </c>
      <c r="AR184">
        <v>424.2</v>
      </c>
      <c r="AS184">
        <v>2121</v>
      </c>
    </row>
    <row r="185" spans="1:45" hidden="1">
      <c r="A185" t="s">
        <v>24</v>
      </c>
      <c r="B185" t="s">
        <v>739</v>
      </c>
      <c r="C185" t="s">
        <v>685</v>
      </c>
      <c r="D185" t="s">
        <v>430</v>
      </c>
      <c r="E185" t="s">
        <v>172</v>
      </c>
      <c r="F185" t="s">
        <v>433</v>
      </c>
      <c r="G185" t="s">
        <v>432</v>
      </c>
      <c r="H185">
        <v>1</v>
      </c>
      <c r="AQ185">
        <v>1</v>
      </c>
      <c r="AR185">
        <v>1908.9</v>
      </c>
      <c r="AS185">
        <v>1908.9</v>
      </c>
    </row>
    <row r="186" spans="1:45" hidden="1">
      <c r="A186" t="s">
        <v>24</v>
      </c>
      <c r="B186" t="s">
        <v>739</v>
      </c>
      <c r="C186" t="s">
        <v>686</v>
      </c>
      <c r="D186" t="s">
        <v>430</v>
      </c>
      <c r="E186" t="s">
        <v>172</v>
      </c>
      <c r="F186" t="s">
        <v>431</v>
      </c>
      <c r="G186" t="s">
        <v>432</v>
      </c>
      <c r="AQ186">
        <v>0</v>
      </c>
      <c r="AR186">
        <v>2121</v>
      </c>
      <c r="AS186">
        <v>0</v>
      </c>
    </row>
    <row r="187" spans="1:45" hidden="1">
      <c r="A187" t="s">
        <v>24</v>
      </c>
      <c r="B187" t="s">
        <v>739</v>
      </c>
      <c r="C187" t="s">
        <v>687</v>
      </c>
      <c r="D187" t="s">
        <v>430</v>
      </c>
      <c r="E187" t="s">
        <v>172</v>
      </c>
      <c r="F187" t="s">
        <v>438</v>
      </c>
      <c r="G187" t="s">
        <v>432</v>
      </c>
      <c r="AQ187">
        <v>0</v>
      </c>
      <c r="AR187">
        <v>2439.15</v>
      </c>
      <c r="AS187">
        <v>0</v>
      </c>
    </row>
    <row r="188" spans="1:45" hidden="1">
      <c r="A188" t="s">
        <v>24</v>
      </c>
      <c r="B188" t="s">
        <v>739</v>
      </c>
      <c r="C188" t="s">
        <v>688</v>
      </c>
      <c r="D188" t="s">
        <v>430</v>
      </c>
      <c r="E188" t="s">
        <v>172</v>
      </c>
      <c r="F188" t="s">
        <v>434</v>
      </c>
      <c r="G188" t="s">
        <v>432</v>
      </c>
      <c r="AQ188">
        <v>0</v>
      </c>
      <c r="AR188">
        <v>2651.25</v>
      </c>
      <c r="AS188">
        <v>0</v>
      </c>
    </row>
    <row r="189" spans="1:45" hidden="1">
      <c r="A189" t="s">
        <v>24</v>
      </c>
      <c r="B189" t="s">
        <v>739</v>
      </c>
      <c r="C189" t="s">
        <v>645</v>
      </c>
      <c r="D189" t="s">
        <v>435</v>
      </c>
      <c r="E189" t="s">
        <v>172</v>
      </c>
      <c r="F189" t="s">
        <v>436</v>
      </c>
      <c r="G189" t="s">
        <v>437</v>
      </c>
      <c r="AQ189">
        <v>0</v>
      </c>
      <c r="AR189">
        <v>0.28000000000000003</v>
      </c>
    </row>
    <row r="190" spans="1:45" hidden="1">
      <c r="A190" t="s">
        <v>24</v>
      </c>
      <c r="B190" t="s">
        <v>739</v>
      </c>
      <c r="C190" t="s">
        <v>689</v>
      </c>
      <c r="D190" t="s">
        <v>439</v>
      </c>
      <c r="E190" t="s">
        <v>172</v>
      </c>
      <c r="F190" t="s">
        <v>690</v>
      </c>
      <c r="G190" t="s">
        <v>441</v>
      </c>
      <c r="I190">
        <v>2</v>
      </c>
      <c r="AQ190">
        <v>2</v>
      </c>
      <c r="AR190">
        <v>318.14999999999998</v>
      </c>
      <c r="AS190">
        <v>636.29999999999995</v>
      </c>
    </row>
    <row r="191" spans="1:45" hidden="1">
      <c r="A191" t="s">
        <v>24</v>
      </c>
      <c r="B191" t="s">
        <v>739</v>
      </c>
      <c r="C191" t="s">
        <v>691</v>
      </c>
      <c r="D191" t="s">
        <v>439</v>
      </c>
      <c r="E191" t="s">
        <v>172</v>
      </c>
      <c r="F191" t="s">
        <v>442</v>
      </c>
      <c r="G191" t="s">
        <v>441</v>
      </c>
      <c r="H191">
        <v>1</v>
      </c>
      <c r="I191">
        <v>1</v>
      </c>
      <c r="AQ191">
        <v>2</v>
      </c>
      <c r="AR191">
        <v>1272.5999999999999</v>
      </c>
      <c r="AS191">
        <v>2545.1999999999998</v>
      </c>
    </row>
    <row r="192" spans="1:45" hidden="1">
      <c r="A192" t="s">
        <v>24</v>
      </c>
      <c r="B192" t="s">
        <v>739</v>
      </c>
      <c r="C192" t="s">
        <v>692</v>
      </c>
      <c r="D192" t="s">
        <v>439</v>
      </c>
      <c r="E192" t="s">
        <v>172</v>
      </c>
      <c r="F192" t="s">
        <v>443</v>
      </c>
      <c r="G192" t="s">
        <v>441</v>
      </c>
      <c r="AQ192">
        <v>0</v>
      </c>
      <c r="AR192">
        <v>1590.75</v>
      </c>
      <c r="AS192">
        <v>0</v>
      </c>
    </row>
    <row r="193" spans="1:45" hidden="1">
      <c r="A193" t="s">
        <v>24</v>
      </c>
      <c r="B193" t="s">
        <v>739</v>
      </c>
      <c r="C193" t="s">
        <v>693</v>
      </c>
      <c r="D193" t="s">
        <v>439</v>
      </c>
      <c r="E193" t="s">
        <v>172</v>
      </c>
      <c r="F193" t="s">
        <v>440</v>
      </c>
      <c r="G193" t="s">
        <v>441</v>
      </c>
      <c r="AQ193">
        <v>0</v>
      </c>
      <c r="AR193">
        <v>1590.75</v>
      </c>
      <c r="AS193">
        <v>0</v>
      </c>
    </row>
    <row r="194" spans="1:45" hidden="1">
      <c r="A194" t="s">
        <v>24</v>
      </c>
      <c r="B194" t="s">
        <v>739</v>
      </c>
      <c r="C194" t="s">
        <v>694</v>
      </c>
      <c r="D194" t="s">
        <v>439</v>
      </c>
      <c r="E194" t="s">
        <v>172</v>
      </c>
      <c r="F194" t="s">
        <v>695</v>
      </c>
      <c r="G194" t="s">
        <v>441</v>
      </c>
      <c r="AQ194">
        <v>0</v>
      </c>
      <c r="AR194">
        <v>1802.85</v>
      </c>
      <c r="AS194">
        <v>0</v>
      </c>
    </row>
    <row r="195" spans="1:45" hidden="1">
      <c r="A195" t="s">
        <v>24</v>
      </c>
      <c r="B195" t="s">
        <v>739</v>
      </c>
      <c r="C195" t="s">
        <v>696</v>
      </c>
      <c r="D195" t="s">
        <v>446</v>
      </c>
      <c r="E195" t="s">
        <v>172</v>
      </c>
      <c r="F195" t="s">
        <v>447</v>
      </c>
      <c r="G195" t="s">
        <v>448</v>
      </c>
      <c r="AQ195">
        <v>0</v>
      </c>
      <c r="AR195">
        <v>10.605</v>
      </c>
      <c r="AS195">
        <v>0</v>
      </c>
    </row>
    <row r="196" spans="1:45" hidden="1">
      <c r="A196" t="s">
        <v>24</v>
      </c>
      <c r="B196" t="s">
        <v>739</v>
      </c>
      <c r="C196" t="s">
        <v>178</v>
      </c>
      <c r="D196" t="s">
        <v>179</v>
      </c>
      <c r="E196" t="s">
        <v>172</v>
      </c>
      <c r="F196" t="s">
        <v>180</v>
      </c>
      <c r="G196" t="s">
        <v>181</v>
      </c>
      <c r="AQ196">
        <v>0</v>
      </c>
      <c r="AR196">
        <v>106.05</v>
      </c>
      <c r="AS196">
        <v>0</v>
      </c>
    </row>
    <row r="197" spans="1:45" hidden="1">
      <c r="A197" t="s">
        <v>24</v>
      </c>
      <c r="B197" t="s">
        <v>739</v>
      </c>
      <c r="C197" t="s">
        <v>182</v>
      </c>
      <c r="D197" t="s">
        <v>179</v>
      </c>
      <c r="E197" t="s">
        <v>172</v>
      </c>
      <c r="F197" t="s">
        <v>183</v>
      </c>
      <c r="G197" t="s">
        <v>152</v>
      </c>
      <c r="AQ197">
        <v>0</v>
      </c>
      <c r="AR197">
        <v>0.1515</v>
      </c>
      <c r="AS197">
        <v>0</v>
      </c>
    </row>
    <row r="198" spans="1:45" hidden="1">
      <c r="A198" t="s">
        <v>24</v>
      </c>
      <c r="B198" t="s">
        <v>739</v>
      </c>
      <c r="C198" t="s">
        <v>697</v>
      </c>
      <c r="D198" t="s">
        <v>449</v>
      </c>
      <c r="E198" t="s">
        <v>172</v>
      </c>
      <c r="F198" t="s">
        <v>450</v>
      </c>
      <c r="G198" t="s">
        <v>451</v>
      </c>
      <c r="AQ198">
        <v>0</v>
      </c>
      <c r="AR198">
        <v>1908.9</v>
      </c>
      <c r="AS198">
        <v>0</v>
      </c>
    </row>
    <row r="199" spans="1:45" hidden="1">
      <c r="A199" t="s">
        <v>24</v>
      </c>
      <c r="B199" t="s">
        <v>739</v>
      </c>
      <c r="C199" t="s">
        <v>698</v>
      </c>
      <c r="D199" t="s">
        <v>424</v>
      </c>
      <c r="E199" t="s">
        <v>172</v>
      </c>
      <c r="F199" t="s">
        <v>425</v>
      </c>
      <c r="G199" t="s">
        <v>426</v>
      </c>
      <c r="AQ199">
        <v>0</v>
      </c>
      <c r="AR199">
        <v>132.5625</v>
      </c>
      <c r="AS199">
        <v>0</v>
      </c>
    </row>
    <row r="200" spans="1:45" hidden="1">
      <c r="A200" t="s">
        <v>24</v>
      </c>
      <c r="B200" t="s">
        <v>739</v>
      </c>
      <c r="C200" t="s">
        <v>699</v>
      </c>
      <c r="D200" t="s">
        <v>287</v>
      </c>
      <c r="E200" t="s">
        <v>172</v>
      </c>
      <c r="F200" t="s">
        <v>452</v>
      </c>
      <c r="G200" t="s">
        <v>453</v>
      </c>
      <c r="AQ200">
        <v>0</v>
      </c>
      <c r="AR200">
        <v>3181.5</v>
      </c>
      <c r="AS200">
        <v>0</v>
      </c>
    </row>
    <row r="201" spans="1:45" hidden="1">
      <c r="A201" t="s">
        <v>24</v>
      </c>
      <c r="B201" t="s">
        <v>739</v>
      </c>
      <c r="C201" t="s">
        <v>700</v>
      </c>
      <c r="D201" t="s">
        <v>287</v>
      </c>
      <c r="E201" t="s">
        <v>172</v>
      </c>
      <c r="F201" t="s">
        <v>454</v>
      </c>
      <c r="G201" t="s">
        <v>455</v>
      </c>
      <c r="AQ201">
        <v>0</v>
      </c>
      <c r="AR201">
        <v>318150</v>
      </c>
      <c r="AS201">
        <v>0</v>
      </c>
    </row>
    <row r="202" spans="1:45" hidden="1">
      <c r="A202" t="s">
        <v>24</v>
      </c>
      <c r="B202" t="s">
        <v>739</v>
      </c>
      <c r="C202" t="s">
        <v>701</v>
      </c>
      <c r="D202" t="s">
        <v>287</v>
      </c>
      <c r="E202" t="s">
        <v>172</v>
      </c>
      <c r="F202" t="s">
        <v>456</v>
      </c>
      <c r="G202" t="s">
        <v>457</v>
      </c>
      <c r="AQ202">
        <v>0</v>
      </c>
      <c r="AR202">
        <v>238612.5</v>
      </c>
      <c r="AS202">
        <v>0</v>
      </c>
    </row>
    <row r="203" spans="1:45" hidden="1">
      <c r="A203" t="s">
        <v>24</v>
      </c>
      <c r="B203" t="s">
        <v>739</v>
      </c>
      <c r="C203" t="s">
        <v>184</v>
      </c>
      <c r="D203" t="s">
        <v>185</v>
      </c>
      <c r="E203" t="s">
        <v>186</v>
      </c>
      <c r="F203" t="s">
        <v>187</v>
      </c>
      <c r="G203" t="s">
        <v>188</v>
      </c>
      <c r="AQ203">
        <v>0</v>
      </c>
      <c r="AR203">
        <v>2121</v>
      </c>
      <c r="AS203">
        <v>0</v>
      </c>
    </row>
    <row r="204" spans="1:45" hidden="1">
      <c r="A204" t="s">
        <v>24</v>
      </c>
      <c r="B204" t="s">
        <v>739</v>
      </c>
      <c r="C204" t="s">
        <v>189</v>
      </c>
      <c r="D204" t="s">
        <v>190</v>
      </c>
      <c r="E204" t="s">
        <v>186</v>
      </c>
      <c r="F204" t="s">
        <v>191</v>
      </c>
      <c r="G204" t="s">
        <v>192</v>
      </c>
      <c r="AQ204">
        <v>0</v>
      </c>
      <c r="AR204">
        <v>1060.5</v>
      </c>
      <c r="AS204">
        <v>0</v>
      </c>
    </row>
    <row r="205" spans="1:45" hidden="1">
      <c r="A205" t="s">
        <v>24</v>
      </c>
      <c r="B205" t="s">
        <v>739</v>
      </c>
      <c r="C205" t="s">
        <v>702</v>
      </c>
      <c r="D205" t="s">
        <v>190</v>
      </c>
      <c r="E205" t="s">
        <v>186</v>
      </c>
      <c r="F205" t="s">
        <v>458</v>
      </c>
      <c r="G205" t="s">
        <v>459</v>
      </c>
      <c r="AQ205">
        <v>0</v>
      </c>
      <c r="AR205">
        <v>1590.75</v>
      </c>
      <c r="AS205">
        <v>0</v>
      </c>
    </row>
    <row r="206" spans="1:45" hidden="1">
      <c r="A206" t="s">
        <v>24</v>
      </c>
      <c r="B206" t="s">
        <v>739</v>
      </c>
      <c r="C206" t="s">
        <v>193</v>
      </c>
      <c r="D206" t="s">
        <v>194</v>
      </c>
      <c r="E206" t="s">
        <v>186</v>
      </c>
      <c r="F206" t="s">
        <v>195</v>
      </c>
      <c r="G206" t="s">
        <v>152</v>
      </c>
      <c r="H206">
        <v>7280</v>
      </c>
      <c r="I206">
        <v>5948</v>
      </c>
      <c r="J206">
        <v>2149</v>
      </c>
      <c r="K206">
        <v>1510</v>
      </c>
      <c r="L206">
        <v>368</v>
      </c>
      <c r="M206">
        <v>365</v>
      </c>
      <c r="N206">
        <v>167</v>
      </c>
      <c r="O206">
        <v>338</v>
      </c>
      <c r="P206">
        <v>400</v>
      </c>
      <c r="Q206">
        <v>333</v>
      </c>
      <c r="R206">
        <v>40</v>
      </c>
      <c r="AQ206">
        <v>18898</v>
      </c>
      <c r="AR206">
        <v>0.63629999999999998</v>
      </c>
      <c r="AS206">
        <v>12024.797399999999</v>
      </c>
    </row>
    <row r="207" spans="1:45" hidden="1">
      <c r="A207" t="s">
        <v>24</v>
      </c>
      <c r="B207" t="s">
        <v>739</v>
      </c>
      <c r="C207" t="s">
        <v>197</v>
      </c>
      <c r="D207" t="s">
        <v>198</v>
      </c>
      <c r="E207" t="s">
        <v>186</v>
      </c>
      <c r="F207" t="s">
        <v>199</v>
      </c>
      <c r="G207" t="s">
        <v>200</v>
      </c>
      <c r="AQ207">
        <v>0</v>
      </c>
      <c r="AR207">
        <v>4984.3500000000004</v>
      </c>
      <c r="AS207">
        <v>0</v>
      </c>
    </row>
    <row r="208" spans="1:45" hidden="1">
      <c r="A208" t="s">
        <v>24</v>
      </c>
      <c r="B208" t="s">
        <v>739</v>
      </c>
      <c r="C208" t="s">
        <v>201</v>
      </c>
      <c r="D208" t="s">
        <v>202</v>
      </c>
      <c r="E208" t="s">
        <v>186</v>
      </c>
      <c r="F208" t="s">
        <v>203</v>
      </c>
      <c r="G208" t="s">
        <v>204</v>
      </c>
      <c r="AQ208">
        <v>0</v>
      </c>
      <c r="AR208">
        <v>31.815000000000001</v>
      </c>
      <c r="AS208">
        <v>0</v>
      </c>
    </row>
    <row r="209" spans="1:45" hidden="1">
      <c r="A209" t="s">
        <v>24</v>
      </c>
      <c r="B209" t="s">
        <v>739</v>
      </c>
      <c r="C209" t="s">
        <v>703</v>
      </c>
      <c r="D209" t="s">
        <v>460</v>
      </c>
      <c r="E209" t="s">
        <v>186</v>
      </c>
      <c r="F209" t="s">
        <v>461</v>
      </c>
      <c r="G209" t="s">
        <v>462</v>
      </c>
      <c r="AQ209">
        <v>0</v>
      </c>
      <c r="AR209">
        <v>15907.5</v>
      </c>
      <c r="AS209">
        <v>0</v>
      </c>
    </row>
    <row r="210" spans="1:45" hidden="1">
      <c r="A210" t="s">
        <v>24</v>
      </c>
      <c r="B210" t="s">
        <v>739</v>
      </c>
      <c r="C210" t="s">
        <v>704</v>
      </c>
      <c r="D210" t="s">
        <v>468</v>
      </c>
      <c r="E210" t="s">
        <v>186</v>
      </c>
      <c r="F210" t="s">
        <v>469</v>
      </c>
      <c r="G210" t="s">
        <v>470</v>
      </c>
      <c r="AQ210">
        <v>0</v>
      </c>
      <c r="AR210">
        <v>159.07499999999999</v>
      </c>
      <c r="AS210">
        <v>0</v>
      </c>
    </row>
    <row r="211" spans="1:45" hidden="1">
      <c r="A211" t="s">
        <v>24</v>
      </c>
      <c r="B211" t="s">
        <v>739</v>
      </c>
      <c r="C211" t="s">
        <v>705</v>
      </c>
      <c r="D211" t="s">
        <v>463</v>
      </c>
      <c r="E211" t="s">
        <v>186</v>
      </c>
      <c r="F211" t="s">
        <v>466</v>
      </c>
      <c r="G211" t="s">
        <v>467</v>
      </c>
      <c r="AQ211">
        <v>0</v>
      </c>
      <c r="AR211">
        <v>509.04</v>
      </c>
      <c r="AS211">
        <v>0</v>
      </c>
    </row>
    <row r="212" spans="1:45" hidden="1">
      <c r="A212" t="s">
        <v>24</v>
      </c>
      <c r="B212" t="s">
        <v>739</v>
      </c>
      <c r="C212" t="s">
        <v>706</v>
      </c>
      <c r="D212" t="s">
        <v>463</v>
      </c>
      <c r="E212" t="s">
        <v>186</v>
      </c>
      <c r="F212" t="s">
        <v>464</v>
      </c>
      <c r="G212" t="s">
        <v>465</v>
      </c>
      <c r="AQ212">
        <v>0</v>
      </c>
      <c r="AR212">
        <v>1060.5</v>
      </c>
      <c r="AS212">
        <v>0</v>
      </c>
    </row>
    <row r="213" spans="1:45" hidden="1">
      <c r="A213" t="s">
        <v>24</v>
      </c>
      <c r="B213" t="s">
        <v>739</v>
      </c>
      <c r="C213" t="s">
        <v>707</v>
      </c>
      <c r="D213" t="s">
        <v>471</v>
      </c>
      <c r="E213" t="s">
        <v>186</v>
      </c>
      <c r="F213" t="s">
        <v>472</v>
      </c>
      <c r="G213" t="s">
        <v>473</v>
      </c>
      <c r="AQ213">
        <v>0</v>
      </c>
      <c r="AR213">
        <v>15377.25</v>
      </c>
      <c r="AS213">
        <v>0</v>
      </c>
    </row>
    <row r="214" spans="1:45" hidden="1">
      <c r="A214" t="s">
        <v>24</v>
      </c>
      <c r="B214" t="s">
        <v>739</v>
      </c>
      <c r="C214" t="s">
        <v>205</v>
      </c>
      <c r="D214" t="s">
        <v>206</v>
      </c>
      <c r="E214" t="s">
        <v>207</v>
      </c>
      <c r="F214" t="s">
        <v>208</v>
      </c>
      <c r="G214" t="s">
        <v>209</v>
      </c>
      <c r="AQ214">
        <v>0</v>
      </c>
      <c r="AR214">
        <v>0.16159999999999999</v>
      </c>
      <c r="AS214">
        <v>0</v>
      </c>
    </row>
    <row r="215" spans="1:45" hidden="1">
      <c r="A215" t="s">
        <v>24</v>
      </c>
      <c r="B215" t="s">
        <v>739</v>
      </c>
      <c r="C215" t="s">
        <v>210</v>
      </c>
      <c r="D215" t="s">
        <v>211</v>
      </c>
      <c r="E215" t="s">
        <v>207</v>
      </c>
      <c r="F215" t="s">
        <v>212</v>
      </c>
      <c r="G215" t="s">
        <v>209</v>
      </c>
      <c r="H215">
        <v>7280</v>
      </c>
      <c r="I215">
        <v>2915</v>
      </c>
      <c r="J215">
        <v>2149</v>
      </c>
      <c r="K215">
        <v>3580</v>
      </c>
      <c r="P215">
        <v>400</v>
      </c>
      <c r="AQ215">
        <v>16324</v>
      </c>
      <c r="AR215">
        <v>0.63629999999999998</v>
      </c>
      <c r="AS215">
        <v>10386.9612</v>
      </c>
    </row>
    <row r="216" spans="1:45" hidden="1">
      <c r="A216" t="s">
        <v>24</v>
      </c>
      <c r="B216" t="s">
        <v>739</v>
      </c>
      <c r="C216" t="s">
        <v>213</v>
      </c>
      <c r="D216" t="s">
        <v>214</v>
      </c>
      <c r="E216" t="s">
        <v>207</v>
      </c>
      <c r="F216" t="s">
        <v>215</v>
      </c>
      <c r="G216" t="s">
        <v>152</v>
      </c>
      <c r="H216">
        <v>7280</v>
      </c>
      <c r="I216">
        <v>5948</v>
      </c>
      <c r="J216">
        <v>2149</v>
      </c>
      <c r="K216">
        <v>1910</v>
      </c>
      <c r="L216">
        <v>368</v>
      </c>
      <c r="M216">
        <v>365</v>
      </c>
      <c r="O216">
        <v>338</v>
      </c>
      <c r="P216">
        <v>400</v>
      </c>
      <c r="AQ216">
        <v>18758</v>
      </c>
      <c r="AR216">
        <v>0.32319999999999999</v>
      </c>
      <c r="AS216">
        <v>6062.5856000000003</v>
      </c>
    </row>
    <row r="217" spans="1:45" hidden="1">
      <c r="A217" t="s">
        <v>24</v>
      </c>
      <c r="B217" t="s">
        <v>739</v>
      </c>
      <c r="C217" t="s">
        <v>255</v>
      </c>
      <c r="D217" t="s">
        <v>256</v>
      </c>
      <c r="E217" t="s">
        <v>207</v>
      </c>
      <c r="F217" t="s">
        <v>257</v>
      </c>
      <c r="G217" t="s">
        <v>258</v>
      </c>
      <c r="H217">
        <v>70</v>
      </c>
      <c r="I217">
        <v>15</v>
      </c>
      <c r="J217">
        <v>1</v>
      </c>
      <c r="K217">
        <v>3</v>
      </c>
      <c r="AQ217">
        <v>89</v>
      </c>
      <c r="AR217">
        <v>31.815000000000001</v>
      </c>
      <c r="AS217">
        <v>2831.5349999999999</v>
      </c>
    </row>
    <row r="218" spans="1:45" hidden="1">
      <c r="A218" t="s">
        <v>24</v>
      </c>
      <c r="B218" t="s">
        <v>739</v>
      </c>
      <c r="C218" t="s">
        <v>217</v>
      </c>
      <c r="D218" t="s">
        <v>218</v>
      </c>
      <c r="E218" t="s">
        <v>207</v>
      </c>
      <c r="F218" t="s">
        <v>219</v>
      </c>
      <c r="G218" t="s">
        <v>220</v>
      </c>
      <c r="H218">
        <v>33</v>
      </c>
      <c r="I218">
        <v>26</v>
      </c>
      <c r="J218">
        <v>22</v>
      </c>
      <c r="K218">
        <v>16</v>
      </c>
      <c r="L218">
        <v>2</v>
      </c>
      <c r="M218">
        <v>5</v>
      </c>
      <c r="O218">
        <v>6</v>
      </c>
      <c r="P218">
        <v>4</v>
      </c>
      <c r="R218">
        <v>1</v>
      </c>
      <c r="AQ218">
        <v>115</v>
      </c>
      <c r="AR218">
        <v>9.5950000000000006</v>
      </c>
      <c r="AS218">
        <v>1103.425</v>
      </c>
    </row>
    <row r="219" spans="1:45" hidden="1">
      <c r="A219" t="s">
        <v>24</v>
      </c>
      <c r="B219" t="s">
        <v>739</v>
      </c>
      <c r="C219" t="s">
        <v>708</v>
      </c>
      <c r="D219" t="s">
        <v>474</v>
      </c>
      <c r="E219" t="s">
        <v>207</v>
      </c>
      <c r="F219" t="s">
        <v>475</v>
      </c>
      <c r="G219" t="s">
        <v>476</v>
      </c>
      <c r="AQ219">
        <v>0</v>
      </c>
      <c r="AR219">
        <v>79.790000000000006</v>
      </c>
      <c r="AS219">
        <v>0</v>
      </c>
    </row>
    <row r="220" spans="1:45" hidden="1">
      <c r="A220" t="s">
        <v>24</v>
      </c>
      <c r="B220" t="s">
        <v>739</v>
      </c>
      <c r="C220" t="s">
        <v>709</v>
      </c>
      <c r="D220" t="s">
        <v>477</v>
      </c>
      <c r="E220" t="s">
        <v>207</v>
      </c>
      <c r="F220" t="s">
        <v>478</v>
      </c>
      <c r="G220" t="s">
        <v>479</v>
      </c>
      <c r="H220">
        <v>138</v>
      </c>
      <c r="AQ220">
        <v>138</v>
      </c>
      <c r="AR220">
        <v>2.121</v>
      </c>
      <c r="AS220">
        <v>292.69799999999998</v>
      </c>
    </row>
    <row r="221" spans="1:45" hidden="1">
      <c r="A221" t="s">
        <v>24</v>
      </c>
      <c r="B221" t="s">
        <v>739</v>
      </c>
      <c r="C221" t="s">
        <v>221</v>
      </c>
      <c r="D221" t="s">
        <v>222</v>
      </c>
      <c r="E221" t="s">
        <v>207</v>
      </c>
      <c r="F221" t="s">
        <v>223</v>
      </c>
      <c r="G221" t="s">
        <v>224</v>
      </c>
      <c r="AQ221">
        <v>0</v>
      </c>
      <c r="AR221">
        <v>2651.25</v>
      </c>
      <c r="AS221">
        <v>0</v>
      </c>
    </row>
    <row r="222" spans="1:45" hidden="1">
      <c r="A222" t="s">
        <v>24</v>
      </c>
      <c r="B222" t="s">
        <v>739</v>
      </c>
      <c r="C222" t="s">
        <v>225</v>
      </c>
      <c r="D222" t="s">
        <v>226</v>
      </c>
      <c r="E222" t="s">
        <v>207</v>
      </c>
      <c r="F222" t="s">
        <v>227</v>
      </c>
      <c r="G222" t="s">
        <v>228</v>
      </c>
      <c r="H222">
        <v>31</v>
      </c>
      <c r="I222">
        <v>17</v>
      </c>
      <c r="J222">
        <v>7</v>
      </c>
      <c r="K222">
        <v>10</v>
      </c>
      <c r="AQ222">
        <v>65</v>
      </c>
      <c r="AR222">
        <v>21.21</v>
      </c>
      <c r="AS222">
        <v>1378.65</v>
      </c>
    </row>
    <row r="223" spans="1:45" hidden="1">
      <c r="A223" t="s">
        <v>24</v>
      </c>
      <c r="B223" t="s">
        <v>739</v>
      </c>
      <c r="C223" t="s">
        <v>710</v>
      </c>
      <c r="D223" t="s">
        <v>480</v>
      </c>
      <c r="E223" t="s">
        <v>207</v>
      </c>
      <c r="F223" t="s">
        <v>481</v>
      </c>
      <c r="G223" t="s">
        <v>482</v>
      </c>
      <c r="H223">
        <v>1</v>
      </c>
      <c r="AQ223">
        <v>1</v>
      </c>
      <c r="AR223">
        <v>1272.5999999999999</v>
      </c>
      <c r="AS223">
        <v>1272.5999999999999</v>
      </c>
    </row>
    <row r="224" spans="1:45" hidden="1">
      <c r="A224" t="s">
        <v>24</v>
      </c>
      <c r="B224" t="s">
        <v>739</v>
      </c>
      <c r="C224" t="s">
        <v>711</v>
      </c>
      <c r="D224" t="s">
        <v>488</v>
      </c>
      <c r="E224" t="s">
        <v>207</v>
      </c>
      <c r="F224" t="s">
        <v>489</v>
      </c>
      <c r="G224" t="s">
        <v>490</v>
      </c>
      <c r="AQ224">
        <v>0</v>
      </c>
      <c r="AR224">
        <v>0.5353</v>
      </c>
      <c r="AS224">
        <v>0</v>
      </c>
    </row>
    <row r="225" spans="1:45" hidden="1">
      <c r="A225" t="s">
        <v>24</v>
      </c>
      <c r="B225" t="s">
        <v>739</v>
      </c>
      <c r="C225" t="s">
        <v>712</v>
      </c>
      <c r="D225" t="s">
        <v>483</v>
      </c>
      <c r="E225" t="s">
        <v>207</v>
      </c>
      <c r="F225" t="s">
        <v>484</v>
      </c>
      <c r="G225" t="s">
        <v>392</v>
      </c>
      <c r="AQ225">
        <v>0</v>
      </c>
      <c r="AR225">
        <v>2121</v>
      </c>
      <c r="AS225">
        <v>0</v>
      </c>
    </row>
    <row r="226" spans="1:45" hidden="1">
      <c r="A226" t="s">
        <v>24</v>
      </c>
      <c r="B226" t="s">
        <v>739</v>
      </c>
      <c r="C226" t="s">
        <v>713</v>
      </c>
      <c r="D226" t="s">
        <v>485</v>
      </c>
      <c r="E226" t="s">
        <v>207</v>
      </c>
      <c r="F226" t="s">
        <v>486</v>
      </c>
      <c r="G226" t="s">
        <v>487</v>
      </c>
      <c r="AQ226">
        <v>0</v>
      </c>
      <c r="AR226">
        <v>265.125</v>
      </c>
      <c r="AS226">
        <v>0</v>
      </c>
    </row>
    <row r="227" spans="1:45" hidden="1">
      <c r="A227" t="s">
        <v>24</v>
      </c>
      <c r="B227" t="s">
        <v>739</v>
      </c>
      <c r="C227" t="s">
        <v>229</v>
      </c>
      <c r="D227" t="s">
        <v>230</v>
      </c>
      <c r="E227" t="s">
        <v>231</v>
      </c>
      <c r="F227" t="s">
        <v>232</v>
      </c>
      <c r="G227" t="s">
        <v>233</v>
      </c>
      <c r="H227">
        <v>1</v>
      </c>
      <c r="I227">
        <v>6</v>
      </c>
      <c r="J227">
        <v>1</v>
      </c>
      <c r="K227">
        <v>1</v>
      </c>
      <c r="M227">
        <v>1</v>
      </c>
      <c r="O227">
        <v>1</v>
      </c>
      <c r="AQ227">
        <v>11</v>
      </c>
      <c r="AR227">
        <v>1484.7</v>
      </c>
      <c r="AS227">
        <v>16331.7</v>
      </c>
    </row>
    <row r="228" spans="1:45" hidden="1">
      <c r="A228" t="s">
        <v>24</v>
      </c>
      <c r="B228" t="s">
        <v>739</v>
      </c>
      <c r="C228" t="s">
        <v>234</v>
      </c>
      <c r="D228" t="s">
        <v>230</v>
      </c>
      <c r="E228" t="s">
        <v>231</v>
      </c>
      <c r="F228" t="s">
        <v>285</v>
      </c>
      <c r="G228" t="s">
        <v>233</v>
      </c>
      <c r="H228">
        <v>2</v>
      </c>
      <c r="AQ228">
        <v>2</v>
      </c>
      <c r="AR228">
        <v>1696.8</v>
      </c>
      <c r="AS228">
        <v>3393.6</v>
      </c>
    </row>
    <row r="229" spans="1:45" hidden="1">
      <c r="A229" t="s">
        <v>24</v>
      </c>
      <c r="B229" t="s">
        <v>739</v>
      </c>
      <c r="C229" t="s">
        <v>714</v>
      </c>
      <c r="D229" t="s">
        <v>230</v>
      </c>
      <c r="E229" t="s">
        <v>231</v>
      </c>
      <c r="F229" t="s">
        <v>491</v>
      </c>
      <c r="G229" t="s">
        <v>233</v>
      </c>
      <c r="AQ229">
        <v>0</v>
      </c>
      <c r="AR229">
        <v>1908.9</v>
      </c>
      <c r="AS229">
        <v>0</v>
      </c>
    </row>
    <row r="230" spans="1:45" hidden="1">
      <c r="A230" t="s">
        <v>24</v>
      </c>
      <c r="B230" t="s">
        <v>739</v>
      </c>
      <c r="C230" t="s">
        <v>236</v>
      </c>
      <c r="D230" t="s">
        <v>237</v>
      </c>
      <c r="E230" t="s">
        <v>231</v>
      </c>
      <c r="F230" t="s">
        <v>238</v>
      </c>
      <c r="G230" t="s">
        <v>239</v>
      </c>
      <c r="AQ230">
        <v>0</v>
      </c>
      <c r="AR230">
        <v>265.125</v>
      </c>
      <c r="AS230">
        <v>0</v>
      </c>
    </row>
    <row r="231" spans="1:45" hidden="1">
      <c r="A231" t="s">
        <v>24</v>
      </c>
      <c r="B231" t="s">
        <v>739</v>
      </c>
      <c r="C231" t="s">
        <v>715</v>
      </c>
      <c r="D231" t="s">
        <v>492</v>
      </c>
      <c r="E231" t="s">
        <v>231</v>
      </c>
      <c r="F231" t="s">
        <v>493</v>
      </c>
      <c r="G231" t="s">
        <v>494</v>
      </c>
      <c r="AQ231">
        <v>0</v>
      </c>
      <c r="AR231">
        <v>742.35</v>
      </c>
      <c r="AS231">
        <v>0</v>
      </c>
    </row>
    <row r="232" spans="1:45" hidden="1">
      <c r="A232" t="s">
        <v>24</v>
      </c>
      <c r="B232" t="s">
        <v>739</v>
      </c>
      <c r="C232" t="s">
        <v>716</v>
      </c>
      <c r="D232" t="s">
        <v>495</v>
      </c>
      <c r="E232" t="s">
        <v>231</v>
      </c>
      <c r="F232" t="s">
        <v>496</v>
      </c>
      <c r="G232" t="s">
        <v>497</v>
      </c>
      <c r="AQ232">
        <v>0</v>
      </c>
      <c r="AR232">
        <v>848.4</v>
      </c>
      <c r="AS232">
        <v>0</v>
      </c>
    </row>
    <row r="233" spans="1:45" hidden="1">
      <c r="A233" t="s">
        <v>24</v>
      </c>
      <c r="B233" t="s">
        <v>739</v>
      </c>
      <c r="C233" t="s">
        <v>717</v>
      </c>
      <c r="D233" t="s">
        <v>498</v>
      </c>
      <c r="E233" t="s">
        <v>242</v>
      </c>
      <c r="F233" t="s">
        <v>499</v>
      </c>
      <c r="G233" t="s">
        <v>500</v>
      </c>
      <c r="H233">
        <v>7280</v>
      </c>
      <c r="I233">
        <v>5948</v>
      </c>
      <c r="J233">
        <v>2149</v>
      </c>
      <c r="K233">
        <v>2510</v>
      </c>
      <c r="L233">
        <v>368</v>
      </c>
      <c r="M233">
        <v>238</v>
      </c>
      <c r="N233">
        <v>167</v>
      </c>
      <c r="O233">
        <v>338</v>
      </c>
      <c r="P233">
        <v>400</v>
      </c>
      <c r="Q233">
        <v>333</v>
      </c>
      <c r="R233">
        <v>40</v>
      </c>
      <c r="AQ233">
        <v>19771</v>
      </c>
      <c r="AR233">
        <v>1.4341999999999999</v>
      </c>
      <c r="AS233">
        <v>28355.568200000002</v>
      </c>
    </row>
    <row r="234" spans="1:45" hidden="1">
      <c r="A234" t="s">
        <v>24</v>
      </c>
      <c r="B234" t="s">
        <v>739</v>
      </c>
      <c r="C234" t="s">
        <v>718</v>
      </c>
      <c r="D234" t="s">
        <v>504</v>
      </c>
      <c r="E234" t="s">
        <v>242</v>
      </c>
      <c r="F234" t="s">
        <v>505</v>
      </c>
      <c r="G234" t="s">
        <v>506</v>
      </c>
      <c r="H234">
        <v>1180</v>
      </c>
      <c r="I234">
        <v>1050</v>
      </c>
      <c r="K234">
        <v>3000</v>
      </c>
      <c r="O234">
        <v>68</v>
      </c>
      <c r="AQ234">
        <v>5298</v>
      </c>
      <c r="AR234">
        <v>0.84840000000000004</v>
      </c>
      <c r="AS234">
        <v>4494.8231999999998</v>
      </c>
    </row>
    <row r="235" spans="1:45" hidden="1">
      <c r="A235" t="s">
        <v>24</v>
      </c>
      <c r="B235" t="s">
        <v>739</v>
      </c>
      <c r="C235" t="s">
        <v>719</v>
      </c>
      <c r="D235" t="s">
        <v>501</v>
      </c>
      <c r="E235" t="s">
        <v>242</v>
      </c>
      <c r="F235" t="s">
        <v>502</v>
      </c>
      <c r="G235" t="s">
        <v>503</v>
      </c>
      <c r="H235">
        <v>2</v>
      </c>
      <c r="J235">
        <v>1</v>
      </c>
      <c r="K235">
        <v>3</v>
      </c>
      <c r="AQ235">
        <v>6</v>
      </c>
      <c r="AR235">
        <v>1272.5999999999999</v>
      </c>
      <c r="AS235">
        <v>7635.6</v>
      </c>
    </row>
    <row r="236" spans="1:45" hidden="1">
      <c r="A236" t="s">
        <v>24</v>
      </c>
      <c r="B236" t="s">
        <v>739</v>
      </c>
      <c r="C236" t="s">
        <v>720</v>
      </c>
      <c r="D236" t="s">
        <v>518</v>
      </c>
      <c r="E236" t="s">
        <v>242</v>
      </c>
      <c r="F236" t="s">
        <v>519</v>
      </c>
      <c r="G236" t="s">
        <v>517</v>
      </c>
      <c r="AQ236">
        <v>0</v>
      </c>
      <c r="AR236">
        <v>3181.5</v>
      </c>
      <c r="AS236">
        <v>0</v>
      </c>
    </row>
    <row r="237" spans="1:45" hidden="1">
      <c r="A237" t="s">
        <v>24</v>
      </c>
      <c r="B237" t="s">
        <v>739</v>
      </c>
      <c r="C237" t="s">
        <v>721</v>
      </c>
      <c r="D237" t="s">
        <v>520</v>
      </c>
      <c r="E237" t="s">
        <v>242</v>
      </c>
      <c r="F237" t="s">
        <v>521</v>
      </c>
      <c r="G237" t="s">
        <v>517</v>
      </c>
      <c r="AQ237">
        <v>0</v>
      </c>
      <c r="AR237">
        <v>2651.25</v>
      </c>
      <c r="AS237">
        <v>0</v>
      </c>
    </row>
    <row r="238" spans="1:45" hidden="1">
      <c r="A238" t="s">
        <v>24</v>
      </c>
      <c r="B238" t="s">
        <v>739</v>
      </c>
      <c r="C238" t="s">
        <v>240</v>
      </c>
      <c r="D238" t="s">
        <v>241</v>
      </c>
      <c r="E238" t="s">
        <v>242</v>
      </c>
      <c r="F238" t="s">
        <v>243</v>
      </c>
      <c r="G238" t="s">
        <v>244</v>
      </c>
      <c r="K238">
        <v>7</v>
      </c>
      <c r="AQ238">
        <v>7</v>
      </c>
      <c r="AR238">
        <v>318.14999999999998</v>
      </c>
      <c r="AS238">
        <v>2227.0500000000002</v>
      </c>
    </row>
    <row r="239" spans="1:45" hidden="1">
      <c r="A239" t="s">
        <v>24</v>
      </c>
      <c r="B239" t="s">
        <v>739</v>
      </c>
      <c r="C239" t="s">
        <v>245</v>
      </c>
      <c r="D239" t="s">
        <v>246</v>
      </c>
      <c r="E239" t="s">
        <v>242</v>
      </c>
      <c r="F239" t="s">
        <v>247</v>
      </c>
      <c r="G239" t="s">
        <v>248</v>
      </c>
      <c r="H239">
        <v>5</v>
      </c>
      <c r="K239">
        <v>2</v>
      </c>
      <c r="AQ239">
        <v>7</v>
      </c>
      <c r="AR239">
        <v>265.125</v>
      </c>
      <c r="AS239">
        <v>1855.875</v>
      </c>
    </row>
    <row r="240" spans="1:45" hidden="1">
      <c r="A240" t="s">
        <v>24</v>
      </c>
      <c r="B240" t="s">
        <v>739</v>
      </c>
      <c r="C240" t="s">
        <v>259</v>
      </c>
      <c r="D240" t="s">
        <v>260</v>
      </c>
      <c r="E240" t="s">
        <v>242</v>
      </c>
      <c r="F240" t="s">
        <v>261</v>
      </c>
      <c r="G240" t="s">
        <v>262</v>
      </c>
      <c r="H240">
        <v>1</v>
      </c>
      <c r="AQ240">
        <v>1</v>
      </c>
      <c r="AR240">
        <v>318.14999999999998</v>
      </c>
      <c r="AS240">
        <v>318.14999999999998</v>
      </c>
    </row>
    <row r="241" spans="1:45" hidden="1">
      <c r="A241" t="s">
        <v>24</v>
      </c>
      <c r="B241" t="s">
        <v>739</v>
      </c>
      <c r="C241" t="s">
        <v>722</v>
      </c>
      <c r="D241" t="s">
        <v>507</v>
      </c>
      <c r="E241" t="s">
        <v>242</v>
      </c>
      <c r="F241" t="s">
        <v>508</v>
      </c>
      <c r="G241" t="s">
        <v>509</v>
      </c>
      <c r="AQ241">
        <v>0</v>
      </c>
      <c r="AR241">
        <v>2121</v>
      </c>
      <c r="AS241">
        <v>0</v>
      </c>
    </row>
    <row r="242" spans="1:45" hidden="1">
      <c r="A242" t="s">
        <v>24</v>
      </c>
      <c r="B242" t="s">
        <v>739</v>
      </c>
      <c r="C242" t="s">
        <v>723</v>
      </c>
      <c r="D242" t="s">
        <v>510</v>
      </c>
      <c r="E242" t="s">
        <v>242</v>
      </c>
      <c r="F242" t="s">
        <v>511</v>
      </c>
      <c r="G242" t="s">
        <v>512</v>
      </c>
      <c r="H242">
        <v>1</v>
      </c>
      <c r="I242">
        <v>2</v>
      </c>
      <c r="O242">
        <v>1</v>
      </c>
      <c r="AQ242">
        <v>4</v>
      </c>
      <c r="AR242">
        <v>212.1</v>
      </c>
      <c r="AS242">
        <v>848.4</v>
      </c>
    </row>
    <row r="243" spans="1:45" hidden="1">
      <c r="A243" t="s">
        <v>24</v>
      </c>
      <c r="B243" t="s">
        <v>739</v>
      </c>
      <c r="C243" t="s">
        <v>724</v>
      </c>
      <c r="D243" t="s">
        <v>526</v>
      </c>
      <c r="E243" t="s">
        <v>242</v>
      </c>
      <c r="F243" t="s">
        <v>527</v>
      </c>
      <c r="G243" t="s">
        <v>528</v>
      </c>
      <c r="AQ243">
        <v>0</v>
      </c>
      <c r="AR243">
        <v>0.42420000000000002</v>
      </c>
      <c r="AS243">
        <v>0</v>
      </c>
    </row>
    <row r="244" spans="1:45" hidden="1">
      <c r="A244" t="s">
        <v>24</v>
      </c>
      <c r="B244" t="s">
        <v>739</v>
      </c>
      <c r="C244" t="s">
        <v>725</v>
      </c>
      <c r="D244" t="s">
        <v>529</v>
      </c>
      <c r="E244" t="s">
        <v>242</v>
      </c>
      <c r="F244" t="s">
        <v>530</v>
      </c>
      <c r="G244" t="s">
        <v>531</v>
      </c>
      <c r="AQ244">
        <v>0</v>
      </c>
      <c r="AR244">
        <v>212.1</v>
      </c>
      <c r="AS244">
        <v>0</v>
      </c>
    </row>
    <row r="245" spans="1:45" hidden="1">
      <c r="A245" t="s">
        <v>24</v>
      </c>
      <c r="B245" t="s">
        <v>739</v>
      </c>
      <c r="C245" t="s">
        <v>726</v>
      </c>
      <c r="D245" t="s">
        <v>532</v>
      </c>
      <c r="E245" t="s">
        <v>242</v>
      </c>
      <c r="F245" t="s">
        <v>533</v>
      </c>
      <c r="G245" t="s">
        <v>534</v>
      </c>
      <c r="AQ245">
        <v>0</v>
      </c>
      <c r="AR245">
        <v>21.21</v>
      </c>
      <c r="AS245">
        <v>0</v>
      </c>
    </row>
    <row r="246" spans="1:45" hidden="1">
      <c r="A246" t="s">
        <v>24</v>
      </c>
      <c r="B246" t="s">
        <v>739</v>
      </c>
      <c r="C246" t="s">
        <v>727</v>
      </c>
      <c r="D246" t="s">
        <v>287</v>
      </c>
      <c r="E246" t="s">
        <v>242</v>
      </c>
      <c r="F246" t="s">
        <v>537</v>
      </c>
      <c r="G246" t="s">
        <v>538</v>
      </c>
      <c r="AQ246">
        <v>0</v>
      </c>
      <c r="AR246">
        <v>127.26</v>
      </c>
      <c r="AS246">
        <v>0</v>
      </c>
    </row>
    <row r="247" spans="1:45" hidden="1">
      <c r="A247" t="s">
        <v>24</v>
      </c>
      <c r="B247" t="s">
        <v>739</v>
      </c>
      <c r="C247" t="s">
        <v>728</v>
      </c>
      <c r="D247" t="s">
        <v>287</v>
      </c>
      <c r="E247" t="s">
        <v>242</v>
      </c>
      <c r="F247" t="s">
        <v>535</v>
      </c>
      <c r="G247" t="s">
        <v>536</v>
      </c>
      <c r="AQ247">
        <v>0</v>
      </c>
      <c r="AR247">
        <v>424.2</v>
      </c>
      <c r="AS247">
        <v>0</v>
      </c>
    </row>
    <row r="248" spans="1:45" hidden="1">
      <c r="A248" t="s">
        <v>24</v>
      </c>
      <c r="B248" t="s">
        <v>739</v>
      </c>
      <c r="C248" t="s">
        <v>729</v>
      </c>
      <c r="D248" t="s">
        <v>522</v>
      </c>
      <c r="E248" t="s">
        <v>242</v>
      </c>
      <c r="F248" t="s">
        <v>523</v>
      </c>
      <c r="G248" t="s">
        <v>517</v>
      </c>
      <c r="AQ248">
        <v>0</v>
      </c>
      <c r="AR248">
        <v>1272.5999999999999</v>
      </c>
      <c r="AS248">
        <v>0</v>
      </c>
    </row>
    <row r="249" spans="1:45" hidden="1">
      <c r="A249" t="s">
        <v>24</v>
      </c>
      <c r="B249" t="s">
        <v>739</v>
      </c>
      <c r="C249" t="s">
        <v>730</v>
      </c>
      <c r="D249" t="s">
        <v>515</v>
      </c>
      <c r="E249" t="s">
        <v>242</v>
      </c>
      <c r="F249" t="s">
        <v>516</v>
      </c>
      <c r="G249" t="s">
        <v>517</v>
      </c>
      <c r="AQ249">
        <v>0</v>
      </c>
      <c r="AR249">
        <v>3181.5</v>
      </c>
      <c r="AS249">
        <v>0</v>
      </c>
    </row>
    <row r="250" spans="1:45" hidden="1">
      <c r="A250" t="s">
        <v>24</v>
      </c>
      <c r="B250" t="s">
        <v>739</v>
      </c>
      <c r="C250" t="s">
        <v>731</v>
      </c>
      <c r="D250" t="s">
        <v>524</v>
      </c>
      <c r="E250" t="s">
        <v>242</v>
      </c>
      <c r="F250" t="s">
        <v>525</v>
      </c>
      <c r="G250" t="s">
        <v>503</v>
      </c>
      <c r="AQ250">
        <v>0</v>
      </c>
      <c r="AR250">
        <v>15907.5</v>
      </c>
      <c r="AS250">
        <v>0</v>
      </c>
    </row>
    <row r="251" spans="1:45" hidden="1">
      <c r="A251" t="s">
        <v>24</v>
      </c>
      <c r="B251" t="s">
        <v>739</v>
      </c>
      <c r="C251" t="s">
        <v>732</v>
      </c>
      <c r="D251" t="s">
        <v>513</v>
      </c>
      <c r="E251" t="s">
        <v>242</v>
      </c>
      <c r="F251" t="s">
        <v>514</v>
      </c>
      <c r="G251" t="s">
        <v>453</v>
      </c>
      <c r="AQ251">
        <v>0</v>
      </c>
      <c r="AR251">
        <v>848.4</v>
      </c>
      <c r="AS251">
        <v>0</v>
      </c>
    </row>
    <row r="252" spans="1:45" hidden="1">
      <c r="A252" t="s">
        <v>24</v>
      </c>
      <c r="B252" t="s">
        <v>739</v>
      </c>
      <c r="C252" t="s">
        <v>733</v>
      </c>
      <c r="D252" t="s">
        <v>287</v>
      </c>
      <c r="E252" t="s">
        <v>242</v>
      </c>
      <c r="F252" t="s">
        <v>539</v>
      </c>
      <c r="G252" t="s">
        <v>540</v>
      </c>
      <c r="AQ252">
        <v>0</v>
      </c>
      <c r="AR252">
        <v>8.08</v>
      </c>
      <c r="AS252">
        <v>0</v>
      </c>
    </row>
    <row r="253" spans="1:45" hidden="1">
      <c r="A253" t="s">
        <v>24</v>
      </c>
      <c r="B253" t="s">
        <v>739</v>
      </c>
      <c r="C253" t="s">
        <v>734</v>
      </c>
      <c r="D253" t="s">
        <v>287</v>
      </c>
      <c r="E253" t="s">
        <v>242</v>
      </c>
      <c r="F253" t="s">
        <v>541</v>
      </c>
      <c r="G253" t="s">
        <v>540</v>
      </c>
      <c r="AQ253">
        <v>0</v>
      </c>
      <c r="AR253">
        <v>7.4740000000000002</v>
      </c>
      <c r="AS253">
        <v>0</v>
      </c>
    </row>
    <row r="254" spans="1:45" hidden="1">
      <c r="A254" t="s">
        <v>24</v>
      </c>
      <c r="B254" t="s">
        <v>739</v>
      </c>
      <c r="C254" t="s">
        <v>735</v>
      </c>
      <c r="D254" t="s">
        <v>543</v>
      </c>
      <c r="E254" t="s">
        <v>542</v>
      </c>
      <c r="F254" t="s">
        <v>544</v>
      </c>
      <c r="G254" t="s">
        <v>545</v>
      </c>
      <c r="AQ254">
        <v>0</v>
      </c>
      <c r="AR254">
        <v>0</v>
      </c>
      <c r="AS254">
        <v>0</v>
      </c>
    </row>
    <row r="255" spans="1:45" hidden="1">
      <c r="A255" t="s">
        <v>24</v>
      </c>
      <c r="B255" t="s">
        <v>739</v>
      </c>
      <c r="C255" t="s">
        <v>286</v>
      </c>
      <c r="D255" t="s">
        <v>287</v>
      </c>
      <c r="E255" t="s">
        <v>288</v>
      </c>
      <c r="F255" t="s">
        <v>289</v>
      </c>
      <c r="G255" t="s">
        <v>547</v>
      </c>
      <c r="AQ255">
        <v>0</v>
      </c>
      <c r="AR255">
        <v>0.05</v>
      </c>
      <c r="AS255">
        <v>12277.499400000001</v>
      </c>
    </row>
    <row r="256" spans="1:45" hidden="1">
      <c r="A256" t="s">
        <v>24</v>
      </c>
      <c r="B256" t="s">
        <v>739</v>
      </c>
      <c r="C256" t="s">
        <v>291</v>
      </c>
      <c r="D256" t="s">
        <v>287</v>
      </c>
      <c r="E256" t="s">
        <v>288</v>
      </c>
      <c r="F256" t="s">
        <v>292</v>
      </c>
      <c r="G256" t="s">
        <v>293</v>
      </c>
      <c r="H256">
        <v>7280</v>
      </c>
      <c r="I256">
        <v>5948</v>
      </c>
      <c r="J256">
        <v>2149</v>
      </c>
      <c r="K256">
        <v>2510</v>
      </c>
      <c r="L256">
        <v>368</v>
      </c>
      <c r="M256">
        <v>238</v>
      </c>
      <c r="N256">
        <v>167</v>
      </c>
      <c r="O256">
        <v>338</v>
      </c>
      <c r="P256">
        <v>400</v>
      </c>
      <c r="Q256">
        <v>333</v>
      </c>
      <c r="AQ256">
        <v>19731</v>
      </c>
      <c r="AR256">
        <v>6.0600000000000001E-2</v>
      </c>
      <c r="AS256">
        <v>1195.6985999999999</v>
      </c>
    </row>
    <row r="257" spans="1:45" hidden="1">
      <c r="A257" t="s">
        <v>24</v>
      </c>
      <c r="B257" t="s">
        <v>739</v>
      </c>
      <c r="C257" t="s">
        <v>736</v>
      </c>
      <c r="D257" t="s">
        <v>287</v>
      </c>
      <c r="E257" t="s">
        <v>288</v>
      </c>
      <c r="F257" t="s">
        <v>550</v>
      </c>
      <c r="G257" t="s">
        <v>293</v>
      </c>
      <c r="H257">
        <v>7280</v>
      </c>
      <c r="I257">
        <v>5948</v>
      </c>
      <c r="J257">
        <v>2149</v>
      </c>
      <c r="K257">
        <v>2510</v>
      </c>
      <c r="L257">
        <v>368</v>
      </c>
      <c r="M257">
        <v>238</v>
      </c>
      <c r="N257">
        <v>167</v>
      </c>
      <c r="O257">
        <v>338</v>
      </c>
      <c r="P257">
        <v>400</v>
      </c>
      <c r="Q257">
        <v>333</v>
      </c>
      <c r="AQ257">
        <v>19731</v>
      </c>
      <c r="AR257">
        <v>5.0500000000000003E-2</v>
      </c>
      <c r="AS257">
        <v>996.41549999999995</v>
      </c>
    </row>
    <row r="258" spans="1:45" hidden="1">
      <c r="A258" t="s">
        <v>24</v>
      </c>
      <c r="B258" t="s">
        <v>739</v>
      </c>
      <c r="C258" t="s">
        <v>737</v>
      </c>
      <c r="D258" t="s">
        <v>287</v>
      </c>
      <c r="E258" t="s">
        <v>288</v>
      </c>
      <c r="F258" t="s">
        <v>548</v>
      </c>
      <c r="G258" t="s">
        <v>293</v>
      </c>
      <c r="H258">
        <v>7280</v>
      </c>
      <c r="I258">
        <v>5948</v>
      </c>
      <c r="J258">
        <v>2149</v>
      </c>
      <c r="K258">
        <v>2510</v>
      </c>
      <c r="L258">
        <v>368</v>
      </c>
      <c r="M258">
        <v>238</v>
      </c>
      <c r="N258">
        <v>167</v>
      </c>
      <c r="O258">
        <v>338</v>
      </c>
      <c r="P258">
        <v>400</v>
      </c>
      <c r="Q258">
        <v>333</v>
      </c>
      <c r="AQ258">
        <v>19731</v>
      </c>
      <c r="AR258">
        <v>0.1111</v>
      </c>
      <c r="AS258">
        <v>2192.1140999999998</v>
      </c>
    </row>
    <row r="259" spans="1:45" hidden="1">
      <c r="A259" t="s">
        <v>24</v>
      </c>
      <c r="B259" t="s">
        <v>739</v>
      </c>
      <c r="C259" t="s">
        <v>738</v>
      </c>
      <c r="D259" t="s">
        <v>287</v>
      </c>
      <c r="E259" t="s">
        <v>288</v>
      </c>
      <c r="F259" t="s">
        <v>549</v>
      </c>
      <c r="G259" t="s">
        <v>293</v>
      </c>
      <c r="H259">
        <v>7280</v>
      </c>
      <c r="I259">
        <v>5948</v>
      </c>
      <c r="J259">
        <v>2149</v>
      </c>
      <c r="K259">
        <v>2510</v>
      </c>
      <c r="L259">
        <v>368</v>
      </c>
      <c r="M259">
        <v>238</v>
      </c>
      <c r="N259">
        <v>167</v>
      </c>
      <c r="O259">
        <v>338</v>
      </c>
      <c r="P259">
        <v>400</v>
      </c>
      <c r="Q259">
        <v>333</v>
      </c>
      <c r="AQ259">
        <v>19731</v>
      </c>
      <c r="AR259">
        <v>0.10100000000000001</v>
      </c>
      <c r="AS259">
        <v>1992.8309999999999</v>
      </c>
    </row>
    <row r="260" spans="1:45" hidden="1">
      <c r="A260" t="s">
        <v>19</v>
      </c>
      <c r="B260" t="s">
        <v>741</v>
      </c>
      <c r="C260" t="s">
        <v>641</v>
      </c>
      <c r="D260" t="s">
        <v>324</v>
      </c>
      <c r="E260" t="s">
        <v>323</v>
      </c>
      <c r="F260" t="s">
        <v>325</v>
      </c>
      <c r="G260" t="s">
        <v>326</v>
      </c>
      <c r="AQ260">
        <v>0</v>
      </c>
      <c r="AR260">
        <v>1.35E-2</v>
      </c>
      <c r="AS260">
        <v>0</v>
      </c>
    </row>
    <row r="261" spans="1:45" hidden="1">
      <c r="A261" t="s">
        <v>19</v>
      </c>
      <c r="B261" t="s">
        <v>741</v>
      </c>
      <c r="C261" t="s">
        <v>642</v>
      </c>
      <c r="D261" t="s">
        <v>327</v>
      </c>
      <c r="E261" t="s">
        <v>323</v>
      </c>
      <c r="F261" t="s">
        <v>328</v>
      </c>
      <c r="G261" t="s">
        <v>329</v>
      </c>
      <c r="AJ261">
        <v>128</v>
      </c>
      <c r="AQ261">
        <v>128</v>
      </c>
      <c r="AR261">
        <v>5.9330000000000001E-2</v>
      </c>
      <c r="AS261">
        <v>7.5942400000000001</v>
      </c>
    </row>
    <row r="262" spans="1:45" hidden="1">
      <c r="A262" t="s">
        <v>19</v>
      </c>
      <c r="B262" t="s">
        <v>741</v>
      </c>
      <c r="C262" t="s">
        <v>643</v>
      </c>
      <c r="D262" t="s">
        <v>330</v>
      </c>
      <c r="E262" t="s">
        <v>323</v>
      </c>
      <c r="F262" t="s">
        <v>331</v>
      </c>
      <c r="G262" t="s">
        <v>740</v>
      </c>
      <c r="AQ262">
        <v>0</v>
      </c>
      <c r="AR262">
        <v>0.1</v>
      </c>
      <c r="AS262">
        <v>0</v>
      </c>
    </row>
    <row r="263" spans="1:45" hidden="1">
      <c r="A263" t="s">
        <v>19</v>
      </c>
      <c r="B263" t="s">
        <v>741</v>
      </c>
      <c r="C263" t="s">
        <v>644</v>
      </c>
      <c r="D263" t="s">
        <v>332</v>
      </c>
      <c r="E263" t="s">
        <v>323</v>
      </c>
      <c r="F263" t="s">
        <v>333</v>
      </c>
      <c r="G263" t="s">
        <v>740</v>
      </c>
      <c r="AQ263">
        <v>0</v>
      </c>
      <c r="AR263">
        <v>0.125</v>
      </c>
      <c r="AS263">
        <v>0</v>
      </c>
    </row>
    <row r="264" spans="1:45" hidden="1">
      <c r="A264" t="s">
        <v>19</v>
      </c>
      <c r="B264" t="s">
        <v>741</v>
      </c>
      <c r="C264" t="s">
        <v>645</v>
      </c>
      <c r="D264" t="s">
        <v>334</v>
      </c>
      <c r="E264" t="s">
        <v>323</v>
      </c>
      <c r="F264" t="s">
        <v>335</v>
      </c>
      <c r="G264" t="s">
        <v>329</v>
      </c>
      <c r="AQ264">
        <v>0</v>
      </c>
      <c r="AR264">
        <v>0.28000000000000003</v>
      </c>
    </row>
    <row r="265" spans="1:45" hidden="1">
      <c r="A265" t="s">
        <v>19</v>
      </c>
      <c r="B265" t="s">
        <v>741</v>
      </c>
      <c r="C265" t="s">
        <v>646</v>
      </c>
      <c r="D265" t="s">
        <v>137</v>
      </c>
      <c r="E265" t="s">
        <v>138</v>
      </c>
      <c r="F265" t="s">
        <v>337</v>
      </c>
      <c r="G265" t="s">
        <v>140</v>
      </c>
      <c r="AQ265">
        <v>0</v>
      </c>
      <c r="AR265">
        <v>212.1</v>
      </c>
      <c r="AS265">
        <v>0</v>
      </c>
    </row>
    <row r="266" spans="1:45" hidden="1">
      <c r="A266" t="s">
        <v>19</v>
      </c>
      <c r="B266" t="s">
        <v>741</v>
      </c>
      <c r="C266" t="s">
        <v>136</v>
      </c>
      <c r="D266" t="s">
        <v>137</v>
      </c>
      <c r="E266" t="s">
        <v>138</v>
      </c>
      <c r="F266" t="s">
        <v>139</v>
      </c>
      <c r="G266" t="s">
        <v>140</v>
      </c>
      <c r="J266">
        <v>1</v>
      </c>
      <c r="Z266">
        <v>1</v>
      </c>
      <c r="AJ266">
        <v>1</v>
      </c>
      <c r="AM266">
        <v>1</v>
      </c>
      <c r="AQ266">
        <v>4</v>
      </c>
      <c r="AR266">
        <v>1696.8</v>
      </c>
      <c r="AS266">
        <v>6787.2</v>
      </c>
    </row>
    <row r="267" spans="1:45" hidden="1">
      <c r="A267" t="s">
        <v>19</v>
      </c>
      <c r="B267" t="s">
        <v>741</v>
      </c>
      <c r="C267" t="s">
        <v>143</v>
      </c>
      <c r="D267" t="s">
        <v>137</v>
      </c>
      <c r="E267" t="s">
        <v>138</v>
      </c>
      <c r="F267" t="s">
        <v>277</v>
      </c>
      <c r="G267" t="s">
        <v>140</v>
      </c>
      <c r="AB267">
        <v>1</v>
      </c>
      <c r="AQ267">
        <v>1</v>
      </c>
      <c r="AR267">
        <v>3923.85</v>
      </c>
      <c r="AS267">
        <v>3923.85</v>
      </c>
    </row>
    <row r="268" spans="1:45" hidden="1">
      <c r="A268" t="s">
        <v>19</v>
      </c>
      <c r="B268" t="s">
        <v>741</v>
      </c>
      <c r="C268" t="s">
        <v>647</v>
      </c>
      <c r="D268" t="s">
        <v>137</v>
      </c>
      <c r="E268" t="s">
        <v>138</v>
      </c>
      <c r="F268" t="s">
        <v>338</v>
      </c>
      <c r="G268" t="s">
        <v>140</v>
      </c>
      <c r="AQ268">
        <v>0</v>
      </c>
      <c r="AR268">
        <v>6893.25</v>
      </c>
      <c r="AS268">
        <v>0</v>
      </c>
    </row>
    <row r="269" spans="1:45" hidden="1">
      <c r="A269" t="s">
        <v>19</v>
      </c>
      <c r="B269" t="s">
        <v>741</v>
      </c>
      <c r="C269" t="s">
        <v>648</v>
      </c>
      <c r="D269" t="s">
        <v>342</v>
      </c>
      <c r="E269" t="s">
        <v>138</v>
      </c>
      <c r="F269" t="s">
        <v>343</v>
      </c>
      <c r="G269" t="s">
        <v>140</v>
      </c>
      <c r="AQ269">
        <v>0</v>
      </c>
      <c r="AR269">
        <v>13786.5</v>
      </c>
      <c r="AS269">
        <v>0</v>
      </c>
    </row>
    <row r="270" spans="1:45" hidden="1">
      <c r="A270" t="s">
        <v>19</v>
      </c>
      <c r="B270" t="s">
        <v>741</v>
      </c>
      <c r="C270" t="s">
        <v>649</v>
      </c>
      <c r="D270" t="s">
        <v>344</v>
      </c>
      <c r="E270" t="s">
        <v>138</v>
      </c>
      <c r="F270" t="s">
        <v>345</v>
      </c>
      <c r="G270" t="s">
        <v>346</v>
      </c>
      <c r="AQ270">
        <v>0</v>
      </c>
      <c r="AR270">
        <v>11.11</v>
      </c>
      <c r="AS270">
        <v>0</v>
      </c>
    </row>
    <row r="271" spans="1:45" hidden="1">
      <c r="A271" t="s">
        <v>19</v>
      </c>
      <c r="B271" t="s">
        <v>741</v>
      </c>
      <c r="C271" t="s">
        <v>650</v>
      </c>
      <c r="D271" t="s">
        <v>339</v>
      </c>
      <c r="E271" t="s">
        <v>138</v>
      </c>
      <c r="F271" t="s">
        <v>340</v>
      </c>
      <c r="G271" t="s">
        <v>341</v>
      </c>
      <c r="AJ271">
        <v>1</v>
      </c>
      <c r="AQ271">
        <v>1</v>
      </c>
      <c r="AR271">
        <v>557.52</v>
      </c>
      <c r="AS271">
        <v>557.52</v>
      </c>
    </row>
    <row r="272" spans="1:45" hidden="1">
      <c r="A272" t="s">
        <v>19</v>
      </c>
      <c r="B272" t="s">
        <v>741</v>
      </c>
      <c r="C272" t="s">
        <v>651</v>
      </c>
      <c r="D272" t="s">
        <v>347</v>
      </c>
      <c r="E272" t="s">
        <v>138</v>
      </c>
      <c r="F272" t="s">
        <v>350</v>
      </c>
      <c r="G272" t="s">
        <v>349</v>
      </c>
      <c r="Q272">
        <v>1</v>
      </c>
      <c r="S272">
        <v>2</v>
      </c>
      <c r="W272">
        <v>2</v>
      </c>
      <c r="AC272">
        <v>1</v>
      </c>
      <c r="AD272">
        <v>1</v>
      </c>
      <c r="AQ272">
        <v>7</v>
      </c>
      <c r="AR272">
        <v>234.32</v>
      </c>
      <c r="AS272">
        <v>1640.24</v>
      </c>
    </row>
    <row r="273" spans="1:45" hidden="1">
      <c r="A273" t="s">
        <v>19</v>
      </c>
      <c r="B273" t="s">
        <v>741</v>
      </c>
      <c r="C273" t="s">
        <v>652</v>
      </c>
      <c r="D273" t="s">
        <v>347</v>
      </c>
      <c r="E273" t="s">
        <v>138</v>
      </c>
      <c r="F273" t="s">
        <v>348</v>
      </c>
      <c r="G273" t="s">
        <v>349</v>
      </c>
      <c r="M273">
        <v>3</v>
      </c>
      <c r="N273">
        <v>3</v>
      </c>
      <c r="O273">
        <v>3</v>
      </c>
      <c r="R273">
        <v>3</v>
      </c>
      <c r="S273">
        <v>1</v>
      </c>
      <c r="X273">
        <v>3</v>
      </c>
      <c r="AE273">
        <v>1</v>
      </c>
      <c r="AF273">
        <v>1</v>
      </c>
      <c r="AQ273">
        <v>18</v>
      </c>
      <c r="AR273">
        <v>456.52</v>
      </c>
      <c r="AS273">
        <v>8217.36</v>
      </c>
    </row>
    <row r="274" spans="1:45" hidden="1">
      <c r="A274" t="s">
        <v>19</v>
      </c>
      <c r="B274" t="s">
        <v>741</v>
      </c>
      <c r="C274" t="s">
        <v>653</v>
      </c>
      <c r="D274" t="s">
        <v>347</v>
      </c>
      <c r="E274" t="s">
        <v>138</v>
      </c>
      <c r="F274" t="s">
        <v>351</v>
      </c>
      <c r="G274" t="s">
        <v>349</v>
      </c>
      <c r="AQ274">
        <v>0</v>
      </c>
      <c r="AR274">
        <v>679.73</v>
      </c>
      <c r="AS274">
        <v>0</v>
      </c>
    </row>
    <row r="275" spans="1:45" hidden="1">
      <c r="A275" t="s">
        <v>19</v>
      </c>
      <c r="B275" t="s">
        <v>741</v>
      </c>
      <c r="C275" t="s">
        <v>654</v>
      </c>
      <c r="D275" t="s">
        <v>352</v>
      </c>
      <c r="E275" t="s">
        <v>138</v>
      </c>
      <c r="F275" t="s">
        <v>353</v>
      </c>
      <c r="G275" t="s">
        <v>354</v>
      </c>
      <c r="AQ275">
        <v>0</v>
      </c>
      <c r="AR275">
        <v>3923.85</v>
      </c>
      <c r="AS275">
        <v>0</v>
      </c>
    </row>
    <row r="276" spans="1:45" hidden="1">
      <c r="A276" t="s">
        <v>19</v>
      </c>
      <c r="B276" t="s">
        <v>741</v>
      </c>
      <c r="C276" t="s">
        <v>655</v>
      </c>
      <c r="D276" t="s">
        <v>355</v>
      </c>
      <c r="E276" t="s">
        <v>138</v>
      </c>
      <c r="F276" t="s">
        <v>356</v>
      </c>
      <c r="G276" t="s">
        <v>357</v>
      </c>
      <c r="AQ276">
        <v>0</v>
      </c>
      <c r="AR276">
        <v>556.51</v>
      </c>
      <c r="AS276">
        <v>0</v>
      </c>
    </row>
    <row r="277" spans="1:45" hidden="1">
      <c r="A277" t="s">
        <v>19</v>
      </c>
      <c r="B277" t="s">
        <v>741</v>
      </c>
      <c r="C277" t="s">
        <v>656</v>
      </c>
      <c r="D277" t="s">
        <v>358</v>
      </c>
      <c r="E277" t="s">
        <v>138</v>
      </c>
      <c r="F277" t="s">
        <v>359</v>
      </c>
      <c r="G277" t="s">
        <v>360</v>
      </c>
      <c r="AQ277">
        <v>0</v>
      </c>
      <c r="AR277">
        <v>334.31</v>
      </c>
      <c r="AS277">
        <v>0</v>
      </c>
    </row>
    <row r="278" spans="1:45" hidden="1">
      <c r="A278" t="s">
        <v>19</v>
      </c>
      <c r="B278" t="s">
        <v>741</v>
      </c>
      <c r="C278" t="s">
        <v>657</v>
      </c>
      <c r="D278" t="s">
        <v>361</v>
      </c>
      <c r="E278" t="s">
        <v>138</v>
      </c>
      <c r="F278" t="s">
        <v>362</v>
      </c>
      <c r="G278" t="s">
        <v>363</v>
      </c>
      <c r="AQ278">
        <v>0</v>
      </c>
      <c r="AR278">
        <v>1.0605</v>
      </c>
      <c r="AS278">
        <v>0</v>
      </c>
    </row>
    <row r="279" spans="1:45" hidden="1">
      <c r="A279" t="s">
        <v>19</v>
      </c>
      <c r="B279" t="s">
        <v>741</v>
      </c>
      <c r="C279" t="s">
        <v>658</v>
      </c>
      <c r="D279" t="s">
        <v>364</v>
      </c>
      <c r="E279" t="s">
        <v>138</v>
      </c>
      <c r="F279" t="s">
        <v>366</v>
      </c>
      <c r="G279" t="s">
        <v>363</v>
      </c>
      <c r="AQ279">
        <v>0</v>
      </c>
      <c r="AR279">
        <v>4.242</v>
      </c>
      <c r="AS279">
        <v>0</v>
      </c>
    </row>
    <row r="280" spans="1:45" hidden="1">
      <c r="A280" t="s">
        <v>19</v>
      </c>
      <c r="B280" t="s">
        <v>741</v>
      </c>
      <c r="C280" t="s">
        <v>659</v>
      </c>
      <c r="D280" t="s">
        <v>364</v>
      </c>
      <c r="E280" t="s">
        <v>138</v>
      </c>
      <c r="F280" t="s">
        <v>365</v>
      </c>
      <c r="G280" t="s">
        <v>363</v>
      </c>
      <c r="AQ280">
        <v>0</v>
      </c>
      <c r="AR280">
        <v>8.484</v>
      </c>
      <c r="AS280">
        <v>0</v>
      </c>
    </row>
    <row r="281" spans="1:45" hidden="1">
      <c r="A281" t="s">
        <v>19</v>
      </c>
      <c r="B281" t="s">
        <v>741</v>
      </c>
      <c r="C281" t="s">
        <v>660</v>
      </c>
      <c r="D281" t="s">
        <v>364</v>
      </c>
      <c r="E281" t="s">
        <v>138</v>
      </c>
      <c r="F281" t="s">
        <v>367</v>
      </c>
      <c r="G281" t="s">
        <v>363</v>
      </c>
      <c r="AQ281">
        <v>0</v>
      </c>
      <c r="AR281">
        <v>21.21</v>
      </c>
      <c r="AS281">
        <v>0</v>
      </c>
    </row>
    <row r="282" spans="1:45" hidden="1">
      <c r="A282" t="s">
        <v>19</v>
      </c>
      <c r="B282" t="s">
        <v>741</v>
      </c>
      <c r="C282" t="s">
        <v>278</v>
      </c>
      <c r="D282" t="s">
        <v>146</v>
      </c>
      <c r="E282" t="s">
        <v>138</v>
      </c>
      <c r="F282" t="s">
        <v>279</v>
      </c>
      <c r="G282" t="s">
        <v>148</v>
      </c>
      <c r="M282">
        <v>1</v>
      </c>
      <c r="AQ282">
        <v>1</v>
      </c>
      <c r="AR282">
        <v>1272.5999999999999</v>
      </c>
      <c r="AS282">
        <v>1272.5999999999999</v>
      </c>
    </row>
    <row r="283" spans="1:45" hidden="1">
      <c r="A283" t="s">
        <v>19</v>
      </c>
      <c r="B283" t="s">
        <v>741</v>
      </c>
      <c r="C283" t="s">
        <v>661</v>
      </c>
      <c r="D283" t="s">
        <v>146</v>
      </c>
      <c r="E283" t="s">
        <v>138</v>
      </c>
      <c r="F283" t="s">
        <v>368</v>
      </c>
      <c r="G283" t="s">
        <v>148</v>
      </c>
      <c r="S283">
        <v>1</v>
      </c>
      <c r="AQ283">
        <v>1</v>
      </c>
      <c r="AR283">
        <v>2333.1</v>
      </c>
      <c r="AS283">
        <v>2333.1</v>
      </c>
    </row>
    <row r="284" spans="1:45" hidden="1">
      <c r="A284" t="s">
        <v>19</v>
      </c>
      <c r="B284" t="s">
        <v>741</v>
      </c>
      <c r="C284" t="s">
        <v>662</v>
      </c>
      <c r="D284" t="s">
        <v>146</v>
      </c>
      <c r="E284" t="s">
        <v>138</v>
      </c>
      <c r="F284" t="s">
        <v>369</v>
      </c>
      <c r="G284" t="s">
        <v>148</v>
      </c>
      <c r="AQ284">
        <v>0</v>
      </c>
      <c r="AR284">
        <v>3711.75</v>
      </c>
      <c r="AS284">
        <v>0</v>
      </c>
    </row>
    <row r="285" spans="1:45" hidden="1">
      <c r="A285" t="s">
        <v>19</v>
      </c>
      <c r="B285" t="s">
        <v>741</v>
      </c>
      <c r="C285" t="s">
        <v>663</v>
      </c>
      <c r="D285" t="s">
        <v>146</v>
      </c>
      <c r="E285" t="s">
        <v>138</v>
      </c>
      <c r="F285" t="s">
        <v>370</v>
      </c>
      <c r="G285" t="s">
        <v>148</v>
      </c>
      <c r="AQ285">
        <v>0</v>
      </c>
      <c r="AR285">
        <v>5832.75</v>
      </c>
      <c r="AS285">
        <v>0</v>
      </c>
    </row>
    <row r="286" spans="1:45" hidden="1">
      <c r="A286" t="s">
        <v>19</v>
      </c>
      <c r="B286" t="s">
        <v>741</v>
      </c>
      <c r="C286" t="s">
        <v>664</v>
      </c>
      <c r="D286" t="s">
        <v>371</v>
      </c>
      <c r="E286" t="s">
        <v>138</v>
      </c>
      <c r="F286" t="s">
        <v>372</v>
      </c>
      <c r="G286" t="s">
        <v>373</v>
      </c>
      <c r="AQ286">
        <v>0</v>
      </c>
      <c r="AR286">
        <v>3711.75</v>
      </c>
      <c r="AS286">
        <v>0</v>
      </c>
    </row>
    <row r="287" spans="1:45" hidden="1">
      <c r="A287" t="s">
        <v>19</v>
      </c>
      <c r="B287" t="s">
        <v>741</v>
      </c>
      <c r="C287" t="s">
        <v>149</v>
      </c>
      <c r="D287" t="s">
        <v>280</v>
      </c>
      <c r="E287" t="s">
        <v>138</v>
      </c>
      <c r="F287" t="s">
        <v>151</v>
      </c>
      <c r="G287" t="s">
        <v>152</v>
      </c>
      <c r="AQ287">
        <v>0</v>
      </c>
      <c r="AR287">
        <v>1.111</v>
      </c>
      <c r="AS287">
        <v>0</v>
      </c>
    </row>
    <row r="288" spans="1:45" hidden="1">
      <c r="A288" t="s">
        <v>19</v>
      </c>
      <c r="B288" t="s">
        <v>741</v>
      </c>
      <c r="C288" t="s">
        <v>153</v>
      </c>
      <c r="D288" t="s">
        <v>154</v>
      </c>
      <c r="E288" t="s">
        <v>138</v>
      </c>
      <c r="F288" t="s">
        <v>155</v>
      </c>
      <c r="G288" t="s">
        <v>156</v>
      </c>
      <c r="M288">
        <v>8</v>
      </c>
      <c r="S288">
        <v>55</v>
      </c>
      <c r="AB288">
        <v>7</v>
      </c>
      <c r="AF288">
        <v>4</v>
      </c>
      <c r="AN288">
        <v>10</v>
      </c>
      <c r="AQ288">
        <v>84</v>
      </c>
      <c r="AR288">
        <v>116.655</v>
      </c>
      <c r="AS288">
        <v>9799.02</v>
      </c>
    </row>
    <row r="289" spans="1:45" hidden="1">
      <c r="A289" t="s">
        <v>19</v>
      </c>
      <c r="B289" t="s">
        <v>741</v>
      </c>
      <c r="C289" t="s">
        <v>665</v>
      </c>
      <c r="D289" t="s">
        <v>375</v>
      </c>
      <c r="E289" t="s">
        <v>138</v>
      </c>
      <c r="F289" t="s">
        <v>376</v>
      </c>
      <c r="G289" t="s">
        <v>377</v>
      </c>
      <c r="AQ289">
        <v>0</v>
      </c>
      <c r="AR289">
        <v>89.081999999999994</v>
      </c>
      <c r="AS289">
        <v>0</v>
      </c>
    </row>
    <row r="290" spans="1:45" hidden="1">
      <c r="A290" t="s">
        <v>19</v>
      </c>
      <c r="B290" t="s">
        <v>741</v>
      </c>
      <c r="C290" t="s">
        <v>158</v>
      </c>
      <c r="D290" t="s">
        <v>159</v>
      </c>
      <c r="E290" t="s">
        <v>138</v>
      </c>
      <c r="F290" t="s">
        <v>160</v>
      </c>
      <c r="G290" t="s">
        <v>161</v>
      </c>
      <c r="I290">
        <v>5</v>
      </c>
      <c r="J290">
        <v>35</v>
      </c>
      <c r="L290">
        <v>10</v>
      </c>
      <c r="M290">
        <v>15</v>
      </c>
      <c r="O290">
        <v>7</v>
      </c>
      <c r="Q290">
        <v>4</v>
      </c>
      <c r="R290">
        <v>3</v>
      </c>
      <c r="T290">
        <v>2</v>
      </c>
      <c r="AB290">
        <v>65</v>
      </c>
      <c r="AF290">
        <v>1</v>
      </c>
      <c r="AG290">
        <v>14</v>
      </c>
      <c r="AQ290">
        <v>161</v>
      </c>
      <c r="AR290">
        <v>66.66</v>
      </c>
      <c r="AS290">
        <v>10732.26</v>
      </c>
    </row>
    <row r="291" spans="1:45" hidden="1">
      <c r="A291" t="s">
        <v>19</v>
      </c>
      <c r="B291" t="s">
        <v>741</v>
      </c>
      <c r="C291" t="s">
        <v>666</v>
      </c>
      <c r="D291" t="s">
        <v>378</v>
      </c>
      <c r="E291" t="s">
        <v>138</v>
      </c>
      <c r="F291" t="s">
        <v>379</v>
      </c>
      <c r="G291" t="s">
        <v>380</v>
      </c>
      <c r="M291">
        <v>2</v>
      </c>
      <c r="AQ291">
        <v>2</v>
      </c>
      <c r="AR291">
        <v>389.86</v>
      </c>
      <c r="AS291">
        <v>779.72</v>
      </c>
    </row>
    <row r="292" spans="1:45" hidden="1">
      <c r="A292" t="s">
        <v>19</v>
      </c>
      <c r="B292" t="s">
        <v>741</v>
      </c>
      <c r="C292" t="s">
        <v>667</v>
      </c>
      <c r="D292" t="s">
        <v>281</v>
      </c>
      <c r="E292" t="s">
        <v>138</v>
      </c>
      <c r="F292" t="s">
        <v>384</v>
      </c>
      <c r="G292" t="s">
        <v>165</v>
      </c>
      <c r="M292">
        <v>1</v>
      </c>
      <c r="S292">
        <v>1</v>
      </c>
      <c r="AQ292">
        <v>2</v>
      </c>
      <c r="AR292">
        <v>2227.0500000000002</v>
      </c>
      <c r="AS292">
        <v>4454.1000000000004</v>
      </c>
    </row>
    <row r="293" spans="1:45" hidden="1">
      <c r="A293" t="s">
        <v>19</v>
      </c>
      <c r="B293" t="s">
        <v>741</v>
      </c>
      <c r="C293" t="s">
        <v>162</v>
      </c>
      <c r="D293" t="s">
        <v>281</v>
      </c>
      <c r="E293" t="s">
        <v>138</v>
      </c>
      <c r="F293" t="s">
        <v>164</v>
      </c>
      <c r="G293" t="s">
        <v>165</v>
      </c>
      <c r="AQ293">
        <v>0</v>
      </c>
      <c r="AR293">
        <v>4242</v>
      </c>
      <c r="AS293">
        <v>0</v>
      </c>
    </row>
    <row r="294" spans="1:45" hidden="1">
      <c r="A294" t="s">
        <v>19</v>
      </c>
      <c r="B294" t="s">
        <v>741</v>
      </c>
      <c r="C294" t="s">
        <v>668</v>
      </c>
      <c r="D294" t="s">
        <v>381</v>
      </c>
      <c r="E294" t="s">
        <v>138</v>
      </c>
      <c r="F294" t="s">
        <v>382</v>
      </c>
      <c r="G294" t="s">
        <v>383</v>
      </c>
      <c r="AQ294">
        <v>0</v>
      </c>
      <c r="AR294">
        <v>39.39</v>
      </c>
      <c r="AS294">
        <v>0</v>
      </c>
    </row>
    <row r="295" spans="1:45" hidden="1">
      <c r="A295" t="s">
        <v>19</v>
      </c>
      <c r="B295" t="s">
        <v>741</v>
      </c>
      <c r="C295" t="s">
        <v>166</v>
      </c>
      <c r="D295" t="s">
        <v>282</v>
      </c>
      <c r="E295" t="s">
        <v>138</v>
      </c>
      <c r="F295" t="s">
        <v>168</v>
      </c>
      <c r="G295" t="s">
        <v>169</v>
      </c>
      <c r="S295">
        <v>960</v>
      </c>
      <c r="AQ295">
        <v>960</v>
      </c>
      <c r="AR295">
        <v>1.111</v>
      </c>
      <c r="AS295">
        <v>1066.56</v>
      </c>
    </row>
    <row r="296" spans="1:45" hidden="1">
      <c r="A296" t="s">
        <v>19</v>
      </c>
      <c r="B296" t="s">
        <v>741</v>
      </c>
      <c r="C296" t="s">
        <v>669</v>
      </c>
      <c r="D296" t="s">
        <v>385</v>
      </c>
      <c r="E296" t="s">
        <v>138</v>
      </c>
      <c r="F296" t="s">
        <v>386</v>
      </c>
      <c r="G296" t="s">
        <v>387</v>
      </c>
      <c r="AQ296">
        <v>0</v>
      </c>
      <c r="AR296">
        <v>22270.5</v>
      </c>
      <c r="AS296">
        <v>0</v>
      </c>
    </row>
    <row r="297" spans="1:45" hidden="1">
      <c r="A297" t="s">
        <v>19</v>
      </c>
      <c r="B297" t="s">
        <v>741</v>
      </c>
      <c r="C297" t="s">
        <v>670</v>
      </c>
      <c r="D297" t="s">
        <v>385</v>
      </c>
      <c r="E297" t="s">
        <v>138</v>
      </c>
      <c r="F297" t="s">
        <v>388</v>
      </c>
      <c r="G297" t="s">
        <v>389</v>
      </c>
      <c r="AQ297">
        <v>0</v>
      </c>
      <c r="AR297">
        <v>0.22220000000000001</v>
      </c>
      <c r="AS297">
        <v>0</v>
      </c>
    </row>
    <row r="298" spans="1:45" hidden="1">
      <c r="A298" t="s">
        <v>19</v>
      </c>
      <c r="B298" t="s">
        <v>741</v>
      </c>
      <c r="C298" t="s">
        <v>671</v>
      </c>
      <c r="D298" t="s">
        <v>393</v>
      </c>
      <c r="E298" t="s">
        <v>138</v>
      </c>
      <c r="F298" t="s">
        <v>394</v>
      </c>
      <c r="G298" t="s">
        <v>395</v>
      </c>
      <c r="AQ298">
        <v>0</v>
      </c>
      <c r="AR298">
        <v>99.99</v>
      </c>
      <c r="AS298">
        <v>0</v>
      </c>
    </row>
    <row r="299" spans="1:45" hidden="1">
      <c r="A299" t="s">
        <v>19</v>
      </c>
      <c r="B299" t="s">
        <v>741</v>
      </c>
      <c r="C299" t="s">
        <v>672</v>
      </c>
      <c r="D299" t="s">
        <v>393</v>
      </c>
      <c r="E299" t="s">
        <v>138</v>
      </c>
      <c r="F299" t="s">
        <v>396</v>
      </c>
      <c r="G299" t="s">
        <v>395</v>
      </c>
      <c r="AQ299">
        <v>0</v>
      </c>
      <c r="AR299">
        <v>99.99</v>
      </c>
      <c r="AS299">
        <v>0</v>
      </c>
    </row>
    <row r="300" spans="1:45" hidden="1">
      <c r="A300" t="s">
        <v>19</v>
      </c>
      <c r="B300" t="s">
        <v>741</v>
      </c>
      <c r="C300" t="s">
        <v>673</v>
      </c>
      <c r="D300" t="s">
        <v>393</v>
      </c>
      <c r="E300" t="s">
        <v>138</v>
      </c>
      <c r="F300" t="s">
        <v>397</v>
      </c>
      <c r="G300" t="s">
        <v>395</v>
      </c>
      <c r="AQ300">
        <v>0</v>
      </c>
      <c r="AR300">
        <v>66.66</v>
      </c>
      <c r="AS300">
        <v>0</v>
      </c>
    </row>
    <row r="301" spans="1:45" hidden="1">
      <c r="A301" t="s">
        <v>19</v>
      </c>
      <c r="B301" t="s">
        <v>741</v>
      </c>
      <c r="C301" t="s">
        <v>674</v>
      </c>
      <c r="D301" t="s">
        <v>287</v>
      </c>
      <c r="E301" t="s">
        <v>138</v>
      </c>
      <c r="F301" t="s">
        <v>402</v>
      </c>
      <c r="G301" t="s">
        <v>403</v>
      </c>
      <c r="AQ301">
        <v>0</v>
      </c>
      <c r="AR301">
        <v>318150</v>
      </c>
      <c r="AS301">
        <v>0</v>
      </c>
    </row>
    <row r="302" spans="1:45" hidden="1">
      <c r="A302" t="s">
        <v>19</v>
      </c>
      <c r="B302" t="s">
        <v>741</v>
      </c>
      <c r="C302" t="s">
        <v>675</v>
      </c>
      <c r="D302" t="s">
        <v>390</v>
      </c>
      <c r="E302" t="s">
        <v>138</v>
      </c>
      <c r="F302" t="s">
        <v>391</v>
      </c>
      <c r="G302" t="s">
        <v>392</v>
      </c>
      <c r="AQ302">
        <v>0</v>
      </c>
      <c r="AR302">
        <v>1336.23</v>
      </c>
      <c r="AS302">
        <v>0</v>
      </c>
    </row>
    <row r="303" spans="1:45" hidden="1">
      <c r="A303" t="s">
        <v>19</v>
      </c>
      <c r="B303" t="s">
        <v>741</v>
      </c>
      <c r="C303" t="s">
        <v>676</v>
      </c>
      <c r="D303" t="s">
        <v>398</v>
      </c>
      <c r="E303" t="s">
        <v>138</v>
      </c>
      <c r="F303" t="s">
        <v>399</v>
      </c>
      <c r="G303" t="s">
        <v>400</v>
      </c>
      <c r="AQ303">
        <v>0</v>
      </c>
      <c r="AR303">
        <v>14475.825000000001</v>
      </c>
      <c r="AS303">
        <v>0</v>
      </c>
    </row>
    <row r="304" spans="1:45" hidden="1">
      <c r="A304" t="s">
        <v>19</v>
      </c>
      <c r="B304" t="s">
        <v>741</v>
      </c>
      <c r="C304" t="s">
        <v>170</v>
      </c>
      <c r="D304" t="s">
        <v>171</v>
      </c>
      <c r="E304" t="s">
        <v>172</v>
      </c>
      <c r="F304" t="s">
        <v>173</v>
      </c>
      <c r="G304" t="s">
        <v>152</v>
      </c>
      <c r="H304">
        <v>751</v>
      </c>
      <c r="I304">
        <v>277.10000000000002</v>
      </c>
      <c r="J304">
        <v>1478</v>
      </c>
      <c r="L304">
        <v>1223</v>
      </c>
      <c r="M304">
        <v>3649</v>
      </c>
      <c r="N304">
        <v>3010</v>
      </c>
      <c r="O304">
        <v>3029</v>
      </c>
      <c r="P304">
        <v>575</v>
      </c>
      <c r="Q304">
        <v>205</v>
      </c>
      <c r="R304">
        <v>2810</v>
      </c>
      <c r="S304">
        <v>4727</v>
      </c>
      <c r="T304">
        <v>191</v>
      </c>
      <c r="U304">
        <v>515</v>
      </c>
      <c r="V304">
        <v>20</v>
      </c>
      <c r="W304">
        <v>1066</v>
      </c>
      <c r="X304">
        <v>1270</v>
      </c>
      <c r="Y304">
        <v>188</v>
      </c>
      <c r="Z304">
        <v>527</v>
      </c>
      <c r="AA304">
        <v>492</v>
      </c>
      <c r="AB304">
        <v>6187</v>
      </c>
      <c r="AC304">
        <v>210</v>
      </c>
      <c r="AD304">
        <v>357</v>
      </c>
      <c r="AE304">
        <v>958</v>
      </c>
      <c r="AF304">
        <v>2502</v>
      </c>
      <c r="AG304">
        <v>621</v>
      </c>
      <c r="AH304">
        <v>435.5</v>
      </c>
      <c r="AJ304">
        <v>278</v>
      </c>
      <c r="AK304">
        <v>208</v>
      </c>
      <c r="AL304">
        <v>33</v>
      </c>
      <c r="AM304">
        <v>877</v>
      </c>
      <c r="AN304">
        <v>205</v>
      </c>
      <c r="AQ304">
        <v>38874.6</v>
      </c>
      <c r="AR304">
        <v>1.2726</v>
      </c>
      <c r="AS304">
        <v>49471.81596</v>
      </c>
    </row>
    <row r="305" spans="1:45" hidden="1">
      <c r="A305" t="s">
        <v>19</v>
      </c>
      <c r="B305" t="s">
        <v>741</v>
      </c>
      <c r="C305" t="s">
        <v>677</v>
      </c>
      <c r="D305" t="s">
        <v>405</v>
      </c>
      <c r="E305" t="s">
        <v>172</v>
      </c>
      <c r="F305" t="s">
        <v>406</v>
      </c>
      <c r="G305" t="s">
        <v>407</v>
      </c>
      <c r="J305">
        <v>3</v>
      </c>
      <c r="L305">
        <v>2</v>
      </c>
      <c r="M305">
        <v>10</v>
      </c>
      <c r="N305">
        <v>8</v>
      </c>
      <c r="O305">
        <v>8</v>
      </c>
      <c r="P305">
        <v>2</v>
      </c>
      <c r="R305">
        <v>3</v>
      </c>
      <c r="S305">
        <v>3</v>
      </c>
      <c r="U305">
        <v>2</v>
      </c>
      <c r="X305">
        <v>3</v>
      </c>
      <c r="AO305">
        <v>5</v>
      </c>
      <c r="AQ305">
        <v>49</v>
      </c>
      <c r="AR305">
        <v>47.47</v>
      </c>
      <c r="AS305">
        <v>2326.0300000000002</v>
      </c>
    </row>
    <row r="306" spans="1:45" hidden="1">
      <c r="A306" t="s">
        <v>19</v>
      </c>
      <c r="B306" t="s">
        <v>741</v>
      </c>
      <c r="C306" t="s">
        <v>678</v>
      </c>
      <c r="D306" t="s">
        <v>408</v>
      </c>
      <c r="E306" t="s">
        <v>172</v>
      </c>
      <c r="F306" t="s">
        <v>409</v>
      </c>
      <c r="G306" t="s">
        <v>410</v>
      </c>
      <c r="AQ306">
        <v>0</v>
      </c>
      <c r="AR306">
        <v>1.0605</v>
      </c>
      <c r="AS306">
        <v>0</v>
      </c>
    </row>
    <row r="307" spans="1:45" hidden="1">
      <c r="A307" t="s">
        <v>19</v>
      </c>
      <c r="B307" t="s">
        <v>741</v>
      </c>
      <c r="C307" t="s">
        <v>679</v>
      </c>
      <c r="D307" t="s">
        <v>411</v>
      </c>
      <c r="E307" t="s">
        <v>172</v>
      </c>
      <c r="F307" t="s">
        <v>412</v>
      </c>
      <c r="G307" t="s">
        <v>413</v>
      </c>
      <c r="AQ307">
        <v>0</v>
      </c>
      <c r="AR307">
        <v>37.1175</v>
      </c>
      <c r="AS307">
        <v>0</v>
      </c>
    </row>
    <row r="308" spans="1:45" hidden="1">
      <c r="A308" t="s">
        <v>19</v>
      </c>
      <c r="B308" t="s">
        <v>741</v>
      </c>
      <c r="C308" t="s">
        <v>680</v>
      </c>
      <c r="D308" t="s">
        <v>414</v>
      </c>
      <c r="E308" t="s">
        <v>172</v>
      </c>
      <c r="F308" t="s">
        <v>415</v>
      </c>
      <c r="G308" t="s">
        <v>224</v>
      </c>
      <c r="AQ308">
        <v>0</v>
      </c>
      <c r="AR308">
        <v>42.42</v>
      </c>
      <c r="AS308">
        <v>0</v>
      </c>
    </row>
    <row r="309" spans="1:45" hidden="1">
      <c r="A309" t="s">
        <v>19</v>
      </c>
      <c r="B309" t="s">
        <v>741</v>
      </c>
      <c r="C309" t="s">
        <v>681</v>
      </c>
      <c r="D309" t="s">
        <v>416</v>
      </c>
      <c r="E309" t="s">
        <v>172</v>
      </c>
      <c r="F309" t="s">
        <v>417</v>
      </c>
      <c r="G309" t="s">
        <v>418</v>
      </c>
      <c r="J309">
        <v>1478</v>
      </c>
      <c r="L309">
        <v>1223</v>
      </c>
      <c r="M309">
        <v>3649</v>
      </c>
      <c r="N309">
        <v>3010</v>
      </c>
      <c r="O309">
        <v>3029</v>
      </c>
      <c r="P309">
        <v>575</v>
      </c>
      <c r="R309">
        <v>2810</v>
      </c>
      <c r="S309">
        <v>4727</v>
      </c>
      <c r="W309">
        <v>1066</v>
      </c>
      <c r="AB309">
        <v>250</v>
      </c>
      <c r="AE309">
        <v>300</v>
      </c>
      <c r="AF309">
        <v>1300</v>
      </c>
      <c r="AM309">
        <v>877</v>
      </c>
      <c r="AQ309">
        <v>24294</v>
      </c>
      <c r="AR309">
        <v>0.32319999999999999</v>
      </c>
      <c r="AS309">
        <v>7851.8208000000004</v>
      </c>
    </row>
    <row r="310" spans="1:45" hidden="1">
      <c r="A310" t="s">
        <v>19</v>
      </c>
      <c r="B310" t="s">
        <v>741</v>
      </c>
      <c r="C310" t="s">
        <v>682</v>
      </c>
      <c r="D310" t="s">
        <v>419</v>
      </c>
      <c r="E310" t="s">
        <v>172</v>
      </c>
      <c r="F310" t="s">
        <v>420</v>
      </c>
      <c r="G310" t="s">
        <v>421</v>
      </c>
      <c r="AQ310">
        <v>0</v>
      </c>
      <c r="AR310">
        <v>42.42</v>
      </c>
      <c r="AS310">
        <v>0</v>
      </c>
    </row>
    <row r="311" spans="1:45" hidden="1">
      <c r="A311" t="s">
        <v>19</v>
      </c>
      <c r="B311" t="s">
        <v>741</v>
      </c>
      <c r="C311" t="s">
        <v>683</v>
      </c>
      <c r="D311" t="s">
        <v>422</v>
      </c>
      <c r="E311" t="s">
        <v>172</v>
      </c>
      <c r="F311" t="s">
        <v>423</v>
      </c>
      <c r="G311" t="s">
        <v>407</v>
      </c>
      <c r="AQ311">
        <v>0</v>
      </c>
      <c r="AR311">
        <v>47.47</v>
      </c>
      <c r="AS311">
        <v>0</v>
      </c>
    </row>
    <row r="312" spans="1:45" hidden="1">
      <c r="A312" t="s">
        <v>19</v>
      </c>
      <c r="B312" t="s">
        <v>741</v>
      </c>
      <c r="C312" t="s">
        <v>684</v>
      </c>
      <c r="D312" t="s">
        <v>427</v>
      </c>
      <c r="E312" t="s">
        <v>172</v>
      </c>
      <c r="F312" t="s">
        <v>428</v>
      </c>
      <c r="G312" t="s">
        <v>429</v>
      </c>
      <c r="V312">
        <v>1</v>
      </c>
      <c r="AE312">
        <v>1</v>
      </c>
      <c r="AQ312">
        <v>2</v>
      </c>
      <c r="AR312">
        <v>636.29999999999995</v>
      </c>
      <c r="AS312">
        <v>1272.5999999999999</v>
      </c>
    </row>
    <row r="313" spans="1:45" hidden="1">
      <c r="A313" t="s">
        <v>19</v>
      </c>
      <c r="B313" t="s">
        <v>741</v>
      </c>
      <c r="C313" t="s">
        <v>174</v>
      </c>
      <c r="D313" t="s">
        <v>175</v>
      </c>
      <c r="E313" t="s">
        <v>172</v>
      </c>
      <c r="F313" t="s">
        <v>176</v>
      </c>
      <c r="G313" t="s">
        <v>177</v>
      </c>
      <c r="AQ313">
        <v>0</v>
      </c>
      <c r="AR313">
        <v>424.2</v>
      </c>
      <c r="AS313">
        <v>0</v>
      </c>
    </row>
    <row r="314" spans="1:45" hidden="1">
      <c r="A314" t="s">
        <v>19</v>
      </c>
      <c r="B314" t="s">
        <v>741</v>
      </c>
      <c r="C314" t="s">
        <v>685</v>
      </c>
      <c r="D314" t="s">
        <v>430</v>
      </c>
      <c r="E314" t="s">
        <v>172</v>
      </c>
      <c r="F314" t="s">
        <v>433</v>
      </c>
      <c r="G314" t="s">
        <v>432</v>
      </c>
      <c r="V314">
        <v>1</v>
      </c>
      <c r="AQ314">
        <v>1</v>
      </c>
      <c r="AR314">
        <v>1908.9</v>
      </c>
      <c r="AS314">
        <v>1908.9</v>
      </c>
    </row>
    <row r="315" spans="1:45" hidden="1">
      <c r="A315" t="s">
        <v>19</v>
      </c>
      <c r="B315" t="s">
        <v>741</v>
      </c>
      <c r="C315" t="s">
        <v>686</v>
      </c>
      <c r="D315" t="s">
        <v>430</v>
      </c>
      <c r="E315" t="s">
        <v>172</v>
      </c>
      <c r="F315" t="s">
        <v>431</v>
      </c>
      <c r="G315" t="s">
        <v>432</v>
      </c>
      <c r="AQ315">
        <v>0</v>
      </c>
      <c r="AR315">
        <v>2121</v>
      </c>
      <c r="AS315">
        <v>0</v>
      </c>
    </row>
    <row r="316" spans="1:45" hidden="1">
      <c r="A316" t="s">
        <v>19</v>
      </c>
      <c r="B316" t="s">
        <v>741</v>
      </c>
      <c r="C316" t="s">
        <v>687</v>
      </c>
      <c r="D316" t="s">
        <v>430</v>
      </c>
      <c r="E316" t="s">
        <v>172</v>
      </c>
      <c r="F316" t="s">
        <v>438</v>
      </c>
      <c r="G316" t="s">
        <v>432</v>
      </c>
      <c r="AQ316">
        <v>0</v>
      </c>
      <c r="AR316">
        <v>2439.15</v>
      </c>
      <c r="AS316">
        <v>0</v>
      </c>
    </row>
    <row r="317" spans="1:45" hidden="1">
      <c r="A317" t="s">
        <v>19</v>
      </c>
      <c r="B317" t="s">
        <v>741</v>
      </c>
      <c r="C317" t="s">
        <v>688</v>
      </c>
      <c r="D317" t="s">
        <v>430</v>
      </c>
      <c r="E317" t="s">
        <v>172</v>
      </c>
      <c r="F317" t="s">
        <v>434</v>
      </c>
      <c r="G317" t="s">
        <v>432</v>
      </c>
      <c r="AQ317">
        <v>0</v>
      </c>
      <c r="AR317">
        <v>2651.25</v>
      </c>
      <c r="AS317">
        <v>0</v>
      </c>
    </row>
    <row r="318" spans="1:45" hidden="1">
      <c r="A318" t="s">
        <v>19</v>
      </c>
      <c r="B318" t="s">
        <v>741</v>
      </c>
      <c r="C318" t="s">
        <v>645</v>
      </c>
      <c r="D318" t="s">
        <v>435</v>
      </c>
      <c r="E318" t="s">
        <v>172</v>
      </c>
      <c r="F318" t="s">
        <v>436</v>
      </c>
      <c r="G318" t="s">
        <v>437</v>
      </c>
      <c r="AQ318">
        <v>0</v>
      </c>
      <c r="AR318">
        <v>0.28000000000000003</v>
      </c>
    </row>
    <row r="319" spans="1:45" hidden="1">
      <c r="A319" t="s">
        <v>19</v>
      </c>
      <c r="B319" t="s">
        <v>741</v>
      </c>
      <c r="C319" t="s">
        <v>689</v>
      </c>
      <c r="D319" t="s">
        <v>439</v>
      </c>
      <c r="E319" t="s">
        <v>172</v>
      </c>
      <c r="F319" t="s">
        <v>690</v>
      </c>
      <c r="G319" t="s">
        <v>441</v>
      </c>
      <c r="J319">
        <v>1</v>
      </c>
      <c r="AQ319">
        <v>1</v>
      </c>
      <c r="AR319">
        <v>318.14999999999998</v>
      </c>
      <c r="AS319">
        <v>318.14999999999998</v>
      </c>
    </row>
    <row r="320" spans="1:45" hidden="1">
      <c r="A320" t="s">
        <v>19</v>
      </c>
      <c r="B320" t="s">
        <v>741</v>
      </c>
      <c r="C320" t="s">
        <v>691</v>
      </c>
      <c r="D320" t="s">
        <v>439</v>
      </c>
      <c r="E320" t="s">
        <v>172</v>
      </c>
      <c r="F320" t="s">
        <v>442</v>
      </c>
      <c r="G320" t="s">
        <v>441</v>
      </c>
      <c r="J320">
        <v>1</v>
      </c>
      <c r="M320">
        <v>1</v>
      </c>
      <c r="AQ320">
        <v>2</v>
      </c>
      <c r="AR320">
        <v>1272.5999999999999</v>
      </c>
      <c r="AS320">
        <v>2545.1999999999998</v>
      </c>
    </row>
    <row r="321" spans="1:45" hidden="1">
      <c r="A321" t="s">
        <v>19</v>
      </c>
      <c r="B321" t="s">
        <v>741</v>
      </c>
      <c r="C321" t="s">
        <v>692</v>
      </c>
      <c r="D321" t="s">
        <v>439</v>
      </c>
      <c r="E321" t="s">
        <v>172</v>
      </c>
      <c r="F321" t="s">
        <v>443</v>
      </c>
      <c r="G321" t="s">
        <v>441</v>
      </c>
      <c r="AQ321">
        <v>0</v>
      </c>
      <c r="AR321">
        <v>1590.75</v>
      </c>
      <c r="AS321">
        <v>0</v>
      </c>
    </row>
    <row r="322" spans="1:45" hidden="1">
      <c r="A322" t="s">
        <v>19</v>
      </c>
      <c r="B322" t="s">
        <v>741</v>
      </c>
      <c r="C322" t="s">
        <v>693</v>
      </c>
      <c r="D322" t="s">
        <v>439</v>
      </c>
      <c r="E322" t="s">
        <v>172</v>
      </c>
      <c r="F322" t="s">
        <v>440</v>
      </c>
      <c r="G322" t="s">
        <v>441</v>
      </c>
      <c r="AQ322">
        <v>0</v>
      </c>
      <c r="AR322">
        <v>1590.75</v>
      </c>
      <c r="AS322">
        <v>0</v>
      </c>
    </row>
    <row r="323" spans="1:45" hidden="1">
      <c r="A323" t="s">
        <v>19</v>
      </c>
      <c r="B323" t="s">
        <v>741</v>
      </c>
      <c r="C323" t="s">
        <v>694</v>
      </c>
      <c r="D323" t="s">
        <v>439</v>
      </c>
      <c r="E323" t="s">
        <v>172</v>
      </c>
      <c r="F323" t="s">
        <v>695</v>
      </c>
      <c r="G323" t="s">
        <v>441</v>
      </c>
      <c r="AQ323">
        <v>0</v>
      </c>
      <c r="AR323">
        <v>1802.85</v>
      </c>
      <c r="AS323">
        <v>0</v>
      </c>
    </row>
    <row r="324" spans="1:45" hidden="1">
      <c r="A324" t="s">
        <v>19</v>
      </c>
      <c r="B324" t="s">
        <v>741</v>
      </c>
      <c r="C324" t="s">
        <v>696</v>
      </c>
      <c r="D324" t="s">
        <v>446</v>
      </c>
      <c r="E324" t="s">
        <v>172</v>
      </c>
      <c r="F324" t="s">
        <v>447</v>
      </c>
      <c r="G324" t="s">
        <v>448</v>
      </c>
      <c r="AQ324">
        <v>0</v>
      </c>
      <c r="AR324">
        <v>10.605</v>
      </c>
      <c r="AS324">
        <v>0</v>
      </c>
    </row>
    <row r="325" spans="1:45" hidden="1">
      <c r="A325" t="s">
        <v>19</v>
      </c>
      <c r="B325" t="s">
        <v>741</v>
      </c>
      <c r="C325" t="s">
        <v>178</v>
      </c>
      <c r="D325" t="s">
        <v>179</v>
      </c>
      <c r="E325" t="s">
        <v>172</v>
      </c>
      <c r="F325" t="s">
        <v>180</v>
      </c>
      <c r="G325" t="s">
        <v>181</v>
      </c>
      <c r="Z325">
        <v>1</v>
      </c>
      <c r="AG325">
        <v>1</v>
      </c>
      <c r="AH325">
        <v>1</v>
      </c>
      <c r="AQ325">
        <v>3</v>
      </c>
      <c r="AR325">
        <v>106.05</v>
      </c>
      <c r="AS325">
        <v>318.14999999999998</v>
      </c>
    </row>
    <row r="326" spans="1:45" hidden="1">
      <c r="A326" t="s">
        <v>19</v>
      </c>
      <c r="B326" t="s">
        <v>741</v>
      </c>
      <c r="C326" t="s">
        <v>182</v>
      </c>
      <c r="D326" t="s">
        <v>179</v>
      </c>
      <c r="E326" t="s">
        <v>172</v>
      </c>
      <c r="F326" t="s">
        <v>183</v>
      </c>
      <c r="G326" t="s">
        <v>152</v>
      </c>
      <c r="AQ326">
        <v>0</v>
      </c>
      <c r="AR326">
        <v>0.1515</v>
      </c>
      <c r="AS326">
        <v>0</v>
      </c>
    </row>
    <row r="327" spans="1:45" hidden="1">
      <c r="A327" t="s">
        <v>19</v>
      </c>
      <c r="B327" t="s">
        <v>741</v>
      </c>
      <c r="C327" t="s">
        <v>697</v>
      </c>
      <c r="D327" t="s">
        <v>449</v>
      </c>
      <c r="E327" t="s">
        <v>172</v>
      </c>
      <c r="F327" t="s">
        <v>450</v>
      </c>
      <c r="G327" t="s">
        <v>451</v>
      </c>
      <c r="V327">
        <v>1</v>
      </c>
      <c r="AQ327">
        <v>1</v>
      </c>
      <c r="AR327">
        <v>1908.9</v>
      </c>
      <c r="AS327">
        <v>1908.9</v>
      </c>
    </row>
    <row r="328" spans="1:45" hidden="1">
      <c r="A328" t="s">
        <v>19</v>
      </c>
      <c r="B328" t="s">
        <v>741</v>
      </c>
      <c r="C328" t="s">
        <v>698</v>
      </c>
      <c r="D328" t="s">
        <v>424</v>
      </c>
      <c r="E328" t="s">
        <v>172</v>
      </c>
      <c r="F328" t="s">
        <v>425</v>
      </c>
      <c r="G328" t="s">
        <v>426</v>
      </c>
      <c r="AB328">
        <v>2</v>
      </c>
      <c r="AQ328">
        <v>2</v>
      </c>
      <c r="AR328">
        <v>132.5625</v>
      </c>
      <c r="AS328">
        <v>265.125</v>
      </c>
    </row>
    <row r="329" spans="1:45" hidden="1">
      <c r="A329" t="s">
        <v>19</v>
      </c>
      <c r="B329" t="s">
        <v>741</v>
      </c>
      <c r="C329" t="s">
        <v>699</v>
      </c>
      <c r="D329" t="s">
        <v>287</v>
      </c>
      <c r="E329" t="s">
        <v>172</v>
      </c>
      <c r="F329" t="s">
        <v>452</v>
      </c>
      <c r="G329" t="s">
        <v>453</v>
      </c>
      <c r="AQ329">
        <v>0</v>
      </c>
      <c r="AR329">
        <v>3181.5</v>
      </c>
      <c r="AS329">
        <v>0</v>
      </c>
    </row>
    <row r="330" spans="1:45" hidden="1">
      <c r="A330" t="s">
        <v>19</v>
      </c>
      <c r="B330" t="s">
        <v>741</v>
      </c>
      <c r="C330" t="s">
        <v>700</v>
      </c>
      <c r="D330" t="s">
        <v>287</v>
      </c>
      <c r="E330" t="s">
        <v>172</v>
      </c>
      <c r="F330" t="s">
        <v>454</v>
      </c>
      <c r="G330" t="s">
        <v>455</v>
      </c>
      <c r="AQ330">
        <v>0</v>
      </c>
      <c r="AR330">
        <v>318150</v>
      </c>
      <c r="AS330">
        <v>0</v>
      </c>
    </row>
    <row r="331" spans="1:45" hidden="1">
      <c r="A331" t="s">
        <v>19</v>
      </c>
      <c r="B331" t="s">
        <v>741</v>
      </c>
      <c r="C331" t="s">
        <v>701</v>
      </c>
      <c r="D331" t="s">
        <v>287</v>
      </c>
      <c r="E331" t="s">
        <v>172</v>
      </c>
      <c r="F331" t="s">
        <v>456</v>
      </c>
      <c r="G331" t="s">
        <v>457</v>
      </c>
      <c r="AQ331">
        <v>0</v>
      </c>
      <c r="AR331">
        <v>238612.5</v>
      </c>
      <c r="AS331">
        <v>0</v>
      </c>
    </row>
    <row r="332" spans="1:45" hidden="1">
      <c r="A332" t="s">
        <v>19</v>
      </c>
      <c r="B332" t="s">
        <v>741</v>
      </c>
      <c r="C332" t="s">
        <v>184</v>
      </c>
      <c r="D332" t="s">
        <v>185</v>
      </c>
      <c r="E332" t="s">
        <v>186</v>
      </c>
      <c r="F332" t="s">
        <v>187</v>
      </c>
      <c r="G332" t="s">
        <v>188</v>
      </c>
      <c r="AQ332">
        <v>0</v>
      </c>
      <c r="AR332">
        <v>2121</v>
      </c>
      <c r="AS332">
        <v>0</v>
      </c>
    </row>
    <row r="333" spans="1:45" hidden="1">
      <c r="A333" t="s">
        <v>19</v>
      </c>
      <c r="B333" t="s">
        <v>741</v>
      </c>
      <c r="C333" t="s">
        <v>189</v>
      </c>
      <c r="D333" t="s">
        <v>190</v>
      </c>
      <c r="E333" t="s">
        <v>186</v>
      </c>
      <c r="F333" t="s">
        <v>191</v>
      </c>
      <c r="G333" t="s">
        <v>192</v>
      </c>
      <c r="J333">
        <v>1</v>
      </c>
      <c r="M333">
        <v>1</v>
      </c>
      <c r="N333">
        <v>1</v>
      </c>
      <c r="O333">
        <v>1</v>
      </c>
      <c r="R333">
        <v>1</v>
      </c>
      <c r="S333">
        <v>1</v>
      </c>
      <c r="X333">
        <v>1</v>
      </c>
      <c r="AQ333">
        <v>7</v>
      </c>
      <c r="AR333">
        <v>1060.5</v>
      </c>
      <c r="AS333">
        <v>7423.5</v>
      </c>
    </row>
    <row r="334" spans="1:45" hidden="1">
      <c r="A334" t="s">
        <v>19</v>
      </c>
      <c r="B334" t="s">
        <v>741</v>
      </c>
      <c r="C334" t="s">
        <v>702</v>
      </c>
      <c r="D334" t="s">
        <v>190</v>
      </c>
      <c r="E334" t="s">
        <v>186</v>
      </c>
      <c r="F334" t="s">
        <v>458</v>
      </c>
      <c r="G334" t="s">
        <v>459</v>
      </c>
      <c r="AQ334">
        <v>0</v>
      </c>
      <c r="AR334">
        <v>1590.75</v>
      </c>
      <c r="AS334">
        <v>0</v>
      </c>
    </row>
    <row r="335" spans="1:45" hidden="1">
      <c r="A335" t="s">
        <v>19</v>
      </c>
      <c r="B335" t="s">
        <v>741</v>
      </c>
      <c r="C335" t="s">
        <v>193</v>
      </c>
      <c r="D335" t="s">
        <v>194</v>
      </c>
      <c r="E335" t="s">
        <v>186</v>
      </c>
      <c r="F335" t="s">
        <v>195</v>
      </c>
      <c r="G335" t="s">
        <v>152</v>
      </c>
      <c r="H335">
        <v>751</v>
      </c>
      <c r="I335">
        <v>277.10000000000002</v>
      </c>
      <c r="J335">
        <v>1478</v>
      </c>
      <c r="M335">
        <v>3649</v>
      </c>
      <c r="N335">
        <v>3010</v>
      </c>
      <c r="O335">
        <v>3029</v>
      </c>
      <c r="P335">
        <v>575</v>
      </c>
      <c r="Q335">
        <v>205</v>
      </c>
      <c r="R335">
        <v>2810</v>
      </c>
      <c r="S335">
        <v>4727</v>
      </c>
      <c r="T335">
        <v>191</v>
      </c>
      <c r="U335">
        <v>515</v>
      </c>
      <c r="W335">
        <v>1066</v>
      </c>
      <c r="X335">
        <v>1270</v>
      </c>
      <c r="Y335">
        <v>188</v>
      </c>
      <c r="Z335">
        <v>527</v>
      </c>
      <c r="AA335">
        <v>492</v>
      </c>
      <c r="AB335">
        <v>6187</v>
      </c>
      <c r="AC335">
        <v>210</v>
      </c>
      <c r="AD335">
        <v>357</v>
      </c>
      <c r="AE335">
        <v>958</v>
      </c>
      <c r="AF335">
        <v>2502</v>
      </c>
      <c r="AG335">
        <v>621</v>
      </c>
      <c r="AH335">
        <v>435.5</v>
      </c>
      <c r="AJ335">
        <v>278</v>
      </c>
      <c r="AK335">
        <v>208</v>
      </c>
      <c r="AL335">
        <v>33</v>
      </c>
      <c r="AM335">
        <v>877</v>
      </c>
      <c r="AN335">
        <v>205</v>
      </c>
      <c r="AQ335">
        <v>37631.599999999999</v>
      </c>
      <c r="AR335">
        <v>0.63629999999999998</v>
      </c>
      <c r="AS335">
        <v>23944.987079999999</v>
      </c>
    </row>
    <row r="336" spans="1:45" hidden="1">
      <c r="A336" t="s">
        <v>19</v>
      </c>
      <c r="B336" t="s">
        <v>741</v>
      </c>
      <c r="C336" t="s">
        <v>197</v>
      </c>
      <c r="D336" t="s">
        <v>198</v>
      </c>
      <c r="E336" t="s">
        <v>186</v>
      </c>
      <c r="F336" t="s">
        <v>199</v>
      </c>
      <c r="G336" t="s">
        <v>200</v>
      </c>
      <c r="J336">
        <v>1</v>
      </c>
      <c r="AB336">
        <v>1</v>
      </c>
      <c r="AQ336">
        <v>2</v>
      </c>
      <c r="AR336">
        <v>4984.3500000000004</v>
      </c>
      <c r="AS336">
        <v>9968.7000000000007</v>
      </c>
    </row>
    <row r="337" spans="1:45" hidden="1">
      <c r="A337" t="s">
        <v>19</v>
      </c>
      <c r="B337" t="s">
        <v>741</v>
      </c>
      <c r="C337" t="s">
        <v>201</v>
      </c>
      <c r="D337" t="s">
        <v>202</v>
      </c>
      <c r="E337" t="s">
        <v>186</v>
      </c>
      <c r="F337" t="s">
        <v>203</v>
      </c>
      <c r="G337" t="s">
        <v>204</v>
      </c>
      <c r="I337">
        <v>2</v>
      </c>
      <c r="J337">
        <v>2</v>
      </c>
      <c r="L337">
        <v>2</v>
      </c>
      <c r="M337">
        <v>2</v>
      </c>
      <c r="N337">
        <v>2</v>
      </c>
      <c r="O337">
        <v>2</v>
      </c>
      <c r="P337">
        <v>2</v>
      </c>
      <c r="Q337">
        <v>2</v>
      </c>
      <c r="R337">
        <v>2</v>
      </c>
      <c r="S337">
        <v>2</v>
      </c>
      <c r="T337">
        <v>2</v>
      </c>
      <c r="U337">
        <v>2</v>
      </c>
      <c r="W337">
        <v>2</v>
      </c>
      <c r="X337">
        <v>2</v>
      </c>
      <c r="Y337">
        <v>2</v>
      </c>
      <c r="Z337">
        <v>2</v>
      </c>
      <c r="AA337">
        <v>2</v>
      </c>
      <c r="AB337">
        <v>2</v>
      </c>
      <c r="AC337">
        <v>2</v>
      </c>
      <c r="AD337">
        <v>2</v>
      </c>
      <c r="AE337">
        <v>2</v>
      </c>
      <c r="AF337">
        <v>2</v>
      </c>
      <c r="AG337">
        <v>2</v>
      </c>
      <c r="AJ337">
        <v>2</v>
      </c>
      <c r="AM337">
        <v>2</v>
      </c>
      <c r="AN337">
        <v>2</v>
      </c>
      <c r="AQ337">
        <v>52</v>
      </c>
      <c r="AR337">
        <v>31.815000000000001</v>
      </c>
      <c r="AS337">
        <v>1654.38</v>
      </c>
    </row>
    <row r="338" spans="1:45" hidden="1">
      <c r="A338" t="s">
        <v>19</v>
      </c>
      <c r="B338" t="s">
        <v>741</v>
      </c>
      <c r="C338" t="s">
        <v>703</v>
      </c>
      <c r="D338" t="s">
        <v>460</v>
      </c>
      <c r="E338" t="s">
        <v>186</v>
      </c>
      <c r="F338" t="s">
        <v>461</v>
      </c>
      <c r="G338" t="s">
        <v>462</v>
      </c>
      <c r="AQ338">
        <v>0</v>
      </c>
      <c r="AR338">
        <v>15907.5</v>
      </c>
      <c r="AS338">
        <v>0</v>
      </c>
    </row>
    <row r="339" spans="1:45" hidden="1">
      <c r="A339" t="s">
        <v>19</v>
      </c>
      <c r="B339" t="s">
        <v>741</v>
      </c>
      <c r="C339" t="s">
        <v>704</v>
      </c>
      <c r="D339" t="s">
        <v>468</v>
      </c>
      <c r="E339" t="s">
        <v>186</v>
      </c>
      <c r="F339" t="s">
        <v>469</v>
      </c>
      <c r="G339" t="s">
        <v>470</v>
      </c>
      <c r="AQ339">
        <v>0</v>
      </c>
      <c r="AR339">
        <v>159.07499999999999</v>
      </c>
      <c r="AS339">
        <v>0</v>
      </c>
    </row>
    <row r="340" spans="1:45" hidden="1">
      <c r="A340" t="s">
        <v>19</v>
      </c>
      <c r="B340" t="s">
        <v>741</v>
      </c>
      <c r="C340" t="s">
        <v>705</v>
      </c>
      <c r="D340" t="s">
        <v>463</v>
      </c>
      <c r="E340" t="s">
        <v>186</v>
      </c>
      <c r="F340" t="s">
        <v>466</v>
      </c>
      <c r="G340" t="s">
        <v>467</v>
      </c>
      <c r="AQ340">
        <v>0</v>
      </c>
      <c r="AR340">
        <v>509.04</v>
      </c>
      <c r="AS340">
        <v>0</v>
      </c>
    </row>
    <row r="341" spans="1:45" hidden="1">
      <c r="A341" t="s">
        <v>19</v>
      </c>
      <c r="B341" t="s">
        <v>741</v>
      </c>
      <c r="C341" t="s">
        <v>706</v>
      </c>
      <c r="D341" t="s">
        <v>463</v>
      </c>
      <c r="E341" t="s">
        <v>186</v>
      </c>
      <c r="F341" t="s">
        <v>464</v>
      </c>
      <c r="G341" t="s">
        <v>465</v>
      </c>
      <c r="AQ341">
        <v>0</v>
      </c>
      <c r="AR341">
        <v>1060.5</v>
      </c>
      <c r="AS341">
        <v>0</v>
      </c>
    </row>
    <row r="342" spans="1:45" hidden="1">
      <c r="A342" t="s">
        <v>19</v>
      </c>
      <c r="B342" t="s">
        <v>741</v>
      </c>
      <c r="C342" t="s">
        <v>707</v>
      </c>
      <c r="D342" t="s">
        <v>471</v>
      </c>
      <c r="E342" t="s">
        <v>186</v>
      </c>
      <c r="F342" t="s">
        <v>472</v>
      </c>
      <c r="G342" t="s">
        <v>473</v>
      </c>
      <c r="AQ342">
        <v>0</v>
      </c>
      <c r="AR342">
        <v>15377.25</v>
      </c>
      <c r="AS342">
        <v>0</v>
      </c>
    </row>
    <row r="343" spans="1:45" hidden="1">
      <c r="A343" t="s">
        <v>19</v>
      </c>
      <c r="B343" t="s">
        <v>741</v>
      </c>
      <c r="C343" t="s">
        <v>205</v>
      </c>
      <c r="D343" t="s">
        <v>206</v>
      </c>
      <c r="E343" t="s">
        <v>207</v>
      </c>
      <c r="F343" t="s">
        <v>208</v>
      </c>
      <c r="G343" t="s">
        <v>209</v>
      </c>
      <c r="AQ343">
        <v>0</v>
      </c>
      <c r="AR343">
        <v>0.16159999999999999</v>
      </c>
      <c r="AS343">
        <v>0</v>
      </c>
    </row>
    <row r="344" spans="1:45" hidden="1">
      <c r="A344" t="s">
        <v>19</v>
      </c>
      <c r="B344" t="s">
        <v>741</v>
      </c>
      <c r="C344" t="s">
        <v>210</v>
      </c>
      <c r="D344" t="s">
        <v>211</v>
      </c>
      <c r="E344" t="s">
        <v>207</v>
      </c>
      <c r="F344" t="s">
        <v>212</v>
      </c>
      <c r="G344" t="s">
        <v>209</v>
      </c>
      <c r="J344">
        <v>1478</v>
      </c>
      <c r="L344">
        <v>1223</v>
      </c>
      <c r="M344">
        <v>3649</v>
      </c>
      <c r="N344">
        <v>3010</v>
      </c>
      <c r="O344">
        <v>3029</v>
      </c>
      <c r="R344">
        <v>2810</v>
      </c>
      <c r="S344">
        <v>4727</v>
      </c>
      <c r="X344">
        <v>1270</v>
      </c>
      <c r="AB344">
        <v>3000</v>
      </c>
      <c r="AF344">
        <v>1600</v>
      </c>
      <c r="AM344">
        <v>877</v>
      </c>
      <c r="AQ344">
        <v>26673</v>
      </c>
      <c r="AR344">
        <v>0.63629999999999998</v>
      </c>
      <c r="AS344">
        <v>16972.029900000001</v>
      </c>
    </row>
    <row r="345" spans="1:45" hidden="1">
      <c r="A345" t="s">
        <v>19</v>
      </c>
      <c r="B345" t="s">
        <v>741</v>
      </c>
      <c r="C345" t="s">
        <v>213</v>
      </c>
      <c r="D345" t="s">
        <v>214</v>
      </c>
      <c r="E345" t="s">
        <v>207</v>
      </c>
      <c r="F345" t="s">
        <v>215</v>
      </c>
      <c r="G345" t="s">
        <v>152</v>
      </c>
      <c r="H345">
        <v>751</v>
      </c>
      <c r="I345">
        <v>277.10000000000002</v>
      </c>
      <c r="J345">
        <v>1478</v>
      </c>
      <c r="L345">
        <v>1223</v>
      </c>
      <c r="M345">
        <v>3649</v>
      </c>
      <c r="N345">
        <v>3010</v>
      </c>
      <c r="O345">
        <v>3029</v>
      </c>
      <c r="P345">
        <v>575</v>
      </c>
      <c r="Q345">
        <v>205</v>
      </c>
      <c r="R345">
        <v>2810</v>
      </c>
      <c r="S345">
        <v>4727</v>
      </c>
      <c r="T345">
        <v>191</v>
      </c>
      <c r="U345">
        <v>515</v>
      </c>
      <c r="V345">
        <v>20</v>
      </c>
      <c r="W345">
        <v>1066</v>
      </c>
      <c r="X345">
        <v>1270</v>
      </c>
      <c r="Y345">
        <v>188</v>
      </c>
      <c r="Z345">
        <v>527</v>
      </c>
      <c r="AA345">
        <v>492</v>
      </c>
      <c r="AB345">
        <v>6187</v>
      </c>
      <c r="AC345">
        <v>210</v>
      </c>
      <c r="AD345">
        <v>357</v>
      </c>
      <c r="AE345">
        <v>958</v>
      </c>
      <c r="AF345">
        <v>2502</v>
      </c>
      <c r="AG345">
        <v>621</v>
      </c>
      <c r="AH345">
        <v>435.5</v>
      </c>
      <c r="AJ345">
        <v>278</v>
      </c>
      <c r="AK345">
        <v>208</v>
      </c>
      <c r="AL345">
        <v>33</v>
      </c>
      <c r="AM345">
        <v>877</v>
      </c>
      <c r="AN345">
        <v>205</v>
      </c>
      <c r="AQ345">
        <v>38874.6</v>
      </c>
      <c r="AR345">
        <v>0.32319999999999999</v>
      </c>
      <c r="AS345">
        <v>12564.27072</v>
      </c>
    </row>
    <row r="346" spans="1:45" hidden="1">
      <c r="A346" t="s">
        <v>19</v>
      </c>
      <c r="B346" t="s">
        <v>741</v>
      </c>
      <c r="C346" t="s">
        <v>255</v>
      </c>
      <c r="D346" t="s">
        <v>256</v>
      </c>
      <c r="E346" t="s">
        <v>207</v>
      </c>
      <c r="F346" t="s">
        <v>257</v>
      </c>
      <c r="G346" t="s">
        <v>258</v>
      </c>
      <c r="I346">
        <v>1</v>
      </c>
      <c r="J346">
        <v>6</v>
      </c>
      <c r="L346">
        <v>6</v>
      </c>
      <c r="M346">
        <v>47</v>
      </c>
      <c r="N346">
        <v>14</v>
      </c>
      <c r="O346">
        <v>24</v>
      </c>
      <c r="P346">
        <v>1</v>
      </c>
      <c r="Q346">
        <v>3</v>
      </c>
      <c r="R346">
        <v>19</v>
      </c>
      <c r="S346">
        <v>27</v>
      </c>
      <c r="T346">
        <v>1</v>
      </c>
      <c r="U346">
        <v>1</v>
      </c>
      <c r="V346">
        <v>2</v>
      </c>
      <c r="W346">
        <v>12</v>
      </c>
      <c r="X346">
        <v>19</v>
      </c>
      <c r="Y346">
        <v>1</v>
      </c>
      <c r="Z346">
        <v>2</v>
      </c>
      <c r="AA346">
        <v>1</v>
      </c>
      <c r="AB346">
        <v>29</v>
      </c>
      <c r="AE346">
        <v>2</v>
      </c>
      <c r="AF346">
        <v>7</v>
      </c>
      <c r="AG346">
        <v>5</v>
      </c>
      <c r="AH346">
        <v>1</v>
      </c>
      <c r="AK346">
        <v>2</v>
      </c>
      <c r="AL346">
        <v>1</v>
      </c>
      <c r="AM346">
        <v>4</v>
      </c>
      <c r="AN346">
        <v>1</v>
      </c>
      <c r="AQ346">
        <v>239</v>
      </c>
      <c r="AR346">
        <v>31.815000000000001</v>
      </c>
      <c r="AS346">
        <v>7603.7849999999999</v>
      </c>
    </row>
    <row r="347" spans="1:45" hidden="1">
      <c r="A347" t="s">
        <v>19</v>
      </c>
      <c r="B347" t="s">
        <v>741</v>
      </c>
      <c r="C347" t="s">
        <v>217</v>
      </c>
      <c r="D347" t="s">
        <v>218</v>
      </c>
      <c r="E347" t="s">
        <v>207</v>
      </c>
      <c r="F347" t="s">
        <v>219</v>
      </c>
      <c r="G347" t="s">
        <v>220</v>
      </c>
      <c r="I347">
        <v>4</v>
      </c>
      <c r="J347">
        <v>15</v>
      </c>
      <c r="L347">
        <v>11</v>
      </c>
      <c r="M347">
        <v>28</v>
      </c>
      <c r="N347">
        <v>30</v>
      </c>
      <c r="O347">
        <v>33</v>
      </c>
      <c r="P347">
        <v>14</v>
      </c>
      <c r="Q347">
        <v>3</v>
      </c>
      <c r="R347">
        <v>18</v>
      </c>
      <c r="S347">
        <v>20</v>
      </c>
      <c r="T347">
        <v>1</v>
      </c>
      <c r="U347">
        <v>4</v>
      </c>
      <c r="V347">
        <v>2</v>
      </c>
      <c r="W347">
        <v>15</v>
      </c>
      <c r="X347">
        <v>12</v>
      </c>
      <c r="Y347">
        <v>1</v>
      </c>
      <c r="Z347">
        <v>5</v>
      </c>
      <c r="AA347">
        <v>3</v>
      </c>
      <c r="AB347">
        <v>36</v>
      </c>
      <c r="AC347">
        <v>4</v>
      </c>
      <c r="AD347">
        <v>2</v>
      </c>
      <c r="AE347">
        <v>7</v>
      </c>
      <c r="AF347">
        <v>9</v>
      </c>
      <c r="AG347">
        <v>4</v>
      </c>
      <c r="AH347">
        <v>3</v>
      </c>
      <c r="AJ347">
        <v>3</v>
      </c>
      <c r="AK347">
        <v>3</v>
      </c>
      <c r="AL347">
        <v>2</v>
      </c>
      <c r="AM347">
        <v>9</v>
      </c>
      <c r="AN347">
        <v>2</v>
      </c>
      <c r="AQ347">
        <v>303</v>
      </c>
      <c r="AR347">
        <v>9.5950000000000006</v>
      </c>
      <c r="AS347">
        <v>2907.2849999999999</v>
      </c>
    </row>
    <row r="348" spans="1:45" hidden="1">
      <c r="A348" t="s">
        <v>19</v>
      </c>
      <c r="B348" t="s">
        <v>741</v>
      </c>
      <c r="C348" t="s">
        <v>708</v>
      </c>
      <c r="D348" t="s">
        <v>474</v>
      </c>
      <c r="E348" t="s">
        <v>207</v>
      </c>
      <c r="F348" t="s">
        <v>475</v>
      </c>
      <c r="G348" t="s">
        <v>476</v>
      </c>
      <c r="S348">
        <v>3</v>
      </c>
      <c r="AQ348">
        <v>3</v>
      </c>
      <c r="AR348">
        <v>79.790000000000006</v>
      </c>
      <c r="AS348">
        <v>239.37</v>
      </c>
    </row>
    <row r="349" spans="1:45" hidden="1">
      <c r="A349" t="s">
        <v>19</v>
      </c>
      <c r="B349" t="s">
        <v>741</v>
      </c>
      <c r="C349" t="s">
        <v>709</v>
      </c>
      <c r="D349" t="s">
        <v>477</v>
      </c>
      <c r="E349" t="s">
        <v>207</v>
      </c>
      <c r="F349" t="s">
        <v>478</v>
      </c>
      <c r="G349" t="s">
        <v>479</v>
      </c>
      <c r="AQ349">
        <v>0</v>
      </c>
      <c r="AR349">
        <v>2.121</v>
      </c>
      <c r="AS349">
        <v>0</v>
      </c>
    </row>
    <row r="350" spans="1:45" hidden="1">
      <c r="A350" t="s">
        <v>19</v>
      </c>
      <c r="B350" t="s">
        <v>741</v>
      </c>
      <c r="C350" t="s">
        <v>221</v>
      </c>
      <c r="D350" t="s">
        <v>222</v>
      </c>
      <c r="E350" t="s">
        <v>207</v>
      </c>
      <c r="F350" t="s">
        <v>223</v>
      </c>
      <c r="G350" t="s">
        <v>224</v>
      </c>
      <c r="S350">
        <v>1</v>
      </c>
      <c r="AQ350">
        <v>1</v>
      </c>
      <c r="AR350">
        <v>2651.25</v>
      </c>
      <c r="AS350">
        <v>2651.25</v>
      </c>
    </row>
    <row r="351" spans="1:45" hidden="1">
      <c r="A351" t="s">
        <v>19</v>
      </c>
      <c r="B351" t="s">
        <v>741</v>
      </c>
      <c r="C351" t="s">
        <v>225</v>
      </c>
      <c r="D351" t="s">
        <v>226</v>
      </c>
      <c r="E351" t="s">
        <v>207</v>
      </c>
      <c r="F351" t="s">
        <v>227</v>
      </c>
      <c r="G351" t="s">
        <v>228</v>
      </c>
      <c r="J351">
        <v>2</v>
      </c>
      <c r="M351">
        <v>1</v>
      </c>
      <c r="N351">
        <v>1</v>
      </c>
      <c r="O351">
        <v>4</v>
      </c>
      <c r="R351">
        <v>1</v>
      </c>
      <c r="S351">
        <v>5</v>
      </c>
      <c r="W351">
        <v>4</v>
      </c>
      <c r="AB351">
        <v>7</v>
      </c>
      <c r="AQ351">
        <v>25</v>
      </c>
      <c r="AR351">
        <v>21.21</v>
      </c>
      <c r="AS351">
        <v>530.25</v>
      </c>
    </row>
    <row r="352" spans="1:45" hidden="1">
      <c r="A352" t="s">
        <v>19</v>
      </c>
      <c r="B352" t="s">
        <v>741</v>
      </c>
      <c r="C352" t="s">
        <v>710</v>
      </c>
      <c r="D352" t="s">
        <v>480</v>
      </c>
      <c r="E352" t="s">
        <v>207</v>
      </c>
      <c r="F352" t="s">
        <v>481</v>
      </c>
      <c r="G352" t="s">
        <v>482</v>
      </c>
      <c r="M352">
        <v>1</v>
      </c>
      <c r="W352">
        <v>1</v>
      </c>
      <c r="AQ352">
        <v>2</v>
      </c>
      <c r="AR352">
        <v>1272.5999999999999</v>
      </c>
      <c r="AS352">
        <v>2545.1999999999998</v>
      </c>
    </row>
    <row r="353" spans="1:45" hidden="1">
      <c r="A353" t="s">
        <v>19</v>
      </c>
      <c r="B353" t="s">
        <v>741</v>
      </c>
      <c r="C353" t="s">
        <v>711</v>
      </c>
      <c r="D353" t="s">
        <v>488</v>
      </c>
      <c r="E353" t="s">
        <v>207</v>
      </c>
      <c r="F353" t="s">
        <v>489</v>
      </c>
      <c r="G353" t="s">
        <v>490</v>
      </c>
      <c r="AQ353">
        <v>0</v>
      </c>
      <c r="AR353">
        <v>0.5353</v>
      </c>
      <c r="AS353">
        <v>0</v>
      </c>
    </row>
    <row r="354" spans="1:45" hidden="1">
      <c r="A354" t="s">
        <v>19</v>
      </c>
      <c r="B354" t="s">
        <v>741</v>
      </c>
      <c r="C354" t="s">
        <v>712</v>
      </c>
      <c r="D354" t="s">
        <v>483</v>
      </c>
      <c r="E354" t="s">
        <v>207</v>
      </c>
      <c r="F354" t="s">
        <v>484</v>
      </c>
      <c r="G354" t="s">
        <v>392</v>
      </c>
      <c r="AQ354">
        <v>0</v>
      </c>
      <c r="AR354">
        <v>2121</v>
      </c>
      <c r="AS354">
        <v>0</v>
      </c>
    </row>
    <row r="355" spans="1:45" hidden="1">
      <c r="A355" t="s">
        <v>19</v>
      </c>
      <c r="B355" t="s">
        <v>741</v>
      </c>
      <c r="C355" t="s">
        <v>713</v>
      </c>
      <c r="D355" t="s">
        <v>485</v>
      </c>
      <c r="E355" t="s">
        <v>207</v>
      </c>
      <c r="F355" t="s">
        <v>486</v>
      </c>
      <c r="G355" t="s">
        <v>487</v>
      </c>
      <c r="AQ355">
        <v>0</v>
      </c>
      <c r="AR355">
        <v>265.125</v>
      </c>
      <c r="AS355">
        <v>0</v>
      </c>
    </row>
    <row r="356" spans="1:45" hidden="1">
      <c r="A356" t="s">
        <v>19</v>
      </c>
      <c r="B356" t="s">
        <v>741</v>
      </c>
      <c r="C356" t="s">
        <v>229</v>
      </c>
      <c r="D356" t="s">
        <v>230</v>
      </c>
      <c r="E356" t="s">
        <v>231</v>
      </c>
      <c r="F356" t="s">
        <v>232</v>
      </c>
      <c r="G356" t="s">
        <v>233</v>
      </c>
      <c r="J356">
        <v>1</v>
      </c>
      <c r="K356">
        <v>2</v>
      </c>
      <c r="M356">
        <v>1</v>
      </c>
      <c r="N356">
        <v>1</v>
      </c>
      <c r="O356">
        <v>1</v>
      </c>
      <c r="R356">
        <v>1</v>
      </c>
      <c r="S356">
        <v>3</v>
      </c>
      <c r="AB356">
        <v>2</v>
      </c>
      <c r="AF356">
        <v>1</v>
      </c>
      <c r="AI356">
        <v>1</v>
      </c>
      <c r="AQ356">
        <v>14</v>
      </c>
      <c r="AR356">
        <v>1484.7</v>
      </c>
      <c r="AS356">
        <v>20785.8</v>
      </c>
    </row>
    <row r="357" spans="1:45" hidden="1">
      <c r="A357" t="s">
        <v>19</v>
      </c>
      <c r="B357" t="s">
        <v>741</v>
      </c>
      <c r="C357" t="s">
        <v>234</v>
      </c>
      <c r="D357" t="s">
        <v>230</v>
      </c>
      <c r="E357" t="s">
        <v>231</v>
      </c>
      <c r="F357" t="s">
        <v>285</v>
      </c>
      <c r="G357" t="s">
        <v>233</v>
      </c>
      <c r="AQ357">
        <v>0</v>
      </c>
      <c r="AR357">
        <v>1696.8</v>
      </c>
      <c r="AS357">
        <v>0</v>
      </c>
    </row>
    <row r="358" spans="1:45" hidden="1">
      <c r="A358" t="s">
        <v>19</v>
      </c>
      <c r="B358" t="s">
        <v>741</v>
      </c>
      <c r="C358" t="s">
        <v>714</v>
      </c>
      <c r="D358" t="s">
        <v>230</v>
      </c>
      <c r="E358" t="s">
        <v>231</v>
      </c>
      <c r="F358" t="s">
        <v>491</v>
      </c>
      <c r="G358" t="s">
        <v>233</v>
      </c>
      <c r="AQ358">
        <v>0</v>
      </c>
      <c r="AR358">
        <v>1908.9</v>
      </c>
      <c r="AS358">
        <v>0</v>
      </c>
    </row>
    <row r="359" spans="1:45" hidden="1">
      <c r="A359" t="s">
        <v>19</v>
      </c>
      <c r="B359" t="s">
        <v>741</v>
      </c>
      <c r="C359" t="s">
        <v>236</v>
      </c>
      <c r="D359" t="s">
        <v>237</v>
      </c>
      <c r="E359" t="s">
        <v>231</v>
      </c>
      <c r="F359" t="s">
        <v>238</v>
      </c>
      <c r="G359" t="s">
        <v>239</v>
      </c>
      <c r="I359">
        <v>1</v>
      </c>
      <c r="S359">
        <v>1</v>
      </c>
      <c r="AQ359">
        <v>2</v>
      </c>
      <c r="AR359">
        <v>265.125</v>
      </c>
      <c r="AS359">
        <v>530.25</v>
      </c>
    </row>
    <row r="360" spans="1:45" hidden="1">
      <c r="A360" t="s">
        <v>19</v>
      </c>
      <c r="B360" t="s">
        <v>741</v>
      </c>
      <c r="C360" t="s">
        <v>715</v>
      </c>
      <c r="D360" t="s">
        <v>492</v>
      </c>
      <c r="E360" t="s">
        <v>231</v>
      </c>
      <c r="F360" t="s">
        <v>493</v>
      </c>
      <c r="G360" t="s">
        <v>494</v>
      </c>
      <c r="AQ360">
        <v>0</v>
      </c>
      <c r="AR360">
        <v>742.35</v>
      </c>
      <c r="AS360">
        <v>0</v>
      </c>
    </row>
    <row r="361" spans="1:45" hidden="1">
      <c r="A361" t="s">
        <v>19</v>
      </c>
      <c r="B361" t="s">
        <v>741</v>
      </c>
      <c r="C361" t="s">
        <v>716</v>
      </c>
      <c r="D361" t="s">
        <v>495</v>
      </c>
      <c r="E361" t="s">
        <v>231</v>
      </c>
      <c r="F361" t="s">
        <v>496</v>
      </c>
      <c r="G361" t="s">
        <v>497</v>
      </c>
      <c r="AQ361">
        <v>0</v>
      </c>
      <c r="AR361">
        <v>848.4</v>
      </c>
      <c r="AS361">
        <v>0</v>
      </c>
    </row>
    <row r="362" spans="1:45" hidden="1">
      <c r="A362" t="s">
        <v>19</v>
      </c>
      <c r="B362" t="s">
        <v>741</v>
      </c>
      <c r="C362" t="s">
        <v>717</v>
      </c>
      <c r="D362" t="s">
        <v>498</v>
      </c>
      <c r="E362" t="s">
        <v>242</v>
      </c>
      <c r="F362" t="s">
        <v>499</v>
      </c>
      <c r="G362" t="s">
        <v>500</v>
      </c>
      <c r="H362">
        <v>751</v>
      </c>
      <c r="I362">
        <v>277.10000000000002</v>
      </c>
      <c r="J362">
        <v>1478</v>
      </c>
      <c r="L362">
        <v>1223</v>
      </c>
      <c r="M362">
        <v>3649</v>
      </c>
      <c r="N362">
        <v>3010</v>
      </c>
      <c r="O362">
        <v>3029</v>
      </c>
      <c r="P362">
        <v>575</v>
      </c>
      <c r="Q362">
        <v>205</v>
      </c>
      <c r="R362">
        <v>2810</v>
      </c>
      <c r="S362">
        <v>4727</v>
      </c>
      <c r="T362">
        <v>191</v>
      </c>
      <c r="U362">
        <v>515</v>
      </c>
      <c r="V362">
        <v>20</v>
      </c>
      <c r="W362">
        <v>1066</v>
      </c>
      <c r="X362">
        <v>1270</v>
      </c>
      <c r="Y362">
        <v>188</v>
      </c>
      <c r="Z362">
        <v>527</v>
      </c>
      <c r="AA362">
        <v>492</v>
      </c>
      <c r="AB362">
        <v>6187</v>
      </c>
      <c r="AC362">
        <v>210</v>
      </c>
      <c r="AD362">
        <v>357</v>
      </c>
      <c r="AE362">
        <v>958</v>
      </c>
      <c r="AF362">
        <v>2502</v>
      </c>
      <c r="AG362">
        <v>621</v>
      </c>
      <c r="AH362">
        <v>435.5</v>
      </c>
      <c r="AJ362">
        <v>278</v>
      </c>
      <c r="AK362">
        <v>208</v>
      </c>
      <c r="AL362">
        <v>33</v>
      </c>
      <c r="AM362">
        <v>877</v>
      </c>
      <c r="AN362">
        <v>205</v>
      </c>
      <c r="AQ362">
        <v>38874.6</v>
      </c>
      <c r="AR362">
        <v>1.4341999999999999</v>
      </c>
      <c r="AS362">
        <v>55753.95132</v>
      </c>
    </row>
    <row r="363" spans="1:45" hidden="1">
      <c r="A363" t="s">
        <v>19</v>
      </c>
      <c r="B363" t="s">
        <v>741</v>
      </c>
      <c r="C363" t="s">
        <v>718</v>
      </c>
      <c r="D363" t="s">
        <v>504</v>
      </c>
      <c r="E363" t="s">
        <v>242</v>
      </c>
      <c r="F363" t="s">
        <v>505</v>
      </c>
      <c r="G363" t="s">
        <v>506</v>
      </c>
      <c r="J363">
        <v>500</v>
      </c>
      <c r="W363">
        <v>500</v>
      </c>
      <c r="Z363">
        <v>100</v>
      </c>
      <c r="AA363">
        <v>150</v>
      </c>
      <c r="AB363">
        <v>100</v>
      </c>
      <c r="AG363">
        <v>100</v>
      </c>
      <c r="AO363">
        <v>8000</v>
      </c>
      <c r="AP363">
        <v>2000</v>
      </c>
      <c r="AQ363">
        <v>11450</v>
      </c>
      <c r="AR363">
        <v>0.84840000000000004</v>
      </c>
      <c r="AS363">
        <v>9714.18</v>
      </c>
    </row>
    <row r="364" spans="1:45" hidden="1">
      <c r="A364" t="s">
        <v>19</v>
      </c>
      <c r="B364" t="s">
        <v>741</v>
      </c>
      <c r="C364" t="s">
        <v>719</v>
      </c>
      <c r="D364" t="s">
        <v>501</v>
      </c>
      <c r="E364" t="s">
        <v>242</v>
      </c>
      <c r="F364" t="s">
        <v>502</v>
      </c>
      <c r="G364" t="s">
        <v>503</v>
      </c>
      <c r="AO364">
        <v>12</v>
      </c>
      <c r="AP364">
        <v>8</v>
      </c>
      <c r="AQ364">
        <v>20</v>
      </c>
      <c r="AR364">
        <v>1272.5999999999999</v>
      </c>
      <c r="AS364">
        <v>25452</v>
      </c>
    </row>
    <row r="365" spans="1:45" hidden="1">
      <c r="A365" t="s">
        <v>19</v>
      </c>
      <c r="B365" t="s">
        <v>741</v>
      </c>
      <c r="C365" t="s">
        <v>720</v>
      </c>
      <c r="D365" t="s">
        <v>518</v>
      </c>
      <c r="E365" t="s">
        <v>242</v>
      </c>
      <c r="F365" t="s">
        <v>519</v>
      </c>
      <c r="G365" t="s">
        <v>517</v>
      </c>
      <c r="AQ365">
        <v>0</v>
      </c>
      <c r="AR365">
        <v>3181.5</v>
      </c>
      <c r="AS365">
        <v>0</v>
      </c>
    </row>
    <row r="366" spans="1:45" hidden="1">
      <c r="A366" t="s">
        <v>19</v>
      </c>
      <c r="B366" t="s">
        <v>741</v>
      </c>
      <c r="C366" t="s">
        <v>721</v>
      </c>
      <c r="D366" t="s">
        <v>520</v>
      </c>
      <c r="E366" t="s">
        <v>242</v>
      </c>
      <c r="F366" t="s">
        <v>521</v>
      </c>
      <c r="G366" t="s">
        <v>517</v>
      </c>
      <c r="AQ366">
        <v>0</v>
      </c>
      <c r="AR366">
        <v>2651.25</v>
      </c>
      <c r="AS366">
        <v>0</v>
      </c>
    </row>
    <row r="367" spans="1:45" hidden="1">
      <c r="A367" t="s">
        <v>19</v>
      </c>
      <c r="B367" t="s">
        <v>741</v>
      </c>
      <c r="C367" t="s">
        <v>240</v>
      </c>
      <c r="D367" t="s">
        <v>241</v>
      </c>
      <c r="E367" t="s">
        <v>242</v>
      </c>
      <c r="F367" t="s">
        <v>243</v>
      </c>
      <c r="G367" t="s">
        <v>244</v>
      </c>
      <c r="AO367">
        <v>6</v>
      </c>
      <c r="AP367">
        <v>2</v>
      </c>
      <c r="AQ367">
        <v>8</v>
      </c>
      <c r="AR367">
        <v>318.14999999999998</v>
      </c>
      <c r="AS367">
        <v>2545.1999999999998</v>
      </c>
    </row>
    <row r="368" spans="1:45" hidden="1">
      <c r="A368" t="s">
        <v>19</v>
      </c>
      <c r="B368" t="s">
        <v>741</v>
      </c>
      <c r="C368" t="s">
        <v>245</v>
      </c>
      <c r="D368" t="s">
        <v>246</v>
      </c>
      <c r="E368" t="s">
        <v>242</v>
      </c>
      <c r="F368" t="s">
        <v>247</v>
      </c>
      <c r="G368" t="s">
        <v>248</v>
      </c>
      <c r="W368">
        <v>3</v>
      </c>
      <c r="AB368">
        <v>5</v>
      </c>
      <c r="AO368">
        <v>4</v>
      </c>
      <c r="AP368">
        <v>1</v>
      </c>
      <c r="AQ368">
        <v>13</v>
      </c>
      <c r="AR368">
        <v>265.125</v>
      </c>
      <c r="AS368">
        <v>3446.625</v>
      </c>
    </row>
    <row r="369" spans="1:45" hidden="1">
      <c r="A369" t="s">
        <v>19</v>
      </c>
      <c r="B369" t="s">
        <v>741</v>
      </c>
      <c r="C369" t="s">
        <v>259</v>
      </c>
      <c r="D369" t="s">
        <v>260</v>
      </c>
      <c r="E369" t="s">
        <v>242</v>
      </c>
      <c r="F369" t="s">
        <v>261</v>
      </c>
      <c r="G369" t="s">
        <v>262</v>
      </c>
      <c r="AQ369">
        <v>0</v>
      </c>
      <c r="AR369">
        <v>318.14999999999998</v>
      </c>
      <c r="AS369">
        <v>0</v>
      </c>
    </row>
    <row r="370" spans="1:45" hidden="1">
      <c r="A370" t="s">
        <v>19</v>
      </c>
      <c r="B370" t="s">
        <v>741</v>
      </c>
      <c r="C370" t="s">
        <v>722</v>
      </c>
      <c r="D370" t="s">
        <v>507</v>
      </c>
      <c r="E370" t="s">
        <v>242</v>
      </c>
      <c r="F370" t="s">
        <v>508</v>
      </c>
      <c r="G370" t="s">
        <v>509</v>
      </c>
      <c r="AQ370">
        <v>0</v>
      </c>
      <c r="AR370">
        <v>2121</v>
      </c>
      <c r="AS370">
        <v>0</v>
      </c>
    </row>
    <row r="371" spans="1:45" hidden="1">
      <c r="A371" t="s">
        <v>19</v>
      </c>
      <c r="B371" t="s">
        <v>741</v>
      </c>
      <c r="C371" t="s">
        <v>723</v>
      </c>
      <c r="D371" t="s">
        <v>510</v>
      </c>
      <c r="E371" t="s">
        <v>242</v>
      </c>
      <c r="F371" t="s">
        <v>511</v>
      </c>
      <c r="G371" t="s">
        <v>512</v>
      </c>
      <c r="J371">
        <v>1</v>
      </c>
      <c r="M371">
        <v>1</v>
      </c>
      <c r="O371">
        <v>1</v>
      </c>
      <c r="Q371">
        <v>1</v>
      </c>
      <c r="S371">
        <v>1</v>
      </c>
      <c r="T371">
        <v>1</v>
      </c>
      <c r="U371">
        <v>1</v>
      </c>
      <c r="Y371">
        <v>1</v>
      </c>
      <c r="AB371">
        <v>1</v>
      </c>
      <c r="AQ371">
        <v>9</v>
      </c>
      <c r="AR371">
        <v>212.1</v>
      </c>
      <c r="AS371">
        <v>1908.9</v>
      </c>
    </row>
    <row r="372" spans="1:45" hidden="1">
      <c r="A372" t="s">
        <v>19</v>
      </c>
      <c r="B372" t="s">
        <v>741</v>
      </c>
      <c r="C372" t="s">
        <v>724</v>
      </c>
      <c r="D372" t="s">
        <v>526</v>
      </c>
      <c r="E372" t="s">
        <v>242</v>
      </c>
      <c r="F372" t="s">
        <v>527</v>
      </c>
      <c r="G372" t="s">
        <v>528</v>
      </c>
      <c r="AQ372">
        <v>0</v>
      </c>
      <c r="AR372">
        <v>0.42420000000000002</v>
      </c>
      <c r="AS372">
        <v>0</v>
      </c>
    </row>
    <row r="373" spans="1:45" hidden="1">
      <c r="A373" t="s">
        <v>19</v>
      </c>
      <c r="B373" t="s">
        <v>741</v>
      </c>
      <c r="C373" t="s">
        <v>725</v>
      </c>
      <c r="D373" t="s">
        <v>529</v>
      </c>
      <c r="E373" t="s">
        <v>242</v>
      </c>
      <c r="F373" t="s">
        <v>530</v>
      </c>
      <c r="G373" t="s">
        <v>531</v>
      </c>
      <c r="AQ373">
        <v>0</v>
      </c>
      <c r="AR373">
        <v>212.1</v>
      </c>
      <c r="AS373">
        <v>0</v>
      </c>
    </row>
    <row r="374" spans="1:45" hidden="1">
      <c r="A374" t="s">
        <v>19</v>
      </c>
      <c r="B374" t="s">
        <v>741</v>
      </c>
      <c r="C374" t="s">
        <v>726</v>
      </c>
      <c r="D374" t="s">
        <v>532</v>
      </c>
      <c r="E374" t="s">
        <v>242</v>
      </c>
      <c r="F374" t="s">
        <v>533</v>
      </c>
      <c r="G374" t="s">
        <v>534</v>
      </c>
      <c r="AQ374">
        <v>0</v>
      </c>
      <c r="AR374">
        <v>21.21</v>
      </c>
      <c r="AS374">
        <v>0</v>
      </c>
    </row>
    <row r="375" spans="1:45" hidden="1">
      <c r="A375" t="s">
        <v>19</v>
      </c>
      <c r="B375" t="s">
        <v>741</v>
      </c>
      <c r="C375" t="s">
        <v>727</v>
      </c>
      <c r="D375" t="s">
        <v>287</v>
      </c>
      <c r="E375" t="s">
        <v>242</v>
      </c>
      <c r="F375" t="s">
        <v>537</v>
      </c>
      <c r="G375" t="s">
        <v>538</v>
      </c>
      <c r="AQ375">
        <v>0</v>
      </c>
      <c r="AR375">
        <v>127.26</v>
      </c>
      <c r="AS375">
        <v>0</v>
      </c>
    </row>
    <row r="376" spans="1:45" hidden="1">
      <c r="A376" t="s">
        <v>19</v>
      </c>
      <c r="B376" t="s">
        <v>741</v>
      </c>
      <c r="C376" t="s">
        <v>728</v>
      </c>
      <c r="D376" t="s">
        <v>287</v>
      </c>
      <c r="E376" t="s">
        <v>242</v>
      </c>
      <c r="F376" t="s">
        <v>535</v>
      </c>
      <c r="G376" t="s">
        <v>536</v>
      </c>
      <c r="AQ376">
        <v>0</v>
      </c>
      <c r="AR376">
        <v>424.2</v>
      </c>
      <c r="AS376">
        <v>0</v>
      </c>
    </row>
    <row r="377" spans="1:45" hidden="1">
      <c r="A377" t="s">
        <v>19</v>
      </c>
      <c r="B377" t="s">
        <v>741</v>
      </c>
      <c r="C377" t="s">
        <v>729</v>
      </c>
      <c r="D377" t="s">
        <v>522</v>
      </c>
      <c r="E377" t="s">
        <v>242</v>
      </c>
      <c r="F377" t="s">
        <v>523</v>
      </c>
      <c r="G377" t="s">
        <v>517</v>
      </c>
      <c r="AQ377">
        <v>0</v>
      </c>
      <c r="AR377">
        <v>1272.5999999999999</v>
      </c>
      <c r="AS377">
        <v>0</v>
      </c>
    </row>
    <row r="378" spans="1:45" hidden="1">
      <c r="A378" t="s">
        <v>19</v>
      </c>
      <c r="B378" t="s">
        <v>741</v>
      </c>
      <c r="C378" t="s">
        <v>730</v>
      </c>
      <c r="D378" t="s">
        <v>515</v>
      </c>
      <c r="E378" t="s">
        <v>242</v>
      </c>
      <c r="F378" t="s">
        <v>516</v>
      </c>
      <c r="G378" t="s">
        <v>517</v>
      </c>
      <c r="AQ378">
        <v>0</v>
      </c>
      <c r="AR378">
        <v>3181.5</v>
      </c>
      <c r="AS378">
        <v>0</v>
      </c>
    </row>
    <row r="379" spans="1:45" hidden="1">
      <c r="A379" t="s">
        <v>19</v>
      </c>
      <c r="B379" t="s">
        <v>741</v>
      </c>
      <c r="C379" t="s">
        <v>731</v>
      </c>
      <c r="D379" t="s">
        <v>524</v>
      </c>
      <c r="E379" t="s">
        <v>242</v>
      </c>
      <c r="F379" t="s">
        <v>525</v>
      </c>
      <c r="G379" t="s">
        <v>503</v>
      </c>
      <c r="AQ379">
        <v>0</v>
      </c>
      <c r="AR379">
        <v>15907.5</v>
      </c>
      <c r="AS379">
        <v>0</v>
      </c>
    </row>
    <row r="380" spans="1:45" hidden="1">
      <c r="A380" t="s">
        <v>19</v>
      </c>
      <c r="B380" t="s">
        <v>741</v>
      </c>
      <c r="C380" t="s">
        <v>732</v>
      </c>
      <c r="D380" t="s">
        <v>513</v>
      </c>
      <c r="E380" t="s">
        <v>242</v>
      </c>
      <c r="F380" t="s">
        <v>514</v>
      </c>
      <c r="G380" t="s">
        <v>453</v>
      </c>
      <c r="AQ380">
        <v>0</v>
      </c>
      <c r="AR380">
        <v>848.4</v>
      </c>
      <c r="AS380">
        <v>0</v>
      </c>
    </row>
    <row r="381" spans="1:45" hidden="1">
      <c r="A381" t="s">
        <v>19</v>
      </c>
      <c r="B381" t="s">
        <v>741</v>
      </c>
      <c r="C381" t="s">
        <v>733</v>
      </c>
      <c r="D381" t="s">
        <v>287</v>
      </c>
      <c r="E381" t="s">
        <v>242</v>
      </c>
      <c r="F381" t="s">
        <v>539</v>
      </c>
      <c r="G381" t="s">
        <v>540</v>
      </c>
      <c r="AQ381">
        <v>0</v>
      </c>
      <c r="AR381">
        <v>8.08</v>
      </c>
      <c r="AS381">
        <v>0</v>
      </c>
    </row>
    <row r="382" spans="1:45" hidden="1">
      <c r="A382" t="s">
        <v>19</v>
      </c>
      <c r="B382" t="s">
        <v>741</v>
      </c>
      <c r="C382" t="s">
        <v>734</v>
      </c>
      <c r="D382" t="s">
        <v>287</v>
      </c>
      <c r="E382" t="s">
        <v>242</v>
      </c>
      <c r="F382" t="s">
        <v>541</v>
      </c>
      <c r="G382" t="s">
        <v>540</v>
      </c>
      <c r="AQ382">
        <v>0</v>
      </c>
      <c r="AR382">
        <v>7.4740000000000002</v>
      </c>
      <c r="AS382">
        <v>0</v>
      </c>
    </row>
    <row r="383" spans="1:45" hidden="1">
      <c r="A383" t="s">
        <v>19</v>
      </c>
      <c r="B383" t="s">
        <v>741</v>
      </c>
      <c r="C383" t="s">
        <v>735</v>
      </c>
      <c r="D383" t="s">
        <v>543</v>
      </c>
      <c r="E383" t="s">
        <v>542</v>
      </c>
      <c r="F383" t="s">
        <v>544</v>
      </c>
      <c r="G383" t="s">
        <v>545</v>
      </c>
      <c r="AO383">
        <v>3000</v>
      </c>
      <c r="AP383">
        <v>2500</v>
      </c>
      <c r="AQ383">
        <v>5500</v>
      </c>
      <c r="AR383">
        <v>5500</v>
      </c>
      <c r="AS383">
        <v>5500</v>
      </c>
    </row>
    <row r="384" spans="1:45" hidden="1">
      <c r="A384" t="s">
        <v>19</v>
      </c>
      <c r="B384" t="s">
        <v>741</v>
      </c>
      <c r="C384" t="s">
        <v>286</v>
      </c>
      <c r="D384" t="s">
        <v>287</v>
      </c>
      <c r="E384" t="s">
        <v>288</v>
      </c>
      <c r="F384" t="s">
        <v>289</v>
      </c>
      <c r="G384" t="s">
        <v>547</v>
      </c>
      <c r="AQ384">
        <v>0</v>
      </c>
      <c r="AR384">
        <v>0.05</v>
      </c>
      <c r="AS384">
        <v>16719.986499999999</v>
      </c>
    </row>
    <row r="385" spans="1:46" hidden="1">
      <c r="A385" t="s">
        <v>19</v>
      </c>
      <c r="B385" t="s">
        <v>741</v>
      </c>
      <c r="C385" t="s">
        <v>291</v>
      </c>
      <c r="D385" t="s">
        <v>287</v>
      </c>
      <c r="E385" t="s">
        <v>288</v>
      </c>
      <c r="F385" t="s">
        <v>292</v>
      </c>
      <c r="G385" t="s">
        <v>293</v>
      </c>
      <c r="H385">
        <v>751</v>
      </c>
      <c r="I385">
        <v>277.10000000000002</v>
      </c>
      <c r="J385">
        <v>1478</v>
      </c>
      <c r="L385">
        <v>1223</v>
      </c>
      <c r="M385">
        <v>3649</v>
      </c>
      <c r="N385">
        <v>3010</v>
      </c>
      <c r="O385">
        <v>3029</v>
      </c>
      <c r="P385">
        <v>575</v>
      </c>
      <c r="Q385">
        <v>205</v>
      </c>
      <c r="R385">
        <v>2810</v>
      </c>
      <c r="S385">
        <v>4727</v>
      </c>
      <c r="T385">
        <v>191</v>
      </c>
      <c r="U385">
        <v>515</v>
      </c>
      <c r="V385">
        <v>20</v>
      </c>
      <c r="W385">
        <v>1066</v>
      </c>
      <c r="X385">
        <v>1270</v>
      </c>
      <c r="Y385">
        <v>188</v>
      </c>
      <c r="Z385">
        <v>527</v>
      </c>
      <c r="AA385">
        <v>492</v>
      </c>
      <c r="AB385">
        <v>6187</v>
      </c>
      <c r="AC385">
        <v>210</v>
      </c>
      <c r="AD385">
        <v>357</v>
      </c>
      <c r="AE385">
        <v>958</v>
      </c>
      <c r="AF385">
        <v>2502</v>
      </c>
      <c r="AG385">
        <v>621</v>
      </c>
      <c r="AH385">
        <v>435.5</v>
      </c>
      <c r="AJ385">
        <v>278</v>
      </c>
      <c r="AK385">
        <v>208</v>
      </c>
      <c r="AL385">
        <v>33</v>
      </c>
      <c r="AM385">
        <v>877</v>
      </c>
      <c r="AN385">
        <v>205</v>
      </c>
      <c r="AQ385">
        <v>38874.6</v>
      </c>
      <c r="AR385">
        <v>6.0600000000000001E-2</v>
      </c>
      <c r="AS385">
        <v>2355.8007600000001</v>
      </c>
    </row>
    <row r="386" spans="1:46" hidden="1">
      <c r="A386" t="s">
        <v>19</v>
      </c>
      <c r="B386" t="s">
        <v>741</v>
      </c>
      <c r="C386" t="s">
        <v>736</v>
      </c>
      <c r="D386" t="s">
        <v>287</v>
      </c>
      <c r="E386" t="s">
        <v>288</v>
      </c>
      <c r="F386" t="s">
        <v>550</v>
      </c>
      <c r="G386" t="s">
        <v>293</v>
      </c>
      <c r="H386">
        <v>751</v>
      </c>
      <c r="I386">
        <v>277.10000000000002</v>
      </c>
      <c r="J386">
        <v>1478</v>
      </c>
      <c r="L386">
        <v>1223</v>
      </c>
      <c r="M386">
        <v>3649</v>
      </c>
      <c r="N386">
        <v>3010</v>
      </c>
      <c r="O386">
        <v>3029</v>
      </c>
      <c r="P386">
        <v>575</v>
      </c>
      <c r="Q386">
        <v>205</v>
      </c>
      <c r="R386">
        <v>2810</v>
      </c>
      <c r="S386">
        <v>4727</v>
      </c>
      <c r="T386">
        <v>191</v>
      </c>
      <c r="U386">
        <v>515</v>
      </c>
      <c r="V386">
        <v>20</v>
      </c>
      <c r="W386">
        <v>1066</v>
      </c>
      <c r="X386">
        <v>1270</v>
      </c>
      <c r="Y386">
        <v>188</v>
      </c>
      <c r="Z386">
        <v>527</v>
      </c>
      <c r="AA386">
        <v>492</v>
      </c>
      <c r="AB386">
        <v>6187</v>
      </c>
      <c r="AC386">
        <v>210</v>
      </c>
      <c r="AD386">
        <v>357</v>
      </c>
      <c r="AE386">
        <v>958</v>
      </c>
      <c r="AF386">
        <v>2502</v>
      </c>
      <c r="AG386">
        <v>621</v>
      </c>
      <c r="AH386">
        <v>435.5</v>
      </c>
      <c r="AJ386">
        <v>278</v>
      </c>
      <c r="AK386">
        <v>208</v>
      </c>
      <c r="AL386">
        <v>33</v>
      </c>
      <c r="AM386">
        <v>877</v>
      </c>
      <c r="AN386">
        <v>205</v>
      </c>
      <c r="AQ386">
        <v>38874.6</v>
      </c>
      <c r="AR386">
        <v>5.0500000000000003E-2</v>
      </c>
      <c r="AS386">
        <v>1963.1673000000001</v>
      </c>
    </row>
    <row r="387" spans="1:46" hidden="1">
      <c r="A387" t="s">
        <v>19</v>
      </c>
      <c r="B387" t="s">
        <v>741</v>
      </c>
      <c r="C387" t="s">
        <v>737</v>
      </c>
      <c r="D387" t="s">
        <v>287</v>
      </c>
      <c r="E387" t="s">
        <v>288</v>
      </c>
      <c r="F387" t="s">
        <v>548</v>
      </c>
      <c r="G387" t="s">
        <v>293</v>
      </c>
      <c r="H387">
        <v>751</v>
      </c>
      <c r="I387">
        <v>277.10000000000002</v>
      </c>
      <c r="J387">
        <v>1478</v>
      </c>
      <c r="L387">
        <v>1223</v>
      </c>
      <c r="M387">
        <v>3649</v>
      </c>
      <c r="N387">
        <v>3010</v>
      </c>
      <c r="O387">
        <v>3029</v>
      </c>
      <c r="P387">
        <v>575</v>
      </c>
      <c r="Q387">
        <v>205</v>
      </c>
      <c r="R387">
        <v>2810</v>
      </c>
      <c r="S387">
        <v>4727</v>
      </c>
      <c r="T387">
        <v>191</v>
      </c>
      <c r="U387">
        <v>515</v>
      </c>
      <c r="V387">
        <v>20</v>
      </c>
      <c r="W387">
        <v>1066</v>
      </c>
      <c r="X387">
        <v>1270</v>
      </c>
      <c r="Y387">
        <v>188</v>
      </c>
      <c r="Z387">
        <v>527</v>
      </c>
      <c r="AA387">
        <v>492</v>
      </c>
      <c r="AB387">
        <v>6187</v>
      </c>
      <c r="AC387">
        <v>210</v>
      </c>
      <c r="AD387">
        <v>357</v>
      </c>
      <c r="AE387">
        <v>958</v>
      </c>
      <c r="AF387">
        <v>2502</v>
      </c>
      <c r="AG387">
        <v>621</v>
      </c>
      <c r="AH387">
        <v>435.5</v>
      </c>
      <c r="AJ387">
        <v>278</v>
      </c>
      <c r="AK387">
        <v>208</v>
      </c>
      <c r="AL387">
        <v>33</v>
      </c>
      <c r="AM387">
        <v>877</v>
      </c>
      <c r="AN387">
        <v>205</v>
      </c>
      <c r="AQ387">
        <v>38874.6</v>
      </c>
      <c r="AR387">
        <v>0.1111</v>
      </c>
      <c r="AS387">
        <v>4318.9680600000002</v>
      </c>
    </row>
    <row r="388" spans="1:46" hidden="1">
      <c r="A388" t="s">
        <v>19</v>
      </c>
      <c r="B388" t="s">
        <v>741</v>
      </c>
      <c r="C388" t="s">
        <v>738</v>
      </c>
      <c r="D388" t="s">
        <v>287</v>
      </c>
      <c r="E388" t="s">
        <v>288</v>
      </c>
      <c r="F388" t="s">
        <v>549</v>
      </c>
      <c r="G388" t="s">
        <v>293</v>
      </c>
      <c r="H388">
        <v>751</v>
      </c>
      <c r="I388">
        <v>277.10000000000002</v>
      </c>
      <c r="J388">
        <v>1478</v>
      </c>
      <c r="L388">
        <v>1223</v>
      </c>
      <c r="M388">
        <v>3649</v>
      </c>
      <c r="N388">
        <v>3010</v>
      </c>
      <c r="O388">
        <v>3029</v>
      </c>
      <c r="P388">
        <v>575</v>
      </c>
      <c r="Q388">
        <v>205</v>
      </c>
      <c r="R388">
        <v>2810</v>
      </c>
      <c r="S388">
        <v>4727</v>
      </c>
      <c r="T388">
        <v>191</v>
      </c>
      <c r="U388">
        <v>515</v>
      </c>
      <c r="V388">
        <v>20</v>
      </c>
      <c r="W388">
        <v>1066</v>
      </c>
      <c r="X388">
        <v>1270</v>
      </c>
      <c r="Y388">
        <v>188</v>
      </c>
      <c r="Z388">
        <v>527</v>
      </c>
      <c r="AA388">
        <v>492</v>
      </c>
      <c r="AB388">
        <v>6187</v>
      </c>
      <c r="AC388">
        <v>210</v>
      </c>
      <c r="AD388">
        <v>357</v>
      </c>
      <c r="AE388">
        <v>958</v>
      </c>
      <c r="AF388">
        <v>2502</v>
      </c>
      <c r="AG388">
        <v>621</v>
      </c>
      <c r="AH388">
        <v>435.5</v>
      </c>
      <c r="AJ388">
        <v>278</v>
      </c>
      <c r="AK388">
        <v>208</v>
      </c>
      <c r="AL388">
        <v>33</v>
      </c>
      <c r="AM388">
        <v>877</v>
      </c>
      <c r="AN388">
        <v>205</v>
      </c>
      <c r="AQ388">
        <v>38874.6</v>
      </c>
      <c r="AR388">
        <v>0.10100000000000001</v>
      </c>
      <c r="AS388">
        <v>3926.3346000000001</v>
      </c>
    </row>
    <row r="389" spans="1:46" hidden="1">
      <c r="A389" t="s">
        <v>30</v>
      </c>
      <c r="B389" t="s">
        <v>741</v>
      </c>
      <c r="C389" t="s">
        <v>641</v>
      </c>
      <c r="D389" t="s">
        <v>324</v>
      </c>
      <c r="E389" t="s">
        <v>323</v>
      </c>
      <c r="F389" t="s">
        <v>325</v>
      </c>
      <c r="G389" t="s">
        <v>326</v>
      </c>
      <c r="H389">
        <v>8965</v>
      </c>
      <c r="I389">
        <v>8496</v>
      </c>
      <c r="J389">
        <v>12807</v>
      </c>
      <c r="K389">
        <v>0</v>
      </c>
      <c r="L389">
        <v>0</v>
      </c>
      <c r="M389">
        <v>0</v>
      </c>
      <c r="N389">
        <v>0</v>
      </c>
      <c r="O389">
        <v>0</v>
      </c>
      <c r="P389">
        <v>503243</v>
      </c>
      <c r="Q389">
        <v>3599</v>
      </c>
      <c r="R389">
        <v>3426</v>
      </c>
      <c r="S389">
        <v>1736941</v>
      </c>
      <c r="T389">
        <v>81129</v>
      </c>
      <c r="U389">
        <v>0</v>
      </c>
      <c r="V389">
        <v>0</v>
      </c>
      <c r="W389">
        <v>0</v>
      </c>
      <c r="X389">
        <v>0</v>
      </c>
      <c r="Y389">
        <v>88975</v>
      </c>
      <c r="Z389">
        <v>56640</v>
      </c>
      <c r="AA389">
        <v>0</v>
      </c>
      <c r="AB389">
        <v>4853</v>
      </c>
      <c r="AC389">
        <v>0</v>
      </c>
      <c r="AD389">
        <v>0</v>
      </c>
      <c r="AE389">
        <v>0</v>
      </c>
      <c r="AF389">
        <v>0</v>
      </c>
      <c r="AG389">
        <v>0</v>
      </c>
      <c r="AH389">
        <v>0</v>
      </c>
      <c r="AI389">
        <v>0</v>
      </c>
      <c r="AJ389">
        <v>0</v>
      </c>
      <c r="AQ389">
        <v>2509074</v>
      </c>
      <c r="AR389">
        <v>1.35E-2</v>
      </c>
      <c r="AS389">
        <v>33872.499000000003</v>
      </c>
    </row>
    <row r="390" spans="1:46" hidden="1">
      <c r="A390" t="s">
        <v>30</v>
      </c>
      <c r="B390" t="s">
        <v>741</v>
      </c>
      <c r="C390" t="s">
        <v>642</v>
      </c>
      <c r="D390" t="s">
        <v>327</v>
      </c>
      <c r="E390" t="s">
        <v>323</v>
      </c>
      <c r="F390" t="s">
        <v>328</v>
      </c>
      <c r="G390" t="s">
        <v>329</v>
      </c>
      <c r="H390">
        <v>0</v>
      </c>
      <c r="I390">
        <v>0</v>
      </c>
      <c r="J390">
        <v>0</v>
      </c>
      <c r="K390">
        <v>0</v>
      </c>
      <c r="L390">
        <v>0</v>
      </c>
      <c r="M390">
        <v>0</v>
      </c>
      <c r="N390">
        <v>0</v>
      </c>
      <c r="O390">
        <v>0</v>
      </c>
      <c r="P390">
        <v>0</v>
      </c>
      <c r="Q390">
        <v>0</v>
      </c>
      <c r="R390">
        <v>0</v>
      </c>
      <c r="S390">
        <v>0</v>
      </c>
      <c r="T390">
        <v>0</v>
      </c>
      <c r="U390">
        <v>0</v>
      </c>
      <c r="V390">
        <v>74757</v>
      </c>
      <c r="W390">
        <v>0</v>
      </c>
      <c r="X390">
        <v>0</v>
      </c>
      <c r="Y390">
        <v>0</v>
      </c>
      <c r="Z390">
        <v>0</v>
      </c>
      <c r="AA390">
        <v>0</v>
      </c>
      <c r="AB390">
        <v>0</v>
      </c>
      <c r="AC390">
        <v>0</v>
      </c>
      <c r="AD390">
        <v>0</v>
      </c>
      <c r="AE390">
        <v>1792893</v>
      </c>
      <c r="AF390">
        <v>222301</v>
      </c>
      <c r="AG390">
        <v>416471</v>
      </c>
      <c r="AH390">
        <v>0</v>
      </c>
      <c r="AI390">
        <v>0</v>
      </c>
      <c r="AJ390">
        <v>0</v>
      </c>
      <c r="AQ390">
        <v>2506422</v>
      </c>
      <c r="AR390">
        <v>5.9330000000000001E-2</v>
      </c>
      <c r="AS390">
        <v>148706.01725999999</v>
      </c>
    </row>
    <row r="391" spans="1:46" hidden="1">
      <c r="A391" t="s">
        <v>30</v>
      </c>
      <c r="B391" t="s">
        <v>741</v>
      </c>
      <c r="C391" t="s">
        <v>643</v>
      </c>
      <c r="D391" t="s">
        <v>330</v>
      </c>
      <c r="E391" t="s">
        <v>323</v>
      </c>
      <c r="F391" t="s">
        <v>331</v>
      </c>
      <c r="G391" t="s">
        <v>740</v>
      </c>
      <c r="H391">
        <v>0</v>
      </c>
      <c r="I391">
        <v>0</v>
      </c>
      <c r="J391">
        <v>0</v>
      </c>
      <c r="K391">
        <v>0</v>
      </c>
      <c r="L391">
        <v>0</v>
      </c>
      <c r="M391">
        <v>0</v>
      </c>
      <c r="N391">
        <v>0</v>
      </c>
      <c r="O391">
        <v>0</v>
      </c>
      <c r="P391">
        <v>0</v>
      </c>
      <c r="Q391">
        <v>0</v>
      </c>
      <c r="R391">
        <v>0</v>
      </c>
      <c r="S391">
        <v>0</v>
      </c>
      <c r="T391">
        <v>0</v>
      </c>
      <c r="U391">
        <v>0</v>
      </c>
      <c r="V391">
        <v>0</v>
      </c>
      <c r="W391">
        <v>0</v>
      </c>
      <c r="X391">
        <v>0</v>
      </c>
      <c r="Y391">
        <v>0</v>
      </c>
      <c r="Z391">
        <v>0</v>
      </c>
      <c r="AA391">
        <v>0</v>
      </c>
      <c r="AB391">
        <v>0</v>
      </c>
      <c r="AC391">
        <v>0</v>
      </c>
      <c r="AD391">
        <v>0</v>
      </c>
      <c r="AE391">
        <v>20877094</v>
      </c>
      <c r="AF391">
        <v>0</v>
      </c>
      <c r="AG391">
        <v>0</v>
      </c>
      <c r="AH391">
        <v>0</v>
      </c>
      <c r="AI391">
        <v>0</v>
      </c>
      <c r="AJ391">
        <v>0</v>
      </c>
      <c r="AQ391">
        <v>20877094</v>
      </c>
      <c r="AR391">
        <v>0.1</v>
      </c>
      <c r="AS391">
        <v>2087709.4</v>
      </c>
      <c r="AT391" t="s">
        <v>742</v>
      </c>
    </row>
    <row r="392" spans="1:46" hidden="1">
      <c r="A392" t="s">
        <v>30</v>
      </c>
      <c r="B392" t="s">
        <v>741</v>
      </c>
      <c r="C392" t="s">
        <v>644</v>
      </c>
      <c r="D392" t="s">
        <v>332</v>
      </c>
      <c r="E392" t="s">
        <v>323</v>
      </c>
      <c r="F392" t="s">
        <v>333</v>
      </c>
      <c r="G392" t="s">
        <v>740</v>
      </c>
      <c r="H392">
        <v>0</v>
      </c>
      <c r="I392">
        <v>0</v>
      </c>
      <c r="J392">
        <v>0</v>
      </c>
      <c r="K392">
        <v>1826050</v>
      </c>
      <c r="L392">
        <v>82661</v>
      </c>
      <c r="M392">
        <v>54154</v>
      </c>
      <c r="N392">
        <v>147880</v>
      </c>
      <c r="O392">
        <v>0</v>
      </c>
      <c r="P392">
        <v>0</v>
      </c>
      <c r="Q392">
        <v>0</v>
      </c>
      <c r="R392">
        <v>0</v>
      </c>
      <c r="S392">
        <v>0</v>
      </c>
      <c r="T392">
        <v>0</v>
      </c>
      <c r="U392">
        <v>0</v>
      </c>
      <c r="V392">
        <v>0</v>
      </c>
      <c r="W392">
        <v>0</v>
      </c>
      <c r="X392">
        <v>0</v>
      </c>
      <c r="Y392">
        <v>0</v>
      </c>
      <c r="Z392">
        <v>0</v>
      </c>
      <c r="AA392">
        <v>0</v>
      </c>
      <c r="AB392">
        <v>0</v>
      </c>
      <c r="AC392">
        <v>0</v>
      </c>
      <c r="AD392">
        <v>0</v>
      </c>
      <c r="AE392">
        <v>0</v>
      </c>
      <c r="AF392">
        <v>0</v>
      </c>
      <c r="AG392">
        <v>0</v>
      </c>
      <c r="AH392">
        <v>0</v>
      </c>
      <c r="AI392">
        <v>1077945</v>
      </c>
      <c r="AJ392">
        <v>98041</v>
      </c>
      <c r="AQ392">
        <v>3286731</v>
      </c>
      <c r="AR392">
        <v>0.125</v>
      </c>
      <c r="AS392">
        <v>410841.375</v>
      </c>
    </row>
    <row r="393" spans="1:46" hidden="1">
      <c r="A393" t="s">
        <v>30</v>
      </c>
      <c r="B393" t="s">
        <v>741</v>
      </c>
      <c r="C393" t="s">
        <v>645</v>
      </c>
      <c r="D393" t="s">
        <v>334</v>
      </c>
      <c r="E393" t="s">
        <v>323</v>
      </c>
      <c r="F393" t="s">
        <v>335</v>
      </c>
      <c r="G393" t="s">
        <v>329</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Q393">
        <v>0</v>
      </c>
      <c r="AR393">
        <v>0.28000000000000003</v>
      </c>
      <c r="AT393" t="s">
        <v>743</v>
      </c>
    </row>
    <row r="394" spans="1:46" hidden="1">
      <c r="A394" t="s">
        <v>30</v>
      </c>
      <c r="B394" t="s">
        <v>741</v>
      </c>
      <c r="C394" t="s">
        <v>646</v>
      </c>
      <c r="D394" t="s">
        <v>137</v>
      </c>
      <c r="E394" t="s">
        <v>138</v>
      </c>
      <c r="F394" t="s">
        <v>337</v>
      </c>
      <c r="G394" t="s">
        <v>140</v>
      </c>
      <c r="H394">
        <v>0</v>
      </c>
      <c r="I394">
        <v>2</v>
      </c>
      <c r="J394">
        <v>0</v>
      </c>
      <c r="K394">
        <v>0</v>
      </c>
      <c r="L394">
        <v>0</v>
      </c>
      <c r="M394">
        <v>0</v>
      </c>
      <c r="N394">
        <v>0</v>
      </c>
      <c r="O394">
        <v>0</v>
      </c>
      <c r="P394">
        <v>0</v>
      </c>
      <c r="Q394">
        <v>1</v>
      </c>
      <c r="R394">
        <v>1</v>
      </c>
      <c r="S394">
        <v>0</v>
      </c>
      <c r="T394">
        <v>0</v>
      </c>
      <c r="U394">
        <v>0</v>
      </c>
      <c r="V394">
        <v>0</v>
      </c>
      <c r="W394">
        <v>0</v>
      </c>
      <c r="X394">
        <v>0</v>
      </c>
      <c r="Y394">
        <v>0</v>
      </c>
      <c r="Z394">
        <v>0</v>
      </c>
      <c r="AA394">
        <v>0</v>
      </c>
      <c r="AB394">
        <v>0</v>
      </c>
      <c r="AC394">
        <v>0</v>
      </c>
      <c r="AD394">
        <v>0</v>
      </c>
      <c r="AE394">
        <v>0</v>
      </c>
      <c r="AF394">
        <v>0</v>
      </c>
      <c r="AG394">
        <v>0</v>
      </c>
      <c r="AH394">
        <v>0</v>
      </c>
      <c r="AI394">
        <v>0</v>
      </c>
      <c r="AJ394">
        <v>0</v>
      </c>
      <c r="AQ394">
        <v>4</v>
      </c>
      <c r="AR394">
        <v>212.1</v>
      </c>
      <c r="AS394">
        <v>848.4</v>
      </c>
    </row>
    <row r="395" spans="1:46" hidden="1">
      <c r="A395" t="s">
        <v>30</v>
      </c>
      <c r="B395" t="s">
        <v>741</v>
      </c>
      <c r="C395" t="s">
        <v>136</v>
      </c>
      <c r="D395" t="s">
        <v>137</v>
      </c>
      <c r="E395" t="s">
        <v>138</v>
      </c>
      <c r="F395" t="s">
        <v>139</v>
      </c>
      <c r="G395" t="s">
        <v>140</v>
      </c>
      <c r="H395">
        <v>1</v>
      </c>
      <c r="I395">
        <v>0</v>
      </c>
      <c r="J395">
        <v>1</v>
      </c>
      <c r="K395">
        <v>0</v>
      </c>
      <c r="L395">
        <v>0</v>
      </c>
      <c r="M395">
        <v>0</v>
      </c>
      <c r="N395">
        <v>0</v>
      </c>
      <c r="O395">
        <v>0</v>
      </c>
      <c r="P395">
        <v>0</v>
      </c>
      <c r="Q395">
        <v>0</v>
      </c>
      <c r="R395">
        <v>0</v>
      </c>
      <c r="S395">
        <v>0</v>
      </c>
      <c r="T395">
        <v>1</v>
      </c>
      <c r="U395">
        <v>0</v>
      </c>
      <c r="V395">
        <v>1</v>
      </c>
      <c r="W395">
        <v>0</v>
      </c>
      <c r="X395">
        <v>0</v>
      </c>
      <c r="Y395">
        <v>2</v>
      </c>
      <c r="Z395">
        <v>2</v>
      </c>
      <c r="AA395">
        <v>0</v>
      </c>
      <c r="AB395">
        <v>1</v>
      </c>
      <c r="AC395">
        <v>0</v>
      </c>
      <c r="AD395">
        <v>0</v>
      </c>
      <c r="AE395">
        <v>2</v>
      </c>
      <c r="AF395">
        <v>1</v>
      </c>
      <c r="AG395">
        <v>4</v>
      </c>
      <c r="AH395">
        <v>0</v>
      </c>
      <c r="AI395">
        <v>0</v>
      </c>
      <c r="AJ395">
        <v>0</v>
      </c>
      <c r="AQ395">
        <v>16</v>
      </c>
      <c r="AR395">
        <v>1696.8</v>
      </c>
      <c r="AS395">
        <v>27148.799999999999</v>
      </c>
    </row>
    <row r="396" spans="1:46" hidden="1">
      <c r="A396" t="s">
        <v>30</v>
      </c>
      <c r="B396" t="s">
        <v>741</v>
      </c>
      <c r="C396" t="s">
        <v>143</v>
      </c>
      <c r="D396" t="s">
        <v>137</v>
      </c>
      <c r="E396" t="s">
        <v>138</v>
      </c>
      <c r="F396" t="s">
        <v>277</v>
      </c>
      <c r="G396" t="s">
        <v>140</v>
      </c>
      <c r="H396">
        <v>0</v>
      </c>
      <c r="I396">
        <v>0</v>
      </c>
      <c r="J396">
        <v>0</v>
      </c>
      <c r="K396">
        <v>0</v>
      </c>
      <c r="L396">
        <v>0</v>
      </c>
      <c r="M396">
        <v>0</v>
      </c>
      <c r="N396">
        <v>0</v>
      </c>
      <c r="O396">
        <v>0</v>
      </c>
      <c r="P396">
        <v>1</v>
      </c>
      <c r="Q396">
        <v>0</v>
      </c>
      <c r="R396">
        <v>0</v>
      </c>
      <c r="S396">
        <v>0</v>
      </c>
      <c r="T396">
        <v>2</v>
      </c>
      <c r="U396">
        <v>0</v>
      </c>
      <c r="V396">
        <v>0</v>
      </c>
      <c r="W396">
        <v>0</v>
      </c>
      <c r="X396">
        <v>0</v>
      </c>
      <c r="Y396">
        <v>0</v>
      </c>
      <c r="Z396">
        <v>0</v>
      </c>
      <c r="AA396">
        <v>0</v>
      </c>
      <c r="AB396">
        <v>0</v>
      </c>
      <c r="AC396">
        <v>0</v>
      </c>
      <c r="AD396">
        <v>0</v>
      </c>
      <c r="AE396">
        <v>0</v>
      </c>
      <c r="AF396">
        <v>0</v>
      </c>
      <c r="AG396">
        <v>0</v>
      </c>
      <c r="AH396">
        <v>0</v>
      </c>
      <c r="AI396">
        <v>0</v>
      </c>
      <c r="AJ396">
        <v>0</v>
      </c>
      <c r="AQ396">
        <v>3</v>
      </c>
      <c r="AR396">
        <v>3923.85</v>
      </c>
      <c r="AS396">
        <v>11771.55</v>
      </c>
    </row>
    <row r="397" spans="1:46" hidden="1">
      <c r="A397" t="s">
        <v>30</v>
      </c>
      <c r="B397" t="s">
        <v>741</v>
      </c>
      <c r="C397" t="s">
        <v>647</v>
      </c>
      <c r="D397" t="s">
        <v>137</v>
      </c>
      <c r="E397" t="s">
        <v>138</v>
      </c>
      <c r="F397" t="s">
        <v>338</v>
      </c>
      <c r="G397" t="s">
        <v>140</v>
      </c>
      <c r="H397">
        <v>0</v>
      </c>
      <c r="I397">
        <v>0</v>
      </c>
      <c r="J397">
        <v>0</v>
      </c>
      <c r="K397">
        <v>0</v>
      </c>
      <c r="L397">
        <v>0</v>
      </c>
      <c r="M397">
        <v>0</v>
      </c>
      <c r="N397">
        <v>0</v>
      </c>
      <c r="O397">
        <v>0</v>
      </c>
      <c r="P397">
        <v>1</v>
      </c>
      <c r="Q397">
        <v>0</v>
      </c>
      <c r="R397">
        <v>0</v>
      </c>
      <c r="S397">
        <v>2</v>
      </c>
      <c r="T397">
        <v>0</v>
      </c>
      <c r="U397">
        <v>0</v>
      </c>
      <c r="V397">
        <v>0</v>
      </c>
      <c r="W397">
        <v>0</v>
      </c>
      <c r="X397">
        <v>0</v>
      </c>
      <c r="Y397">
        <v>0</v>
      </c>
      <c r="Z397">
        <v>0</v>
      </c>
      <c r="AA397">
        <v>0</v>
      </c>
      <c r="AB397">
        <v>0</v>
      </c>
      <c r="AC397">
        <v>0</v>
      </c>
      <c r="AD397">
        <v>0</v>
      </c>
      <c r="AE397">
        <v>5</v>
      </c>
      <c r="AF397">
        <v>0</v>
      </c>
      <c r="AG397">
        <v>0</v>
      </c>
      <c r="AH397">
        <v>0</v>
      </c>
      <c r="AI397">
        <v>0</v>
      </c>
      <c r="AJ397">
        <v>0</v>
      </c>
      <c r="AQ397">
        <v>8</v>
      </c>
      <c r="AR397">
        <v>6893.25</v>
      </c>
      <c r="AS397">
        <v>55146</v>
      </c>
    </row>
    <row r="398" spans="1:46" hidden="1">
      <c r="A398" t="s">
        <v>30</v>
      </c>
      <c r="B398" t="s">
        <v>741</v>
      </c>
      <c r="C398" t="s">
        <v>648</v>
      </c>
      <c r="D398" t="s">
        <v>342</v>
      </c>
      <c r="E398" t="s">
        <v>138</v>
      </c>
      <c r="F398" t="s">
        <v>343</v>
      </c>
      <c r="G398" t="s">
        <v>140</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c r="AQ398">
        <v>0</v>
      </c>
      <c r="AR398">
        <v>13786.5</v>
      </c>
      <c r="AS398">
        <v>0</v>
      </c>
    </row>
    <row r="399" spans="1:46" hidden="1">
      <c r="A399" t="s">
        <v>30</v>
      </c>
      <c r="B399" t="s">
        <v>741</v>
      </c>
      <c r="C399" t="s">
        <v>649</v>
      </c>
      <c r="D399" t="s">
        <v>344</v>
      </c>
      <c r="E399" t="s">
        <v>138</v>
      </c>
      <c r="F399" t="s">
        <v>345</v>
      </c>
      <c r="G399" t="s">
        <v>346</v>
      </c>
      <c r="H399">
        <v>0</v>
      </c>
      <c r="I399">
        <v>0</v>
      </c>
      <c r="J399">
        <v>0</v>
      </c>
      <c r="K399">
        <v>0</v>
      </c>
      <c r="L399">
        <v>0</v>
      </c>
      <c r="M399">
        <v>0</v>
      </c>
      <c r="N399">
        <v>0</v>
      </c>
      <c r="O399">
        <v>0</v>
      </c>
      <c r="P399">
        <v>42</v>
      </c>
      <c r="Q399">
        <v>0</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c r="AQ399">
        <v>42</v>
      </c>
      <c r="AR399">
        <v>11.11</v>
      </c>
      <c r="AS399">
        <v>466.62</v>
      </c>
    </row>
    <row r="400" spans="1:46" hidden="1">
      <c r="A400" t="s">
        <v>30</v>
      </c>
      <c r="B400" t="s">
        <v>741</v>
      </c>
      <c r="C400" t="s">
        <v>650</v>
      </c>
      <c r="D400" t="s">
        <v>339</v>
      </c>
      <c r="E400" t="s">
        <v>138</v>
      </c>
      <c r="F400" t="s">
        <v>340</v>
      </c>
      <c r="G400" t="s">
        <v>341</v>
      </c>
      <c r="H400">
        <v>0</v>
      </c>
      <c r="I400">
        <v>0</v>
      </c>
      <c r="J400">
        <v>0</v>
      </c>
      <c r="K400">
        <v>1</v>
      </c>
      <c r="L400">
        <v>0</v>
      </c>
      <c r="M400">
        <v>0</v>
      </c>
      <c r="N400">
        <v>0</v>
      </c>
      <c r="O400">
        <v>0</v>
      </c>
      <c r="P400">
        <v>6</v>
      </c>
      <c r="Q400">
        <v>0</v>
      </c>
      <c r="R400">
        <v>0</v>
      </c>
      <c r="S400">
        <v>5</v>
      </c>
      <c r="T400">
        <v>0</v>
      </c>
      <c r="U400">
        <v>0</v>
      </c>
      <c r="V400">
        <v>1</v>
      </c>
      <c r="W400">
        <v>0</v>
      </c>
      <c r="X400">
        <v>0</v>
      </c>
      <c r="Y400">
        <v>0</v>
      </c>
      <c r="Z400">
        <v>0</v>
      </c>
      <c r="AA400">
        <v>0</v>
      </c>
      <c r="AB400">
        <v>0</v>
      </c>
      <c r="AC400">
        <v>0</v>
      </c>
      <c r="AD400">
        <v>0</v>
      </c>
      <c r="AE400">
        <v>9</v>
      </c>
      <c r="AF400">
        <v>1</v>
      </c>
      <c r="AG400">
        <v>2</v>
      </c>
      <c r="AH400">
        <v>0</v>
      </c>
      <c r="AI400">
        <v>1</v>
      </c>
      <c r="AJ400">
        <v>0</v>
      </c>
      <c r="AQ400">
        <v>26</v>
      </c>
      <c r="AR400">
        <v>557.52</v>
      </c>
      <c r="AS400">
        <v>14495.52</v>
      </c>
    </row>
    <row r="401" spans="1:45" hidden="1">
      <c r="A401" t="s">
        <v>30</v>
      </c>
      <c r="B401" t="s">
        <v>741</v>
      </c>
      <c r="C401" t="s">
        <v>651</v>
      </c>
      <c r="D401" t="s">
        <v>347</v>
      </c>
      <c r="E401" t="s">
        <v>138</v>
      </c>
      <c r="F401" t="s">
        <v>350</v>
      </c>
      <c r="G401" t="s">
        <v>349</v>
      </c>
      <c r="H401">
        <v>0</v>
      </c>
      <c r="I401">
        <v>0</v>
      </c>
      <c r="J401">
        <v>0</v>
      </c>
      <c r="K401">
        <v>0</v>
      </c>
      <c r="L401">
        <v>0</v>
      </c>
      <c r="M401">
        <v>0</v>
      </c>
      <c r="N401">
        <v>0</v>
      </c>
      <c r="O401">
        <v>0</v>
      </c>
      <c r="P401">
        <v>1</v>
      </c>
      <c r="Q401">
        <v>0</v>
      </c>
      <c r="R401">
        <v>0</v>
      </c>
      <c r="S401">
        <v>6</v>
      </c>
      <c r="T401">
        <v>0</v>
      </c>
      <c r="U401">
        <v>0</v>
      </c>
      <c r="V401">
        <v>0</v>
      </c>
      <c r="W401">
        <v>0</v>
      </c>
      <c r="X401">
        <v>0</v>
      </c>
      <c r="Y401">
        <v>0</v>
      </c>
      <c r="Z401">
        <v>0</v>
      </c>
      <c r="AA401">
        <v>0</v>
      </c>
      <c r="AB401">
        <v>0</v>
      </c>
      <c r="AC401">
        <v>0</v>
      </c>
      <c r="AD401">
        <v>0</v>
      </c>
      <c r="AE401">
        <v>1</v>
      </c>
      <c r="AF401">
        <v>0</v>
      </c>
      <c r="AG401">
        <v>0</v>
      </c>
      <c r="AH401">
        <v>0</v>
      </c>
      <c r="AI401">
        <v>1</v>
      </c>
      <c r="AJ401">
        <v>0</v>
      </c>
      <c r="AQ401">
        <v>9</v>
      </c>
      <c r="AR401">
        <v>234.32</v>
      </c>
      <c r="AS401">
        <v>2108.88</v>
      </c>
    </row>
    <row r="402" spans="1:45" hidden="1">
      <c r="A402" t="s">
        <v>30</v>
      </c>
      <c r="B402" t="s">
        <v>741</v>
      </c>
      <c r="C402" t="s">
        <v>652</v>
      </c>
      <c r="D402" t="s">
        <v>347</v>
      </c>
      <c r="E402" t="s">
        <v>138</v>
      </c>
      <c r="F402" t="s">
        <v>348</v>
      </c>
      <c r="G402" t="s">
        <v>349</v>
      </c>
      <c r="H402">
        <v>0</v>
      </c>
      <c r="I402">
        <v>0</v>
      </c>
      <c r="J402">
        <v>0</v>
      </c>
      <c r="K402">
        <v>0</v>
      </c>
      <c r="L402">
        <v>0</v>
      </c>
      <c r="M402">
        <v>0</v>
      </c>
      <c r="N402">
        <v>0</v>
      </c>
      <c r="O402">
        <v>0</v>
      </c>
      <c r="P402">
        <v>0</v>
      </c>
      <c r="Q402">
        <v>0</v>
      </c>
      <c r="R402">
        <v>0</v>
      </c>
      <c r="S402">
        <v>2</v>
      </c>
      <c r="T402">
        <v>1</v>
      </c>
      <c r="U402">
        <v>0</v>
      </c>
      <c r="V402">
        <v>0</v>
      </c>
      <c r="W402">
        <v>0</v>
      </c>
      <c r="X402">
        <v>0</v>
      </c>
      <c r="Y402">
        <v>0</v>
      </c>
      <c r="Z402">
        <v>0</v>
      </c>
      <c r="AA402">
        <v>0</v>
      </c>
      <c r="AB402">
        <v>0</v>
      </c>
      <c r="AC402">
        <v>0</v>
      </c>
      <c r="AD402">
        <v>0</v>
      </c>
      <c r="AE402">
        <v>17</v>
      </c>
      <c r="AF402">
        <v>0</v>
      </c>
      <c r="AG402">
        <v>0</v>
      </c>
      <c r="AH402">
        <v>0</v>
      </c>
      <c r="AI402">
        <v>0</v>
      </c>
      <c r="AJ402">
        <v>0</v>
      </c>
      <c r="AQ402">
        <v>20</v>
      </c>
      <c r="AR402">
        <v>456.52</v>
      </c>
      <c r="AS402">
        <v>9130.4</v>
      </c>
    </row>
    <row r="403" spans="1:45" hidden="1">
      <c r="A403" t="s">
        <v>30</v>
      </c>
      <c r="B403" t="s">
        <v>741</v>
      </c>
      <c r="C403" t="s">
        <v>653</v>
      </c>
      <c r="D403" t="s">
        <v>347</v>
      </c>
      <c r="E403" t="s">
        <v>138</v>
      </c>
      <c r="F403" t="s">
        <v>351</v>
      </c>
      <c r="G403" t="s">
        <v>349</v>
      </c>
      <c r="H403">
        <v>0</v>
      </c>
      <c r="I403">
        <v>0</v>
      </c>
      <c r="J403">
        <v>0</v>
      </c>
      <c r="K403">
        <v>0</v>
      </c>
      <c r="L403">
        <v>0</v>
      </c>
      <c r="M403">
        <v>0</v>
      </c>
      <c r="N403">
        <v>0</v>
      </c>
      <c r="O403">
        <v>0</v>
      </c>
      <c r="P403">
        <v>0</v>
      </c>
      <c r="Q403">
        <v>0</v>
      </c>
      <c r="R403">
        <v>0</v>
      </c>
      <c r="S403">
        <v>4</v>
      </c>
      <c r="T403">
        <v>0</v>
      </c>
      <c r="U403">
        <v>0</v>
      </c>
      <c r="V403">
        <v>0</v>
      </c>
      <c r="W403">
        <v>0</v>
      </c>
      <c r="X403">
        <v>0</v>
      </c>
      <c r="Y403">
        <v>0</v>
      </c>
      <c r="Z403">
        <v>0</v>
      </c>
      <c r="AA403">
        <v>0</v>
      </c>
      <c r="AB403">
        <v>0</v>
      </c>
      <c r="AC403">
        <v>0</v>
      </c>
      <c r="AD403">
        <v>0</v>
      </c>
      <c r="AE403">
        <v>3</v>
      </c>
      <c r="AF403">
        <v>0</v>
      </c>
      <c r="AG403">
        <v>0</v>
      </c>
      <c r="AH403">
        <v>0</v>
      </c>
      <c r="AI403">
        <v>0</v>
      </c>
      <c r="AJ403">
        <v>0</v>
      </c>
      <c r="AQ403">
        <v>7</v>
      </c>
      <c r="AR403">
        <v>679.73</v>
      </c>
      <c r="AS403">
        <v>4758.1099999999997</v>
      </c>
    </row>
    <row r="404" spans="1:45" hidden="1">
      <c r="A404" t="s">
        <v>30</v>
      </c>
      <c r="B404" t="s">
        <v>741</v>
      </c>
      <c r="C404" t="s">
        <v>654</v>
      </c>
      <c r="D404" t="s">
        <v>352</v>
      </c>
      <c r="E404" t="s">
        <v>138</v>
      </c>
      <c r="F404" t="s">
        <v>353</v>
      </c>
      <c r="G404" t="s">
        <v>354</v>
      </c>
      <c r="H404">
        <v>0</v>
      </c>
      <c r="I404">
        <v>0</v>
      </c>
      <c r="J404">
        <v>0</v>
      </c>
      <c r="K404">
        <v>0</v>
      </c>
      <c r="L404">
        <v>0</v>
      </c>
      <c r="M404">
        <v>0</v>
      </c>
      <c r="N404">
        <v>0</v>
      </c>
      <c r="O404">
        <v>0</v>
      </c>
      <c r="P404">
        <v>0</v>
      </c>
      <c r="Q404">
        <v>0</v>
      </c>
      <c r="R404">
        <v>0</v>
      </c>
      <c r="S404">
        <v>3</v>
      </c>
      <c r="T404">
        <v>0</v>
      </c>
      <c r="U404">
        <v>0</v>
      </c>
      <c r="V404">
        <v>0</v>
      </c>
      <c r="W404">
        <v>0</v>
      </c>
      <c r="X404">
        <v>0</v>
      </c>
      <c r="Y404">
        <v>0</v>
      </c>
      <c r="Z404">
        <v>0</v>
      </c>
      <c r="AA404">
        <v>0</v>
      </c>
      <c r="AB404">
        <v>0</v>
      </c>
      <c r="AC404">
        <v>0</v>
      </c>
      <c r="AD404">
        <v>0</v>
      </c>
      <c r="AE404">
        <v>2</v>
      </c>
      <c r="AF404">
        <v>0</v>
      </c>
      <c r="AG404">
        <v>0</v>
      </c>
      <c r="AH404">
        <v>0</v>
      </c>
      <c r="AI404">
        <v>0</v>
      </c>
      <c r="AJ404">
        <v>0</v>
      </c>
      <c r="AQ404">
        <v>5</v>
      </c>
      <c r="AR404">
        <v>3923.85</v>
      </c>
      <c r="AS404">
        <v>19619.25</v>
      </c>
    </row>
    <row r="405" spans="1:45" hidden="1">
      <c r="A405" t="s">
        <v>30</v>
      </c>
      <c r="B405" t="s">
        <v>741</v>
      </c>
      <c r="C405" t="s">
        <v>655</v>
      </c>
      <c r="D405" t="s">
        <v>355</v>
      </c>
      <c r="E405" t="s">
        <v>138</v>
      </c>
      <c r="F405" t="s">
        <v>356</v>
      </c>
      <c r="G405" t="s">
        <v>357</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H405">
        <v>0</v>
      </c>
      <c r="AI405">
        <v>0</v>
      </c>
      <c r="AJ405">
        <v>0</v>
      </c>
      <c r="AQ405">
        <v>0</v>
      </c>
      <c r="AR405">
        <v>556.51</v>
      </c>
      <c r="AS405">
        <v>0</v>
      </c>
    </row>
    <row r="406" spans="1:45" hidden="1">
      <c r="A406" t="s">
        <v>30</v>
      </c>
      <c r="B406" t="s">
        <v>741</v>
      </c>
      <c r="C406" t="s">
        <v>656</v>
      </c>
      <c r="D406" t="s">
        <v>358</v>
      </c>
      <c r="E406" t="s">
        <v>138</v>
      </c>
      <c r="F406" t="s">
        <v>359</v>
      </c>
      <c r="G406" t="s">
        <v>360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0</v>
      </c>
      <c r="AI406">
        <v>0</v>
      </c>
      <c r="AJ406">
        <v>0</v>
      </c>
      <c r="AQ406">
        <v>0</v>
      </c>
      <c r="AR406">
        <v>334.31</v>
      </c>
      <c r="AS406">
        <v>0</v>
      </c>
    </row>
    <row r="407" spans="1:45" hidden="1">
      <c r="A407" t="s">
        <v>30</v>
      </c>
      <c r="B407" t="s">
        <v>741</v>
      </c>
      <c r="C407" t="s">
        <v>657</v>
      </c>
      <c r="D407" t="s">
        <v>361</v>
      </c>
      <c r="E407" t="s">
        <v>138</v>
      </c>
      <c r="F407" t="s">
        <v>362</v>
      </c>
      <c r="G407" t="s">
        <v>363</v>
      </c>
      <c r="H407">
        <v>0</v>
      </c>
      <c r="I407">
        <v>0</v>
      </c>
      <c r="J407">
        <v>0</v>
      </c>
      <c r="K407">
        <v>0</v>
      </c>
      <c r="L407">
        <v>0</v>
      </c>
      <c r="M407">
        <v>0</v>
      </c>
      <c r="N407">
        <v>0</v>
      </c>
      <c r="O407">
        <v>0</v>
      </c>
      <c r="P407">
        <v>7138.8</v>
      </c>
      <c r="Q407">
        <v>0</v>
      </c>
      <c r="R407">
        <v>0</v>
      </c>
      <c r="S407">
        <v>4865</v>
      </c>
      <c r="T407">
        <v>0</v>
      </c>
      <c r="U407">
        <v>0</v>
      </c>
      <c r="V407">
        <v>0</v>
      </c>
      <c r="W407">
        <v>0</v>
      </c>
      <c r="X407">
        <v>0</v>
      </c>
      <c r="Y407">
        <v>0</v>
      </c>
      <c r="Z407">
        <v>0</v>
      </c>
      <c r="AA407">
        <v>0</v>
      </c>
      <c r="AB407">
        <v>0</v>
      </c>
      <c r="AC407">
        <v>0</v>
      </c>
      <c r="AD407">
        <v>0</v>
      </c>
      <c r="AE407">
        <v>0</v>
      </c>
      <c r="AF407">
        <v>0</v>
      </c>
      <c r="AG407">
        <v>0</v>
      </c>
      <c r="AH407">
        <v>0</v>
      </c>
      <c r="AI407">
        <v>0</v>
      </c>
      <c r="AJ407">
        <v>0</v>
      </c>
      <c r="AQ407">
        <v>12003.8</v>
      </c>
      <c r="AR407">
        <v>1.0605</v>
      </c>
      <c r="AS407">
        <v>12730.0299</v>
      </c>
    </row>
    <row r="408" spans="1:45" hidden="1">
      <c r="A408" t="s">
        <v>30</v>
      </c>
      <c r="B408" t="s">
        <v>741</v>
      </c>
      <c r="C408" t="s">
        <v>658</v>
      </c>
      <c r="D408" t="s">
        <v>364</v>
      </c>
      <c r="E408" t="s">
        <v>138</v>
      </c>
      <c r="F408" t="s">
        <v>366</v>
      </c>
      <c r="G408" t="s">
        <v>363</v>
      </c>
      <c r="H408">
        <v>0</v>
      </c>
      <c r="I408">
        <v>0</v>
      </c>
      <c r="J408">
        <v>0</v>
      </c>
      <c r="K408">
        <v>0</v>
      </c>
      <c r="L408">
        <v>0</v>
      </c>
      <c r="M408">
        <v>0</v>
      </c>
      <c r="N408">
        <v>0</v>
      </c>
      <c r="O408">
        <v>0</v>
      </c>
      <c r="P408">
        <v>7138.8</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Q408">
        <v>7138.8</v>
      </c>
      <c r="AR408">
        <v>4.242</v>
      </c>
      <c r="AS408">
        <v>30282.7896</v>
      </c>
    </row>
    <row r="409" spans="1:45" hidden="1">
      <c r="A409" t="s">
        <v>30</v>
      </c>
      <c r="B409" t="s">
        <v>741</v>
      </c>
      <c r="C409" t="s">
        <v>659</v>
      </c>
      <c r="D409" t="s">
        <v>364</v>
      </c>
      <c r="E409" t="s">
        <v>138</v>
      </c>
      <c r="F409" t="s">
        <v>365</v>
      </c>
      <c r="G409" t="s">
        <v>363</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c r="AE409">
        <v>0</v>
      </c>
      <c r="AF409">
        <v>0</v>
      </c>
      <c r="AG409">
        <v>0</v>
      </c>
      <c r="AH409">
        <v>0</v>
      </c>
      <c r="AI409">
        <v>0</v>
      </c>
      <c r="AJ409">
        <v>0</v>
      </c>
      <c r="AQ409">
        <v>0</v>
      </c>
      <c r="AR409">
        <v>8.484</v>
      </c>
      <c r="AS409">
        <v>0</v>
      </c>
    </row>
    <row r="410" spans="1:45" hidden="1">
      <c r="A410" t="s">
        <v>30</v>
      </c>
      <c r="B410" t="s">
        <v>741</v>
      </c>
      <c r="C410" t="s">
        <v>660</v>
      </c>
      <c r="D410" t="s">
        <v>364</v>
      </c>
      <c r="E410" t="s">
        <v>138</v>
      </c>
      <c r="F410" t="s">
        <v>367</v>
      </c>
      <c r="G410" t="s">
        <v>363</v>
      </c>
      <c r="H410">
        <v>0</v>
      </c>
      <c r="I410">
        <v>0</v>
      </c>
      <c r="J410">
        <v>0</v>
      </c>
      <c r="K410">
        <v>0</v>
      </c>
      <c r="L410">
        <v>0</v>
      </c>
      <c r="M410">
        <v>0</v>
      </c>
      <c r="N410">
        <v>0</v>
      </c>
      <c r="O410">
        <v>0</v>
      </c>
      <c r="P410">
        <v>0</v>
      </c>
      <c r="Q410">
        <v>0</v>
      </c>
      <c r="R410">
        <v>0</v>
      </c>
      <c r="S410">
        <v>4865</v>
      </c>
      <c r="T410">
        <v>0</v>
      </c>
      <c r="U410">
        <v>0</v>
      </c>
      <c r="V410">
        <v>0</v>
      </c>
      <c r="W410">
        <v>0</v>
      </c>
      <c r="X410">
        <v>0</v>
      </c>
      <c r="Y410">
        <v>0</v>
      </c>
      <c r="Z410">
        <v>0</v>
      </c>
      <c r="AA410">
        <v>0</v>
      </c>
      <c r="AB410">
        <v>0</v>
      </c>
      <c r="AC410">
        <v>0</v>
      </c>
      <c r="AD410">
        <v>0</v>
      </c>
      <c r="AE410">
        <v>0</v>
      </c>
      <c r="AF410">
        <v>0</v>
      </c>
      <c r="AG410">
        <v>0</v>
      </c>
      <c r="AH410">
        <v>0</v>
      </c>
      <c r="AI410">
        <v>0</v>
      </c>
      <c r="AJ410">
        <v>0</v>
      </c>
      <c r="AQ410">
        <v>4865</v>
      </c>
      <c r="AR410">
        <v>21.21</v>
      </c>
      <c r="AS410">
        <v>103186.65</v>
      </c>
    </row>
    <row r="411" spans="1:45" hidden="1">
      <c r="A411" t="s">
        <v>30</v>
      </c>
      <c r="B411" t="s">
        <v>741</v>
      </c>
      <c r="C411" t="s">
        <v>278</v>
      </c>
      <c r="D411" t="s">
        <v>146</v>
      </c>
      <c r="E411" t="s">
        <v>138</v>
      </c>
      <c r="F411" t="s">
        <v>279</v>
      </c>
      <c r="G411" t="s">
        <v>148</v>
      </c>
      <c r="H411">
        <v>0</v>
      </c>
      <c r="I411">
        <v>0</v>
      </c>
      <c r="J411">
        <v>0</v>
      </c>
      <c r="K411">
        <v>7</v>
      </c>
      <c r="L411">
        <v>0</v>
      </c>
      <c r="M411">
        <v>0</v>
      </c>
      <c r="N411">
        <v>0</v>
      </c>
      <c r="O411">
        <v>0</v>
      </c>
      <c r="P411">
        <v>3</v>
      </c>
      <c r="Q411">
        <v>0</v>
      </c>
      <c r="R411">
        <v>0</v>
      </c>
      <c r="S411">
        <v>8</v>
      </c>
      <c r="T411">
        <v>0</v>
      </c>
      <c r="U411">
        <v>0</v>
      </c>
      <c r="V411">
        <v>0</v>
      </c>
      <c r="W411">
        <v>0</v>
      </c>
      <c r="X411">
        <v>0</v>
      </c>
      <c r="Y411">
        <v>1</v>
      </c>
      <c r="Z411">
        <v>0</v>
      </c>
      <c r="AA411">
        <v>0</v>
      </c>
      <c r="AB411">
        <v>0</v>
      </c>
      <c r="AC411">
        <v>0</v>
      </c>
      <c r="AD411">
        <v>0</v>
      </c>
      <c r="AE411">
        <v>1</v>
      </c>
      <c r="AF411">
        <v>0</v>
      </c>
      <c r="AG411">
        <v>0</v>
      </c>
      <c r="AH411">
        <v>0</v>
      </c>
      <c r="AI411">
        <v>0</v>
      </c>
      <c r="AJ411">
        <v>0</v>
      </c>
      <c r="AQ411">
        <v>20</v>
      </c>
      <c r="AR411">
        <v>1272.5999999999999</v>
      </c>
      <c r="AS411">
        <v>25452</v>
      </c>
    </row>
    <row r="412" spans="1:45" hidden="1">
      <c r="A412" t="s">
        <v>30</v>
      </c>
      <c r="B412" t="s">
        <v>741</v>
      </c>
      <c r="C412" t="s">
        <v>661</v>
      </c>
      <c r="D412" t="s">
        <v>146</v>
      </c>
      <c r="E412" t="s">
        <v>138</v>
      </c>
      <c r="F412" t="s">
        <v>368</v>
      </c>
      <c r="G412" t="s">
        <v>148</v>
      </c>
      <c r="H412">
        <v>0</v>
      </c>
      <c r="I412">
        <v>0</v>
      </c>
      <c r="J412">
        <v>0</v>
      </c>
      <c r="K412">
        <v>0</v>
      </c>
      <c r="L412">
        <v>0</v>
      </c>
      <c r="M412">
        <v>0</v>
      </c>
      <c r="N412">
        <v>1</v>
      </c>
      <c r="O412">
        <v>0</v>
      </c>
      <c r="P412">
        <v>1</v>
      </c>
      <c r="Q412">
        <v>0</v>
      </c>
      <c r="R412">
        <v>0</v>
      </c>
      <c r="S412">
        <v>2</v>
      </c>
      <c r="T412">
        <v>0</v>
      </c>
      <c r="U412">
        <v>0</v>
      </c>
      <c r="V412">
        <v>0</v>
      </c>
      <c r="W412">
        <v>0</v>
      </c>
      <c r="X412">
        <v>0</v>
      </c>
      <c r="Y412">
        <v>0</v>
      </c>
      <c r="Z412">
        <v>0</v>
      </c>
      <c r="AA412">
        <v>0</v>
      </c>
      <c r="AB412">
        <v>0</v>
      </c>
      <c r="AC412">
        <v>0</v>
      </c>
      <c r="AD412">
        <v>0</v>
      </c>
      <c r="AE412">
        <v>0</v>
      </c>
      <c r="AF412">
        <v>0</v>
      </c>
      <c r="AG412">
        <v>0</v>
      </c>
      <c r="AH412">
        <v>0</v>
      </c>
      <c r="AI412">
        <v>0</v>
      </c>
      <c r="AJ412">
        <v>0</v>
      </c>
      <c r="AQ412">
        <v>4</v>
      </c>
      <c r="AR412">
        <v>2333.1</v>
      </c>
      <c r="AS412">
        <v>9332.4</v>
      </c>
    </row>
    <row r="413" spans="1:45" hidden="1">
      <c r="A413" t="s">
        <v>30</v>
      </c>
      <c r="B413" t="s">
        <v>741</v>
      </c>
      <c r="C413" t="s">
        <v>662</v>
      </c>
      <c r="D413" t="s">
        <v>146</v>
      </c>
      <c r="E413" t="s">
        <v>138</v>
      </c>
      <c r="F413" t="s">
        <v>369</v>
      </c>
      <c r="G413" t="s">
        <v>148</v>
      </c>
      <c r="H413">
        <v>0</v>
      </c>
      <c r="I413">
        <v>0</v>
      </c>
      <c r="J413">
        <v>0</v>
      </c>
      <c r="K413">
        <v>0</v>
      </c>
      <c r="L413">
        <v>0</v>
      </c>
      <c r="M413">
        <v>0</v>
      </c>
      <c r="N413">
        <v>0</v>
      </c>
      <c r="O413">
        <v>0</v>
      </c>
      <c r="P413">
        <v>0</v>
      </c>
      <c r="Q413">
        <v>0</v>
      </c>
      <c r="R413">
        <v>0</v>
      </c>
      <c r="S413">
        <v>1</v>
      </c>
      <c r="T413">
        <v>0</v>
      </c>
      <c r="U413">
        <v>0</v>
      </c>
      <c r="V413">
        <v>0</v>
      </c>
      <c r="W413">
        <v>0</v>
      </c>
      <c r="X413">
        <v>0</v>
      </c>
      <c r="Y413">
        <v>0</v>
      </c>
      <c r="Z413">
        <v>0</v>
      </c>
      <c r="AA413">
        <v>0</v>
      </c>
      <c r="AB413">
        <v>0</v>
      </c>
      <c r="AC413">
        <v>0</v>
      </c>
      <c r="AD413">
        <v>0</v>
      </c>
      <c r="AE413">
        <v>1</v>
      </c>
      <c r="AF413">
        <v>0</v>
      </c>
      <c r="AG413">
        <v>0</v>
      </c>
      <c r="AH413">
        <v>0</v>
      </c>
      <c r="AI413">
        <v>0</v>
      </c>
      <c r="AJ413">
        <v>0</v>
      </c>
      <c r="AQ413">
        <v>2</v>
      </c>
      <c r="AR413">
        <v>3711.75</v>
      </c>
      <c r="AS413">
        <v>7423.5</v>
      </c>
    </row>
    <row r="414" spans="1:45" hidden="1">
      <c r="A414" t="s">
        <v>30</v>
      </c>
      <c r="B414" t="s">
        <v>741</v>
      </c>
      <c r="C414" t="s">
        <v>663</v>
      </c>
      <c r="D414" t="s">
        <v>146</v>
      </c>
      <c r="E414" t="s">
        <v>138</v>
      </c>
      <c r="F414" t="s">
        <v>370</v>
      </c>
      <c r="G414" t="s">
        <v>148</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H414">
        <v>0</v>
      </c>
      <c r="AI414">
        <v>0</v>
      </c>
      <c r="AJ414">
        <v>0</v>
      </c>
      <c r="AQ414">
        <v>0</v>
      </c>
      <c r="AR414">
        <v>5832.75</v>
      </c>
      <c r="AS414">
        <v>0</v>
      </c>
    </row>
    <row r="415" spans="1:45" hidden="1">
      <c r="A415" t="s">
        <v>30</v>
      </c>
      <c r="B415" t="s">
        <v>741</v>
      </c>
      <c r="C415" t="s">
        <v>664</v>
      </c>
      <c r="D415" t="s">
        <v>371</v>
      </c>
      <c r="E415" t="s">
        <v>138</v>
      </c>
      <c r="F415" t="s">
        <v>372</v>
      </c>
      <c r="G415" t="s">
        <v>373</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c r="AE415">
        <v>1</v>
      </c>
      <c r="AF415">
        <v>0</v>
      </c>
      <c r="AG415">
        <v>0</v>
      </c>
      <c r="AH415">
        <v>0</v>
      </c>
      <c r="AI415">
        <v>0</v>
      </c>
      <c r="AJ415">
        <v>0</v>
      </c>
      <c r="AQ415">
        <v>1</v>
      </c>
      <c r="AR415">
        <v>3711.75</v>
      </c>
      <c r="AS415">
        <v>3711.75</v>
      </c>
    </row>
    <row r="416" spans="1:45" hidden="1">
      <c r="A416" t="s">
        <v>30</v>
      </c>
      <c r="B416" t="s">
        <v>741</v>
      </c>
      <c r="C416" t="s">
        <v>149</v>
      </c>
      <c r="D416" t="s">
        <v>280</v>
      </c>
      <c r="E416" t="s">
        <v>138</v>
      </c>
      <c r="F416" t="s">
        <v>151</v>
      </c>
      <c r="G416" t="s">
        <v>152</v>
      </c>
      <c r="H416">
        <v>959.15</v>
      </c>
      <c r="I416">
        <v>1149.6500000000001</v>
      </c>
      <c r="J416">
        <v>860.47</v>
      </c>
      <c r="K416">
        <v>7583.3</v>
      </c>
      <c r="L416">
        <v>457.53</v>
      </c>
      <c r="M416">
        <v>592.38</v>
      </c>
      <c r="N416">
        <v>3088.68</v>
      </c>
      <c r="O416">
        <v>0</v>
      </c>
      <c r="P416">
        <v>16189.09</v>
      </c>
      <c r="Q416">
        <v>355.09</v>
      </c>
      <c r="R416">
        <v>120</v>
      </c>
      <c r="S416">
        <v>56849.48</v>
      </c>
      <c r="T416">
        <v>6207.59</v>
      </c>
      <c r="U416">
        <v>0</v>
      </c>
      <c r="V416">
        <v>425.43</v>
      </c>
      <c r="W416">
        <v>0</v>
      </c>
      <c r="X416">
        <v>0</v>
      </c>
      <c r="Y416">
        <v>4139.08</v>
      </c>
      <c r="Z416">
        <v>2292.21</v>
      </c>
      <c r="AA416">
        <v>445.29</v>
      </c>
      <c r="AB416">
        <v>400</v>
      </c>
      <c r="AC416">
        <v>168.45</v>
      </c>
      <c r="AD416">
        <v>0</v>
      </c>
      <c r="AE416">
        <v>83817.149999999994</v>
      </c>
      <c r="AF416">
        <v>0</v>
      </c>
      <c r="AG416">
        <v>3302.4</v>
      </c>
      <c r="AH416">
        <v>633.94000000000005</v>
      </c>
      <c r="AI416">
        <v>8834</v>
      </c>
      <c r="AJ416">
        <v>607.55999999999995</v>
      </c>
      <c r="AQ416">
        <v>199477.92</v>
      </c>
      <c r="AR416">
        <v>1.111</v>
      </c>
      <c r="AS416">
        <v>221619.96911999999</v>
      </c>
    </row>
    <row r="417" spans="1:45" hidden="1">
      <c r="A417" t="s">
        <v>30</v>
      </c>
      <c r="B417" t="s">
        <v>741</v>
      </c>
      <c r="C417" t="s">
        <v>153</v>
      </c>
      <c r="D417" t="s">
        <v>154</v>
      </c>
      <c r="E417" t="s">
        <v>138</v>
      </c>
      <c r="F417" t="s">
        <v>155</v>
      </c>
      <c r="G417" t="s">
        <v>156</v>
      </c>
      <c r="H417">
        <v>0</v>
      </c>
      <c r="I417">
        <v>0</v>
      </c>
      <c r="J417">
        <v>0</v>
      </c>
      <c r="K417">
        <v>104</v>
      </c>
      <c r="L417">
        <v>0</v>
      </c>
      <c r="M417">
        <v>0</v>
      </c>
      <c r="N417">
        <v>100</v>
      </c>
      <c r="O417">
        <v>0</v>
      </c>
      <c r="P417">
        <v>146</v>
      </c>
      <c r="Q417">
        <v>0</v>
      </c>
      <c r="R417">
        <v>0</v>
      </c>
      <c r="S417">
        <v>331</v>
      </c>
      <c r="T417">
        <v>1</v>
      </c>
      <c r="U417">
        <v>0</v>
      </c>
      <c r="V417">
        <v>0</v>
      </c>
      <c r="W417">
        <v>0</v>
      </c>
      <c r="X417">
        <v>0</v>
      </c>
      <c r="Y417">
        <v>2</v>
      </c>
      <c r="Z417">
        <v>0</v>
      </c>
      <c r="AA417">
        <v>1</v>
      </c>
      <c r="AB417">
        <v>0</v>
      </c>
      <c r="AC417">
        <v>0</v>
      </c>
      <c r="AD417">
        <v>0</v>
      </c>
      <c r="AE417">
        <v>0</v>
      </c>
      <c r="AF417">
        <v>0</v>
      </c>
      <c r="AG417">
        <v>0</v>
      </c>
      <c r="AH417">
        <v>0</v>
      </c>
      <c r="AI417">
        <v>0</v>
      </c>
      <c r="AJ417">
        <v>0</v>
      </c>
      <c r="AQ417">
        <v>685</v>
      </c>
      <c r="AR417">
        <v>116.655</v>
      </c>
      <c r="AS417">
        <v>79908.675000000003</v>
      </c>
    </row>
    <row r="418" spans="1:45" hidden="1">
      <c r="A418" t="s">
        <v>30</v>
      </c>
      <c r="B418" t="s">
        <v>741</v>
      </c>
      <c r="C418" t="s">
        <v>665</v>
      </c>
      <c r="D418" t="s">
        <v>375</v>
      </c>
      <c r="E418" t="s">
        <v>138</v>
      </c>
      <c r="F418" t="s">
        <v>376</v>
      </c>
      <c r="G418" t="s">
        <v>377</v>
      </c>
      <c r="H418">
        <v>0</v>
      </c>
      <c r="I418">
        <v>0</v>
      </c>
      <c r="J418">
        <v>0</v>
      </c>
      <c r="K418">
        <v>0</v>
      </c>
      <c r="L418">
        <v>0</v>
      </c>
      <c r="M418">
        <v>0</v>
      </c>
      <c r="N418">
        <v>1</v>
      </c>
      <c r="O418">
        <v>0</v>
      </c>
      <c r="P418">
        <v>7</v>
      </c>
      <c r="Q418">
        <v>0</v>
      </c>
      <c r="R418">
        <v>0</v>
      </c>
      <c r="S418">
        <v>9</v>
      </c>
      <c r="T418">
        <v>0</v>
      </c>
      <c r="U418">
        <v>0</v>
      </c>
      <c r="V418">
        <v>0</v>
      </c>
      <c r="W418">
        <v>0</v>
      </c>
      <c r="X418">
        <v>0</v>
      </c>
      <c r="Y418">
        <v>0</v>
      </c>
      <c r="Z418">
        <v>0</v>
      </c>
      <c r="AA418">
        <v>0</v>
      </c>
      <c r="AB418">
        <v>0</v>
      </c>
      <c r="AC418">
        <v>0</v>
      </c>
      <c r="AD418">
        <v>0</v>
      </c>
      <c r="AE418">
        <v>65</v>
      </c>
      <c r="AF418">
        <v>0</v>
      </c>
      <c r="AG418">
        <v>0</v>
      </c>
      <c r="AH418">
        <v>0</v>
      </c>
      <c r="AI418">
        <v>0</v>
      </c>
      <c r="AJ418">
        <v>0</v>
      </c>
      <c r="AQ418">
        <v>82</v>
      </c>
      <c r="AR418">
        <v>89.081999999999994</v>
      </c>
      <c r="AS418">
        <v>7304.7240000000002</v>
      </c>
    </row>
    <row r="419" spans="1:45" hidden="1">
      <c r="A419" t="s">
        <v>30</v>
      </c>
      <c r="B419" t="s">
        <v>741</v>
      </c>
      <c r="C419" t="s">
        <v>158</v>
      </c>
      <c r="D419" t="s">
        <v>159</v>
      </c>
      <c r="E419" t="s">
        <v>138</v>
      </c>
      <c r="F419" t="s">
        <v>160</v>
      </c>
      <c r="G419" t="s">
        <v>161</v>
      </c>
      <c r="H419">
        <v>2</v>
      </c>
      <c r="I419">
        <v>2</v>
      </c>
      <c r="J419">
        <v>6</v>
      </c>
      <c r="K419">
        <v>48</v>
      </c>
      <c r="L419">
        <v>0</v>
      </c>
      <c r="M419">
        <v>0</v>
      </c>
      <c r="N419">
        <v>0</v>
      </c>
      <c r="O419">
        <v>0</v>
      </c>
      <c r="P419">
        <v>38</v>
      </c>
      <c r="Q419">
        <v>0</v>
      </c>
      <c r="R419">
        <v>0</v>
      </c>
      <c r="S419">
        <v>113</v>
      </c>
      <c r="T419">
        <v>3</v>
      </c>
      <c r="U419">
        <v>0</v>
      </c>
      <c r="V419">
        <v>0</v>
      </c>
      <c r="W419">
        <v>0</v>
      </c>
      <c r="X419">
        <v>0</v>
      </c>
      <c r="Y419">
        <v>62</v>
      </c>
      <c r="Z419">
        <v>20</v>
      </c>
      <c r="AA419">
        <v>1</v>
      </c>
      <c r="AB419">
        <v>0</v>
      </c>
      <c r="AC419">
        <v>0</v>
      </c>
      <c r="AD419">
        <v>0</v>
      </c>
      <c r="AE419">
        <v>2</v>
      </c>
      <c r="AF419">
        <v>0</v>
      </c>
      <c r="AG419">
        <v>0</v>
      </c>
      <c r="AH419">
        <v>0</v>
      </c>
      <c r="AI419">
        <v>7</v>
      </c>
      <c r="AJ419">
        <v>0</v>
      </c>
      <c r="AQ419">
        <v>304</v>
      </c>
      <c r="AR419">
        <v>66.66</v>
      </c>
      <c r="AS419">
        <v>20264.64</v>
      </c>
    </row>
    <row r="420" spans="1:45" hidden="1">
      <c r="A420" t="s">
        <v>30</v>
      </c>
      <c r="B420" t="s">
        <v>741</v>
      </c>
      <c r="C420" t="s">
        <v>666</v>
      </c>
      <c r="D420" t="s">
        <v>378</v>
      </c>
      <c r="E420" t="s">
        <v>138</v>
      </c>
      <c r="F420" t="s">
        <v>379</v>
      </c>
      <c r="G420" t="s">
        <v>380</v>
      </c>
      <c r="H420">
        <v>0</v>
      </c>
      <c r="I420">
        <v>0</v>
      </c>
      <c r="J420">
        <v>0</v>
      </c>
      <c r="K420">
        <v>0</v>
      </c>
      <c r="L420">
        <v>0</v>
      </c>
      <c r="M420">
        <v>0</v>
      </c>
      <c r="N420">
        <v>0</v>
      </c>
      <c r="O420">
        <v>0</v>
      </c>
      <c r="P420">
        <v>0</v>
      </c>
      <c r="Q420">
        <v>0</v>
      </c>
      <c r="R420">
        <v>0</v>
      </c>
      <c r="S420">
        <v>8</v>
      </c>
      <c r="T420">
        <v>0</v>
      </c>
      <c r="U420">
        <v>0</v>
      </c>
      <c r="V420">
        <v>0</v>
      </c>
      <c r="W420">
        <v>0</v>
      </c>
      <c r="X420">
        <v>0</v>
      </c>
      <c r="Y420">
        <v>0</v>
      </c>
      <c r="Z420">
        <v>0</v>
      </c>
      <c r="AA420">
        <v>0</v>
      </c>
      <c r="AB420">
        <v>0</v>
      </c>
      <c r="AC420">
        <v>0</v>
      </c>
      <c r="AD420">
        <v>0</v>
      </c>
      <c r="AE420">
        <v>0</v>
      </c>
      <c r="AF420">
        <v>0</v>
      </c>
      <c r="AG420">
        <v>0</v>
      </c>
      <c r="AH420">
        <v>0</v>
      </c>
      <c r="AI420">
        <v>0</v>
      </c>
      <c r="AJ420">
        <v>0</v>
      </c>
      <c r="AQ420">
        <v>8</v>
      </c>
      <c r="AR420">
        <v>389.86</v>
      </c>
      <c r="AS420">
        <v>3118.88</v>
      </c>
    </row>
    <row r="421" spans="1:45" hidden="1">
      <c r="A421" t="s">
        <v>30</v>
      </c>
      <c r="B421" t="s">
        <v>741</v>
      </c>
      <c r="C421" t="s">
        <v>667</v>
      </c>
      <c r="D421" t="s">
        <v>281</v>
      </c>
      <c r="E421" t="s">
        <v>138</v>
      </c>
      <c r="F421" t="s">
        <v>384</v>
      </c>
      <c r="G421" t="s">
        <v>165</v>
      </c>
      <c r="H421">
        <v>0</v>
      </c>
      <c r="I421">
        <v>0</v>
      </c>
      <c r="J421">
        <v>0</v>
      </c>
      <c r="K421">
        <v>7</v>
      </c>
      <c r="L421">
        <v>0</v>
      </c>
      <c r="M421">
        <v>0</v>
      </c>
      <c r="N421">
        <v>1</v>
      </c>
      <c r="O421">
        <v>0</v>
      </c>
      <c r="P421">
        <v>4</v>
      </c>
      <c r="Q421">
        <v>0</v>
      </c>
      <c r="R421">
        <v>0</v>
      </c>
      <c r="S421">
        <v>26</v>
      </c>
      <c r="T421">
        <v>1</v>
      </c>
      <c r="U421">
        <v>0</v>
      </c>
      <c r="V421">
        <v>0</v>
      </c>
      <c r="W421">
        <v>0</v>
      </c>
      <c r="X421">
        <v>0</v>
      </c>
      <c r="Y421">
        <v>1</v>
      </c>
      <c r="Z421">
        <v>1</v>
      </c>
      <c r="AA421">
        <v>0</v>
      </c>
      <c r="AB421">
        <v>0</v>
      </c>
      <c r="AC421">
        <v>0</v>
      </c>
      <c r="AD421">
        <v>0</v>
      </c>
      <c r="AE421">
        <v>10</v>
      </c>
      <c r="AF421">
        <v>0</v>
      </c>
      <c r="AG421">
        <v>1</v>
      </c>
      <c r="AH421">
        <v>0</v>
      </c>
      <c r="AI421">
        <v>0</v>
      </c>
      <c r="AJ421">
        <v>0</v>
      </c>
      <c r="AQ421">
        <v>52</v>
      </c>
      <c r="AR421">
        <v>2227.0500000000002</v>
      </c>
      <c r="AS421">
        <v>115806.6</v>
      </c>
    </row>
    <row r="422" spans="1:45" hidden="1">
      <c r="A422" t="s">
        <v>30</v>
      </c>
      <c r="B422" t="s">
        <v>741</v>
      </c>
      <c r="C422" t="s">
        <v>162</v>
      </c>
      <c r="D422" t="s">
        <v>281</v>
      </c>
      <c r="E422" t="s">
        <v>138</v>
      </c>
      <c r="F422" t="s">
        <v>164</v>
      </c>
      <c r="G422" t="s">
        <v>165</v>
      </c>
      <c r="H422">
        <v>0</v>
      </c>
      <c r="I422">
        <v>0</v>
      </c>
      <c r="J422">
        <v>0</v>
      </c>
      <c r="K422">
        <v>1</v>
      </c>
      <c r="L422">
        <v>0</v>
      </c>
      <c r="M422">
        <v>0</v>
      </c>
      <c r="N422">
        <v>0</v>
      </c>
      <c r="O422">
        <v>0</v>
      </c>
      <c r="P422">
        <v>2</v>
      </c>
      <c r="Q422">
        <v>0</v>
      </c>
      <c r="R422">
        <v>0</v>
      </c>
      <c r="S422">
        <v>15</v>
      </c>
      <c r="T422">
        <v>0</v>
      </c>
      <c r="U422">
        <v>0</v>
      </c>
      <c r="V422">
        <v>0</v>
      </c>
      <c r="W422">
        <v>0</v>
      </c>
      <c r="X422">
        <v>0</v>
      </c>
      <c r="Y422">
        <v>0</v>
      </c>
      <c r="Z422">
        <v>0</v>
      </c>
      <c r="AA422">
        <v>0</v>
      </c>
      <c r="AB422">
        <v>0</v>
      </c>
      <c r="AC422">
        <v>0</v>
      </c>
      <c r="AD422">
        <v>0</v>
      </c>
      <c r="AE422">
        <v>14</v>
      </c>
      <c r="AF422">
        <v>0</v>
      </c>
      <c r="AG422">
        <v>0</v>
      </c>
      <c r="AH422">
        <v>0</v>
      </c>
      <c r="AI422">
        <v>0</v>
      </c>
      <c r="AJ422">
        <v>0</v>
      </c>
      <c r="AQ422">
        <v>32</v>
      </c>
      <c r="AR422">
        <v>4242</v>
      </c>
      <c r="AS422">
        <v>135744</v>
      </c>
    </row>
    <row r="423" spans="1:45" hidden="1">
      <c r="A423" t="s">
        <v>30</v>
      </c>
      <c r="B423" t="s">
        <v>741</v>
      </c>
      <c r="C423" t="s">
        <v>668</v>
      </c>
      <c r="D423" t="s">
        <v>381</v>
      </c>
      <c r="E423" t="s">
        <v>138</v>
      </c>
      <c r="F423" t="s">
        <v>382</v>
      </c>
      <c r="G423" t="s">
        <v>383</v>
      </c>
      <c r="H423">
        <v>0</v>
      </c>
      <c r="I423">
        <v>0</v>
      </c>
      <c r="J423">
        <v>0</v>
      </c>
      <c r="K423">
        <v>0</v>
      </c>
      <c r="L423">
        <v>0</v>
      </c>
      <c r="M423">
        <v>0</v>
      </c>
      <c r="N423">
        <v>0</v>
      </c>
      <c r="O423">
        <v>0</v>
      </c>
      <c r="P423">
        <v>0</v>
      </c>
      <c r="Q423">
        <v>0</v>
      </c>
      <c r="R423">
        <v>0</v>
      </c>
      <c r="S423">
        <v>1</v>
      </c>
      <c r="T423">
        <v>0</v>
      </c>
      <c r="U423">
        <v>0</v>
      </c>
      <c r="V423">
        <v>0</v>
      </c>
      <c r="W423">
        <v>0</v>
      </c>
      <c r="X423">
        <v>0</v>
      </c>
      <c r="Y423">
        <v>0</v>
      </c>
      <c r="Z423">
        <v>0</v>
      </c>
      <c r="AA423">
        <v>0</v>
      </c>
      <c r="AB423">
        <v>0</v>
      </c>
      <c r="AC423">
        <v>0</v>
      </c>
      <c r="AD423">
        <v>0</v>
      </c>
      <c r="AE423">
        <v>0</v>
      </c>
      <c r="AF423">
        <v>0</v>
      </c>
      <c r="AG423">
        <v>0</v>
      </c>
      <c r="AH423">
        <v>0</v>
      </c>
      <c r="AI423">
        <v>0</v>
      </c>
      <c r="AJ423">
        <v>0</v>
      </c>
      <c r="AQ423">
        <v>1</v>
      </c>
      <c r="AR423">
        <v>39.39</v>
      </c>
      <c r="AS423">
        <v>39.39</v>
      </c>
    </row>
    <row r="424" spans="1:45" hidden="1">
      <c r="A424" t="s">
        <v>30</v>
      </c>
      <c r="B424" t="s">
        <v>741</v>
      </c>
      <c r="C424" t="s">
        <v>166</v>
      </c>
      <c r="D424" t="s">
        <v>282</v>
      </c>
      <c r="E424" t="s">
        <v>138</v>
      </c>
      <c r="F424" t="s">
        <v>168</v>
      </c>
      <c r="G424" t="s">
        <v>169</v>
      </c>
      <c r="H424">
        <v>0</v>
      </c>
      <c r="I424">
        <v>0</v>
      </c>
      <c r="J424">
        <v>0</v>
      </c>
      <c r="K424">
        <v>3185.65</v>
      </c>
      <c r="L424">
        <v>0</v>
      </c>
      <c r="M424">
        <v>0</v>
      </c>
      <c r="N424">
        <v>300</v>
      </c>
      <c r="O424">
        <v>0</v>
      </c>
      <c r="P424">
        <v>2742</v>
      </c>
      <c r="Q424">
        <v>0</v>
      </c>
      <c r="R424">
        <v>0</v>
      </c>
      <c r="S424">
        <v>18369</v>
      </c>
      <c r="T424">
        <v>903.98</v>
      </c>
      <c r="U424">
        <v>0</v>
      </c>
      <c r="V424">
        <v>0</v>
      </c>
      <c r="W424">
        <v>0</v>
      </c>
      <c r="X424">
        <v>0</v>
      </c>
      <c r="Y424">
        <v>43.22</v>
      </c>
      <c r="Z424">
        <v>93.36</v>
      </c>
      <c r="AA424">
        <v>0</v>
      </c>
      <c r="AB424">
        <v>0</v>
      </c>
      <c r="AC424">
        <v>0</v>
      </c>
      <c r="AD424">
        <v>0</v>
      </c>
      <c r="AE424">
        <v>9389.0400000000009</v>
      </c>
      <c r="AF424">
        <v>0</v>
      </c>
      <c r="AG424">
        <v>310.25</v>
      </c>
      <c r="AH424">
        <v>0</v>
      </c>
      <c r="AI424">
        <v>0</v>
      </c>
      <c r="AJ424">
        <v>0</v>
      </c>
      <c r="AQ424">
        <v>35336.5</v>
      </c>
      <c r="AR424">
        <v>1.111</v>
      </c>
      <c r="AS424">
        <v>39258.851499999997</v>
      </c>
    </row>
    <row r="425" spans="1:45" hidden="1">
      <c r="A425" t="s">
        <v>30</v>
      </c>
      <c r="B425" t="s">
        <v>741</v>
      </c>
      <c r="C425" t="s">
        <v>669</v>
      </c>
      <c r="D425" t="s">
        <v>385</v>
      </c>
      <c r="E425" t="s">
        <v>138</v>
      </c>
      <c r="F425" t="s">
        <v>386</v>
      </c>
      <c r="G425" t="s">
        <v>387</v>
      </c>
      <c r="H425">
        <v>0</v>
      </c>
      <c r="I425">
        <v>0</v>
      </c>
      <c r="J425">
        <v>0</v>
      </c>
      <c r="K425">
        <v>0</v>
      </c>
      <c r="L425">
        <v>0</v>
      </c>
      <c r="M425">
        <v>0</v>
      </c>
      <c r="N425">
        <v>0</v>
      </c>
      <c r="O425">
        <v>0</v>
      </c>
      <c r="P425">
        <v>1</v>
      </c>
      <c r="Q425">
        <v>0</v>
      </c>
      <c r="R425">
        <v>0</v>
      </c>
      <c r="S425">
        <v>1</v>
      </c>
      <c r="T425">
        <v>0</v>
      </c>
      <c r="U425">
        <v>0</v>
      </c>
      <c r="V425">
        <v>0</v>
      </c>
      <c r="W425">
        <v>0</v>
      </c>
      <c r="X425">
        <v>0</v>
      </c>
      <c r="Y425">
        <v>0</v>
      </c>
      <c r="Z425">
        <v>0</v>
      </c>
      <c r="AA425">
        <v>0</v>
      </c>
      <c r="AB425">
        <v>0</v>
      </c>
      <c r="AC425">
        <v>0</v>
      </c>
      <c r="AD425">
        <v>0</v>
      </c>
      <c r="AE425">
        <v>1</v>
      </c>
      <c r="AF425">
        <v>0</v>
      </c>
      <c r="AG425">
        <v>0</v>
      </c>
      <c r="AH425">
        <v>0</v>
      </c>
      <c r="AI425">
        <v>0</v>
      </c>
      <c r="AJ425">
        <v>0</v>
      </c>
      <c r="AQ425">
        <v>3</v>
      </c>
      <c r="AR425">
        <v>22270.5</v>
      </c>
      <c r="AS425">
        <v>66811.5</v>
      </c>
    </row>
    <row r="426" spans="1:45" hidden="1">
      <c r="A426" t="s">
        <v>30</v>
      </c>
      <c r="B426" t="s">
        <v>741</v>
      </c>
      <c r="C426" t="s">
        <v>670</v>
      </c>
      <c r="D426" t="s">
        <v>385</v>
      </c>
      <c r="E426" t="s">
        <v>138</v>
      </c>
      <c r="F426" t="s">
        <v>388</v>
      </c>
      <c r="G426" t="s">
        <v>389</v>
      </c>
      <c r="H426">
        <v>0</v>
      </c>
      <c r="I426">
        <v>0</v>
      </c>
      <c r="J426">
        <v>0</v>
      </c>
      <c r="K426">
        <v>0</v>
      </c>
      <c r="L426">
        <v>0</v>
      </c>
      <c r="M426">
        <v>0</v>
      </c>
      <c r="N426">
        <v>0</v>
      </c>
      <c r="O426">
        <v>0</v>
      </c>
      <c r="P426">
        <v>588</v>
      </c>
      <c r="Q426">
        <v>0</v>
      </c>
      <c r="R426">
        <v>0</v>
      </c>
      <c r="S426">
        <v>855</v>
      </c>
      <c r="T426">
        <v>0</v>
      </c>
      <c r="U426">
        <v>0</v>
      </c>
      <c r="V426">
        <v>0</v>
      </c>
      <c r="W426">
        <v>0</v>
      </c>
      <c r="X426">
        <v>0</v>
      </c>
      <c r="Y426">
        <v>0</v>
      </c>
      <c r="Z426">
        <v>0</v>
      </c>
      <c r="AA426">
        <v>0</v>
      </c>
      <c r="AB426">
        <v>0</v>
      </c>
      <c r="AC426">
        <v>0</v>
      </c>
      <c r="AD426">
        <v>0</v>
      </c>
      <c r="AE426">
        <v>747</v>
      </c>
      <c r="AF426">
        <v>0</v>
      </c>
      <c r="AG426">
        <v>0</v>
      </c>
      <c r="AH426">
        <v>0</v>
      </c>
      <c r="AI426">
        <v>0</v>
      </c>
      <c r="AJ426">
        <v>0</v>
      </c>
      <c r="AQ426">
        <v>2190</v>
      </c>
      <c r="AR426">
        <v>0.22220000000000001</v>
      </c>
      <c r="AS426">
        <v>486.61799999999999</v>
      </c>
    </row>
    <row r="427" spans="1:45" hidden="1">
      <c r="A427" t="s">
        <v>30</v>
      </c>
      <c r="B427" t="s">
        <v>741</v>
      </c>
      <c r="C427" t="s">
        <v>671</v>
      </c>
      <c r="D427" t="s">
        <v>393</v>
      </c>
      <c r="E427" t="s">
        <v>138</v>
      </c>
      <c r="F427" t="s">
        <v>394</v>
      </c>
      <c r="G427" t="s">
        <v>395</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c r="AQ427">
        <v>0</v>
      </c>
      <c r="AR427">
        <v>99.99</v>
      </c>
      <c r="AS427">
        <v>0</v>
      </c>
    </row>
    <row r="428" spans="1:45" hidden="1">
      <c r="A428" t="s">
        <v>30</v>
      </c>
      <c r="B428" t="s">
        <v>741</v>
      </c>
      <c r="C428" t="s">
        <v>672</v>
      </c>
      <c r="D428" t="s">
        <v>393</v>
      </c>
      <c r="E428" t="s">
        <v>138</v>
      </c>
      <c r="F428" t="s">
        <v>396</v>
      </c>
      <c r="G428" t="s">
        <v>395</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Q428">
        <v>0</v>
      </c>
      <c r="AR428">
        <v>99.99</v>
      </c>
      <c r="AS428">
        <v>0</v>
      </c>
    </row>
    <row r="429" spans="1:45" hidden="1">
      <c r="A429" t="s">
        <v>30</v>
      </c>
      <c r="B429" t="s">
        <v>741</v>
      </c>
      <c r="C429" t="s">
        <v>673</v>
      </c>
      <c r="D429" t="s">
        <v>393</v>
      </c>
      <c r="E429" t="s">
        <v>138</v>
      </c>
      <c r="F429" t="s">
        <v>397</v>
      </c>
      <c r="G429" t="s">
        <v>395</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0</v>
      </c>
      <c r="AI429">
        <v>0</v>
      </c>
      <c r="AJ429">
        <v>0</v>
      </c>
      <c r="AQ429">
        <v>0</v>
      </c>
      <c r="AR429">
        <v>66.66</v>
      </c>
      <c r="AS429">
        <v>0</v>
      </c>
    </row>
    <row r="430" spans="1:45" hidden="1">
      <c r="A430" t="s">
        <v>30</v>
      </c>
      <c r="B430" t="s">
        <v>741</v>
      </c>
      <c r="C430" t="s">
        <v>674</v>
      </c>
      <c r="D430" t="s">
        <v>287</v>
      </c>
      <c r="E430" t="s">
        <v>138</v>
      </c>
      <c r="F430" t="s">
        <v>402</v>
      </c>
      <c r="G430" t="s">
        <v>403</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c r="AE430">
        <v>0</v>
      </c>
      <c r="AF430">
        <v>0</v>
      </c>
      <c r="AG430">
        <v>0</v>
      </c>
      <c r="AH430">
        <v>0</v>
      </c>
      <c r="AI430">
        <v>0</v>
      </c>
      <c r="AJ430">
        <v>0</v>
      </c>
      <c r="AQ430">
        <v>0</v>
      </c>
      <c r="AR430">
        <v>318150</v>
      </c>
      <c r="AS430">
        <v>0</v>
      </c>
    </row>
    <row r="431" spans="1:45" hidden="1">
      <c r="A431" t="s">
        <v>30</v>
      </c>
      <c r="B431" t="s">
        <v>741</v>
      </c>
      <c r="C431" t="s">
        <v>675</v>
      </c>
      <c r="D431" t="s">
        <v>390</v>
      </c>
      <c r="E431" t="s">
        <v>138</v>
      </c>
      <c r="F431" t="s">
        <v>391</v>
      </c>
      <c r="G431" t="s">
        <v>392</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c r="AE431">
        <v>0</v>
      </c>
      <c r="AF431">
        <v>0</v>
      </c>
      <c r="AG431">
        <v>0</v>
      </c>
      <c r="AH431">
        <v>0</v>
      </c>
      <c r="AI431">
        <v>0</v>
      </c>
      <c r="AJ431">
        <v>0</v>
      </c>
      <c r="AQ431">
        <v>0</v>
      </c>
      <c r="AR431">
        <v>1336.23</v>
      </c>
      <c r="AS431">
        <v>0</v>
      </c>
    </row>
    <row r="432" spans="1:45" hidden="1">
      <c r="A432" t="s">
        <v>30</v>
      </c>
      <c r="B432" t="s">
        <v>741</v>
      </c>
      <c r="C432" t="s">
        <v>676</v>
      </c>
      <c r="D432" t="s">
        <v>398</v>
      </c>
      <c r="E432" t="s">
        <v>138</v>
      </c>
      <c r="F432" t="s">
        <v>399</v>
      </c>
      <c r="G432" t="s">
        <v>400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c r="AE432">
        <v>0</v>
      </c>
      <c r="AF432">
        <v>0</v>
      </c>
      <c r="AG432">
        <v>0</v>
      </c>
      <c r="AH432">
        <v>0</v>
      </c>
      <c r="AI432">
        <v>0</v>
      </c>
      <c r="AJ432">
        <v>0</v>
      </c>
      <c r="AQ432">
        <v>0</v>
      </c>
      <c r="AR432">
        <v>14475.825000000001</v>
      </c>
      <c r="AS432">
        <v>0</v>
      </c>
    </row>
    <row r="433" spans="1:45" hidden="1">
      <c r="A433" t="s">
        <v>30</v>
      </c>
      <c r="B433" t="s">
        <v>741</v>
      </c>
      <c r="C433" t="s">
        <v>170</v>
      </c>
      <c r="D433" t="s">
        <v>171</v>
      </c>
      <c r="E433" t="s">
        <v>172</v>
      </c>
      <c r="F433" t="s">
        <v>173</v>
      </c>
      <c r="G433" t="s">
        <v>152</v>
      </c>
      <c r="H433">
        <v>959.15</v>
      </c>
      <c r="I433">
        <v>1149.6500000000001</v>
      </c>
      <c r="J433">
        <v>860.47</v>
      </c>
      <c r="K433">
        <v>11797.77</v>
      </c>
      <c r="L433">
        <v>483.08</v>
      </c>
      <c r="M433">
        <v>832.98</v>
      </c>
      <c r="N433">
        <v>3204.34</v>
      </c>
      <c r="O433">
        <v>0</v>
      </c>
      <c r="P433">
        <v>18259.740000000002</v>
      </c>
      <c r="Q433">
        <v>355.09</v>
      </c>
      <c r="R433">
        <v>120</v>
      </c>
      <c r="S433">
        <v>58213.45</v>
      </c>
      <c r="T433">
        <v>6794.91</v>
      </c>
      <c r="U433">
        <v>1726.96</v>
      </c>
      <c r="V433">
        <v>425.43</v>
      </c>
      <c r="W433">
        <v>0</v>
      </c>
      <c r="X433">
        <v>0</v>
      </c>
      <c r="Y433">
        <v>5076.59</v>
      </c>
      <c r="Z433">
        <v>2703.97</v>
      </c>
      <c r="AA433">
        <v>474.18</v>
      </c>
      <c r="AB433">
        <v>400</v>
      </c>
      <c r="AC433">
        <v>168.45</v>
      </c>
      <c r="AD433">
        <v>145</v>
      </c>
      <c r="AE433">
        <v>94845.25</v>
      </c>
      <c r="AF433">
        <v>41.85</v>
      </c>
      <c r="AG433">
        <v>3882.35</v>
      </c>
      <c r="AH433">
        <v>686.05</v>
      </c>
      <c r="AI433">
        <v>10527.73</v>
      </c>
      <c r="AJ433">
        <v>698.51</v>
      </c>
      <c r="AQ433">
        <v>224832.95</v>
      </c>
      <c r="AR433">
        <v>1.2726</v>
      </c>
      <c r="AS433">
        <v>286122.41217000003</v>
      </c>
    </row>
    <row r="434" spans="1:45" hidden="1">
      <c r="A434" t="s">
        <v>30</v>
      </c>
      <c r="B434" t="s">
        <v>741</v>
      </c>
      <c r="C434" t="s">
        <v>677</v>
      </c>
      <c r="D434" t="s">
        <v>405</v>
      </c>
      <c r="E434" t="s">
        <v>172</v>
      </c>
      <c r="F434" t="s">
        <v>406</v>
      </c>
      <c r="G434" t="s">
        <v>407</v>
      </c>
      <c r="H434">
        <v>6</v>
      </c>
      <c r="I434">
        <v>3</v>
      </c>
      <c r="J434">
        <v>9</v>
      </c>
      <c r="K434">
        <v>13</v>
      </c>
      <c r="L434">
        <v>0</v>
      </c>
      <c r="M434">
        <v>0</v>
      </c>
      <c r="N434">
        <v>0</v>
      </c>
      <c r="O434">
        <v>0</v>
      </c>
      <c r="P434">
        <v>10</v>
      </c>
      <c r="Q434">
        <v>2</v>
      </c>
      <c r="R434">
        <v>0</v>
      </c>
      <c r="S434">
        <v>115</v>
      </c>
      <c r="T434">
        <v>41</v>
      </c>
      <c r="U434">
        <v>0</v>
      </c>
      <c r="V434">
        <v>7</v>
      </c>
      <c r="W434">
        <v>29</v>
      </c>
      <c r="X434">
        <v>0</v>
      </c>
      <c r="Y434">
        <v>5</v>
      </c>
      <c r="Z434">
        <v>16</v>
      </c>
      <c r="AA434">
        <v>1</v>
      </c>
      <c r="AB434">
        <v>6</v>
      </c>
      <c r="AC434">
        <v>0</v>
      </c>
      <c r="AD434">
        <v>0</v>
      </c>
      <c r="AE434">
        <v>249</v>
      </c>
      <c r="AF434">
        <v>0</v>
      </c>
      <c r="AG434">
        <v>0</v>
      </c>
      <c r="AH434">
        <v>0</v>
      </c>
      <c r="AI434">
        <v>39</v>
      </c>
      <c r="AJ434">
        <v>5</v>
      </c>
      <c r="AQ434">
        <v>556</v>
      </c>
      <c r="AR434">
        <v>47.47</v>
      </c>
      <c r="AS434">
        <v>26393.32</v>
      </c>
    </row>
    <row r="435" spans="1:45" hidden="1">
      <c r="A435" t="s">
        <v>30</v>
      </c>
      <c r="B435" t="s">
        <v>741</v>
      </c>
      <c r="C435" t="s">
        <v>678</v>
      </c>
      <c r="D435" t="s">
        <v>408</v>
      </c>
      <c r="E435" t="s">
        <v>172</v>
      </c>
      <c r="F435" t="s">
        <v>409</v>
      </c>
      <c r="G435" t="s">
        <v>410</v>
      </c>
      <c r="H435">
        <v>0</v>
      </c>
      <c r="I435">
        <v>0</v>
      </c>
      <c r="J435">
        <v>0</v>
      </c>
      <c r="K435">
        <v>33</v>
      </c>
      <c r="L435">
        <v>0</v>
      </c>
      <c r="M435">
        <v>0</v>
      </c>
      <c r="N435">
        <v>0</v>
      </c>
      <c r="O435">
        <v>0</v>
      </c>
      <c r="P435">
        <v>0</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Q435">
        <v>33</v>
      </c>
      <c r="AR435">
        <v>1.0605</v>
      </c>
      <c r="AS435">
        <v>34.996499999999997</v>
      </c>
    </row>
    <row r="436" spans="1:45" hidden="1">
      <c r="A436" t="s">
        <v>30</v>
      </c>
      <c r="B436" t="s">
        <v>741</v>
      </c>
      <c r="C436" t="s">
        <v>679</v>
      </c>
      <c r="D436" t="s">
        <v>411</v>
      </c>
      <c r="E436" t="s">
        <v>172</v>
      </c>
      <c r="F436" t="s">
        <v>412</v>
      </c>
      <c r="G436" t="s">
        <v>413</v>
      </c>
      <c r="H436">
        <v>0</v>
      </c>
      <c r="I436">
        <v>0</v>
      </c>
      <c r="J436">
        <v>0</v>
      </c>
      <c r="K436">
        <v>77</v>
      </c>
      <c r="L436">
        <v>0</v>
      </c>
      <c r="M436">
        <v>0</v>
      </c>
      <c r="N436">
        <v>0</v>
      </c>
      <c r="O436">
        <v>0</v>
      </c>
      <c r="P436">
        <v>74</v>
      </c>
      <c r="Q436">
        <v>0</v>
      </c>
      <c r="R436">
        <v>0</v>
      </c>
      <c r="S436">
        <v>420</v>
      </c>
      <c r="T436">
        <v>0</v>
      </c>
      <c r="U436">
        <v>0</v>
      </c>
      <c r="V436">
        <v>0</v>
      </c>
      <c r="W436">
        <v>0</v>
      </c>
      <c r="X436">
        <v>0</v>
      </c>
      <c r="Y436">
        <v>0</v>
      </c>
      <c r="Z436">
        <v>0</v>
      </c>
      <c r="AA436">
        <v>0</v>
      </c>
      <c r="AB436">
        <v>0</v>
      </c>
      <c r="AC436">
        <v>0</v>
      </c>
      <c r="AD436">
        <v>0</v>
      </c>
      <c r="AE436">
        <v>320</v>
      </c>
      <c r="AF436">
        <v>0</v>
      </c>
      <c r="AG436">
        <v>0</v>
      </c>
      <c r="AH436">
        <v>0</v>
      </c>
      <c r="AI436">
        <v>0</v>
      </c>
      <c r="AJ436">
        <v>0</v>
      </c>
      <c r="AQ436">
        <v>891</v>
      </c>
      <c r="AR436">
        <v>37.1175</v>
      </c>
      <c r="AS436">
        <v>33071.692499999997</v>
      </c>
    </row>
    <row r="437" spans="1:45" hidden="1">
      <c r="A437" t="s">
        <v>30</v>
      </c>
      <c r="B437" t="s">
        <v>741</v>
      </c>
      <c r="C437" t="s">
        <v>680</v>
      </c>
      <c r="D437" t="s">
        <v>414</v>
      </c>
      <c r="E437" t="s">
        <v>172</v>
      </c>
      <c r="F437" t="s">
        <v>415</v>
      </c>
      <c r="G437" t="s">
        <v>224</v>
      </c>
      <c r="H437">
        <v>2</v>
      </c>
      <c r="I437">
        <v>0</v>
      </c>
      <c r="J437">
        <v>1</v>
      </c>
      <c r="K437">
        <v>0</v>
      </c>
      <c r="L437">
        <v>1</v>
      </c>
      <c r="M437">
        <v>0</v>
      </c>
      <c r="N437">
        <v>1</v>
      </c>
      <c r="O437">
        <v>0</v>
      </c>
      <c r="P437">
        <v>3</v>
      </c>
      <c r="Q437">
        <v>1</v>
      </c>
      <c r="R437">
        <v>1</v>
      </c>
      <c r="S437">
        <v>64</v>
      </c>
      <c r="T437">
        <v>2</v>
      </c>
      <c r="U437">
        <v>0</v>
      </c>
      <c r="V437">
        <v>1</v>
      </c>
      <c r="W437">
        <v>0</v>
      </c>
      <c r="X437">
        <v>0</v>
      </c>
      <c r="Y437">
        <v>2</v>
      </c>
      <c r="Z437">
        <v>2</v>
      </c>
      <c r="AA437">
        <v>3</v>
      </c>
      <c r="AB437">
        <v>0</v>
      </c>
      <c r="AC437">
        <v>0</v>
      </c>
      <c r="AD437">
        <v>0</v>
      </c>
      <c r="AE437">
        <v>24</v>
      </c>
      <c r="AF437">
        <v>0</v>
      </c>
      <c r="AG437">
        <v>3</v>
      </c>
      <c r="AH437">
        <v>0</v>
      </c>
      <c r="AI437">
        <v>0</v>
      </c>
      <c r="AJ437">
        <v>1</v>
      </c>
      <c r="AQ437">
        <v>112</v>
      </c>
      <c r="AR437">
        <v>42.42</v>
      </c>
      <c r="AS437">
        <v>4751.04</v>
      </c>
    </row>
    <row r="438" spans="1:45" hidden="1">
      <c r="A438" t="s">
        <v>30</v>
      </c>
      <c r="B438" t="s">
        <v>741</v>
      </c>
      <c r="C438" t="s">
        <v>681</v>
      </c>
      <c r="D438" t="s">
        <v>416</v>
      </c>
      <c r="E438" t="s">
        <v>172</v>
      </c>
      <c r="F438" t="s">
        <v>417</v>
      </c>
      <c r="G438" t="s">
        <v>418</v>
      </c>
      <c r="H438">
        <v>0</v>
      </c>
      <c r="I438">
        <v>0</v>
      </c>
      <c r="J438">
        <v>0</v>
      </c>
      <c r="K438">
        <v>0</v>
      </c>
      <c r="L438">
        <v>0</v>
      </c>
      <c r="M438">
        <v>0</v>
      </c>
      <c r="N438">
        <v>0</v>
      </c>
      <c r="O438">
        <v>0</v>
      </c>
      <c r="P438">
        <v>0</v>
      </c>
      <c r="Q438">
        <v>0</v>
      </c>
      <c r="R438">
        <v>0</v>
      </c>
      <c r="S438">
        <v>1283.5999999999999</v>
      </c>
      <c r="T438">
        <v>25</v>
      </c>
      <c r="U438">
        <v>0</v>
      </c>
      <c r="V438">
        <v>0</v>
      </c>
      <c r="W438">
        <v>0</v>
      </c>
      <c r="X438">
        <v>0</v>
      </c>
      <c r="Y438">
        <v>0</v>
      </c>
      <c r="Z438">
        <v>0</v>
      </c>
      <c r="AA438">
        <v>0</v>
      </c>
      <c r="AB438">
        <v>0</v>
      </c>
      <c r="AC438">
        <v>0</v>
      </c>
      <c r="AD438">
        <v>0</v>
      </c>
      <c r="AE438">
        <v>163.69</v>
      </c>
      <c r="AF438">
        <v>0</v>
      </c>
      <c r="AG438">
        <v>0</v>
      </c>
      <c r="AH438">
        <v>0</v>
      </c>
      <c r="AI438">
        <v>0</v>
      </c>
      <c r="AJ438">
        <v>0</v>
      </c>
      <c r="AQ438">
        <v>1472.29</v>
      </c>
      <c r="AR438">
        <v>0.32319999999999999</v>
      </c>
      <c r="AS438">
        <v>475.84412800000001</v>
      </c>
    </row>
    <row r="439" spans="1:45" hidden="1">
      <c r="A439" t="s">
        <v>30</v>
      </c>
      <c r="B439" t="s">
        <v>741</v>
      </c>
      <c r="C439" t="s">
        <v>682</v>
      </c>
      <c r="D439" t="s">
        <v>419</v>
      </c>
      <c r="E439" t="s">
        <v>172</v>
      </c>
      <c r="F439" t="s">
        <v>420</v>
      </c>
      <c r="G439" t="s">
        <v>421</v>
      </c>
      <c r="H439">
        <v>0</v>
      </c>
      <c r="I439">
        <v>0</v>
      </c>
      <c r="J439">
        <v>0</v>
      </c>
      <c r="K439">
        <v>9</v>
      </c>
      <c r="L439">
        <v>0</v>
      </c>
      <c r="M439">
        <v>0</v>
      </c>
      <c r="N439">
        <v>0</v>
      </c>
      <c r="O439">
        <v>0</v>
      </c>
      <c r="P439">
        <v>0</v>
      </c>
      <c r="Q439">
        <v>0</v>
      </c>
      <c r="R439">
        <v>0</v>
      </c>
      <c r="S439">
        <v>3</v>
      </c>
      <c r="T439">
        <v>0</v>
      </c>
      <c r="U439">
        <v>0</v>
      </c>
      <c r="V439">
        <v>0</v>
      </c>
      <c r="W439">
        <v>0</v>
      </c>
      <c r="X439">
        <v>0</v>
      </c>
      <c r="Y439">
        <v>0</v>
      </c>
      <c r="Z439">
        <v>0</v>
      </c>
      <c r="AA439">
        <v>0</v>
      </c>
      <c r="AB439">
        <v>0</v>
      </c>
      <c r="AC439">
        <v>0</v>
      </c>
      <c r="AD439">
        <v>0</v>
      </c>
      <c r="AE439">
        <v>24</v>
      </c>
      <c r="AF439">
        <v>0</v>
      </c>
      <c r="AG439">
        <v>0</v>
      </c>
      <c r="AH439">
        <v>0</v>
      </c>
      <c r="AI439">
        <v>0</v>
      </c>
      <c r="AJ439">
        <v>0</v>
      </c>
      <c r="AQ439">
        <v>36</v>
      </c>
      <c r="AR439">
        <v>42.42</v>
      </c>
      <c r="AS439">
        <v>1527.12</v>
      </c>
    </row>
    <row r="440" spans="1:45" hidden="1">
      <c r="A440" t="s">
        <v>30</v>
      </c>
      <c r="B440" t="s">
        <v>741</v>
      </c>
      <c r="C440" t="s">
        <v>683</v>
      </c>
      <c r="D440" t="s">
        <v>422</v>
      </c>
      <c r="E440" t="s">
        <v>172</v>
      </c>
      <c r="F440" t="s">
        <v>423</v>
      </c>
      <c r="G440" t="s">
        <v>407</v>
      </c>
      <c r="H440">
        <v>0</v>
      </c>
      <c r="I440">
        <v>0</v>
      </c>
      <c r="J440">
        <v>0</v>
      </c>
      <c r="K440">
        <v>0</v>
      </c>
      <c r="L440">
        <v>0</v>
      </c>
      <c r="M440">
        <v>0</v>
      </c>
      <c r="N440">
        <v>0</v>
      </c>
      <c r="O440">
        <v>0</v>
      </c>
      <c r="P440">
        <v>0</v>
      </c>
      <c r="Q440">
        <v>0</v>
      </c>
      <c r="R440">
        <v>0</v>
      </c>
      <c r="S440">
        <v>2</v>
      </c>
      <c r="T440">
        <v>0</v>
      </c>
      <c r="U440">
        <v>0</v>
      </c>
      <c r="V440">
        <v>0</v>
      </c>
      <c r="W440">
        <v>0</v>
      </c>
      <c r="X440">
        <v>0</v>
      </c>
      <c r="Y440">
        <v>0</v>
      </c>
      <c r="Z440">
        <v>0</v>
      </c>
      <c r="AA440">
        <v>0</v>
      </c>
      <c r="AB440">
        <v>0</v>
      </c>
      <c r="AC440">
        <v>0</v>
      </c>
      <c r="AD440">
        <v>0</v>
      </c>
      <c r="AE440">
        <v>0</v>
      </c>
      <c r="AF440">
        <v>0</v>
      </c>
      <c r="AG440">
        <v>0</v>
      </c>
      <c r="AH440">
        <v>0</v>
      </c>
      <c r="AI440">
        <v>0</v>
      </c>
      <c r="AJ440">
        <v>0</v>
      </c>
      <c r="AQ440">
        <v>2</v>
      </c>
      <c r="AR440">
        <v>47.47</v>
      </c>
      <c r="AS440">
        <v>94.94</v>
      </c>
    </row>
    <row r="441" spans="1:45" hidden="1">
      <c r="A441" t="s">
        <v>30</v>
      </c>
      <c r="B441" t="s">
        <v>741</v>
      </c>
      <c r="C441" t="s">
        <v>684</v>
      </c>
      <c r="D441" t="s">
        <v>427</v>
      </c>
      <c r="E441" t="s">
        <v>172</v>
      </c>
      <c r="F441" t="s">
        <v>428</v>
      </c>
      <c r="G441" t="s">
        <v>429</v>
      </c>
      <c r="H441">
        <v>0</v>
      </c>
      <c r="I441">
        <v>0</v>
      </c>
      <c r="J441">
        <v>0</v>
      </c>
      <c r="K441">
        <v>2</v>
      </c>
      <c r="L441">
        <v>0</v>
      </c>
      <c r="M441">
        <v>0</v>
      </c>
      <c r="N441">
        <v>0</v>
      </c>
      <c r="O441">
        <v>0</v>
      </c>
      <c r="P441">
        <v>2</v>
      </c>
      <c r="Q441">
        <v>0</v>
      </c>
      <c r="R441">
        <v>0</v>
      </c>
      <c r="S441">
        <v>8</v>
      </c>
      <c r="T441">
        <v>2</v>
      </c>
      <c r="U441">
        <v>0</v>
      </c>
      <c r="V441">
        <v>0</v>
      </c>
      <c r="W441">
        <v>0</v>
      </c>
      <c r="X441">
        <v>0</v>
      </c>
      <c r="Y441">
        <v>0</v>
      </c>
      <c r="Z441">
        <v>0</v>
      </c>
      <c r="AA441">
        <v>0</v>
      </c>
      <c r="AB441">
        <v>0</v>
      </c>
      <c r="AC441">
        <v>0</v>
      </c>
      <c r="AD441">
        <v>0</v>
      </c>
      <c r="AE441">
        <v>17</v>
      </c>
      <c r="AF441">
        <v>0</v>
      </c>
      <c r="AG441">
        <v>0</v>
      </c>
      <c r="AH441">
        <v>0</v>
      </c>
      <c r="AI441">
        <v>0</v>
      </c>
      <c r="AJ441">
        <v>0</v>
      </c>
      <c r="AQ441">
        <v>31</v>
      </c>
      <c r="AR441">
        <v>636.29999999999995</v>
      </c>
      <c r="AS441">
        <v>19725.3</v>
      </c>
    </row>
    <row r="442" spans="1:45" hidden="1">
      <c r="A442" t="s">
        <v>30</v>
      </c>
      <c r="B442" t="s">
        <v>741</v>
      </c>
      <c r="C442" t="s">
        <v>174</v>
      </c>
      <c r="D442" t="s">
        <v>175</v>
      </c>
      <c r="E442" t="s">
        <v>172</v>
      </c>
      <c r="F442" t="s">
        <v>176</v>
      </c>
      <c r="G442" t="s">
        <v>177</v>
      </c>
      <c r="H442">
        <v>0</v>
      </c>
      <c r="I442">
        <v>0</v>
      </c>
      <c r="J442">
        <v>0</v>
      </c>
      <c r="K442">
        <v>1</v>
      </c>
      <c r="L442">
        <v>0</v>
      </c>
      <c r="M442">
        <v>0</v>
      </c>
      <c r="N442">
        <v>0</v>
      </c>
      <c r="O442">
        <v>0</v>
      </c>
      <c r="P442">
        <v>2</v>
      </c>
      <c r="Q442">
        <v>0</v>
      </c>
      <c r="R442">
        <v>0</v>
      </c>
      <c r="S442">
        <v>7</v>
      </c>
      <c r="T442">
        <v>0</v>
      </c>
      <c r="U442">
        <v>0</v>
      </c>
      <c r="V442">
        <v>0</v>
      </c>
      <c r="W442">
        <v>0</v>
      </c>
      <c r="X442">
        <v>0</v>
      </c>
      <c r="Y442">
        <v>0</v>
      </c>
      <c r="Z442">
        <v>0</v>
      </c>
      <c r="AA442">
        <v>0</v>
      </c>
      <c r="AB442">
        <v>0</v>
      </c>
      <c r="AC442">
        <v>0</v>
      </c>
      <c r="AD442">
        <v>0</v>
      </c>
      <c r="AE442">
        <v>7</v>
      </c>
      <c r="AF442">
        <v>0</v>
      </c>
      <c r="AG442">
        <v>0</v>
      </c>
      <c r="AH442">
        <v>0</v>
      </c>
      <c r="AI442">
        <v>0</v>
      </c>
      <c r="AJ442">
        <v>0</v>
      </c>
      <c r="AQ442">
        <v>17</v>
      </c>
      <c r="AR442">
        <v>424.2</v>
      </c>
      <c r="AS442">
        <v>7211.4</v>
      </c>
    </row>
    <row r="443" spans="1:45" hidden="1">
      <c r="A443" t="s">
        <v>30</v>
      </c>
      <c r="B443" t="s">
        <v>741</v>
      </c>
      <c r="C443" t="s">
        <v>685</v>
      </c>
      <c r="D443" t="s">
        <v>430</v>
      </c>
      <c r="E443" t="s">
        <v>172</v>
      </c>
      <c r="F443" t="s">
        <v>433</v>
      </c>
      <c r="G443" t="s">
        <v>432</v>
      </c>
      <c r="H443">
        <v>0</v>
      </c>
      <c r="I443">
        <v>0</v>
      </c>
      <c r="J443">
        <v>1</v>
      </c>
      <c r="K443">
        <v>0</v>
      </c>
      <c r="L443">
        <v>0</v>
      </c>
      <c r="M443">
        <v>0</v>
      </c>
      <c r="N443">
        <v>0</v>
      </c>
      <c r="O443">
        <v>0</v>
      </c>
      <c r="P443">
        <v>2</v>
      </c>
      <c r="Q443">
        <v>0</v>
      </c>
      <c r="R443">
        <v>0</v>
      </c>
      <c r="S443">
        <v>1</v>
      </c>
      <c r="T443">
        <v>0</v>
      </c>
      <c r="U443">
        <v>0</v>
      </c>
      <c r="V443">
        <v>0</v>
      </c>
      <c r="W443">
        <v>0</v>
      </c>
      <c r="X443">
        <v>0</v>
      </c>
      <c r="Y443">
        <v>0</v>
      </c>
      <c r="Z443">
        <v>0</v>
      </c>
      <c r="AA443">
        <v>0</v>
      </c>
      <c r="AB443">
        <v>0</v>
      </c>
      <c r="AC443">
        <v>0</v>
      </c>
      <c r="AD443">
        <v>0</v>
      </c>
      <c r="AE443">
        <v>3</v>
      </c>
      <c r="AF443">
        <v>0</v>
      </c>
      <c r="AG443">
        <v>1</v>
      </c>
      <c r="AH443">
        <v>0</v>
      </c>
      <c r="AI443">
        <v>1</v>
      </c>
      <c r="AJ443">
        <v>0</v>
      </c>
      <c r="AQ443">
        <v>9</v>
      </c>
      <c r="AR443">
        <v>1908.9</v>
      </c>
      <c r="AS443">
        <v>17180.099999999999</v>
      </c>
    </row>
    <row r="444" spans="1:45" hidden="1">
      <c r="A444" t="s">
        <v>30</v>
      </c>
      <c r="B444" t="s">
        <v>741</v>
      </c>
      <c r="C444" t="s">
        <v>686</v>
      </c>
      <c r="D444" t="s">
        <v>430</v>
      </c>
      <c r="E444" t="s">
        <v>172</v>
      </c>
      <c r="F444" t="s">
        <v>431</v>
      </c>
      <c r="G444" t="s">
        <v>432</v>
      </c>
      <c r="H444">
        <v>0</v>
      </c>
      <c r="I444">
        <v>0</v>
      </c>
      <c r="J444">
        <v>0</v>
      </c>
      <c r="K444">
        <v>0</v>
      </c>
      <c r="L444">
        <v>0</v>
      </c>
      <c r="M444">
        <v>0</v>
      </c>
      <c r="N444">
        <v>0</v>
      </c>
      <c r="O444">
        <v>0</v>
      </c>
      <c r="P444">
        <v>0</v>
      </c>
      <c r="Q444">
        <v>0</v>
      </c>
      <c r="R444">
        <v>0</v>
      </c>
      <c r="S444">
        <v>1</v>
      </c>
      <c r="T444">
        <v>0</v>
      </c>
      <c r="U444">
        <v>0</v>
      </c>
      <c r="V444">
        <v>0</v>
      </c>
      <c r="W444">
        <v>0</v>
      </c>
      <c r="X444">
        <v>0</v>
      </c>
      <c r="Y444">
        <v>0</v>
      </c>
      <c r="Z444">
        <v>0</v>
      </c>
      <c r="AA444">
        <v>0</v>
      </c>
      <c r="AB444">
        <v>0</v>
      </c>
      <c r="AC444">
        <v>0</v>
      </c>
      <c r="AD444">
        <v>0</v>
      </c>
      <c r="AE444">
        <v>1</v>
      </c>
      <c r="AF444">
        <v>0</v>
      </c>
      <c r="AG444">
        <v>0</v>
      </c>
      <c r="AH444">
        <v>0</v>
      </c>
      <c r="AI444">
        <v>0</v>
      </c>
      <c r="AJ444">
        <v>0</v>
      </c>
      <c r="AQ444">
        <v>2</v>
      </c>
      <c r="AR444">
        <v>2121</v>
      </c>
      <c r="AS444">
        <v>4242</v>
      </c>
    </row>
    <row r="445" spans="1:45" hidden="1">
      <c r="A445" t="s">
        <v>30</v>
      </c>
      <c r="B445" t="s">
        <v>741</v>
      </c>
      <c r="C445" t="s">
        <v>687</v>
      </c>
      <c r="D445" t="s">
        <v>430</v>
      </c>
      <c r="E445" t="s">
        <v>172</v>
      </c>
      <c r="F445" t="s">
        <v>438</v>
      </c>
      <c r="G445" t="s">
        <v>432</v>
      </c>
      <c r="H445">
        <v>0</v>
      </c>
      <c r="I445">
        <v>0</v>
      </c>
      <c r="J445">
        <v>0</v>
      </c>
      <c r="K445">
        <v>0</v>
      </c>
      <c r="L445">
        <v>0</v>
      </c>
      <c r="M445">
        <v>0</v>
      </c>
      <c r="N445">
        <v>0</v>
      </c>
      <c r="O445">
        <v>0</v>
      </c>
      <c r="P445">
        <v>0</v>
      </c>
      <c r="Q445">
        <v>0</v>
      </c>
      <c r="R445">
        <v>0</v>
      </c>
      <c r="S445">
        <v>1</v>
      </c>
      <c r="T445">
        <v>0</v>
      </c>
      <c r="U445">
        <v>0</v>
      </c>
      <c r="V445">
        <v>0</v>
      </c>
      <c r="W445">
        <v>0</v>
      </c>
      <c r="X445">
        <v>0</v>
      </c>
      <c r="Y445">
        <v>0</v>
      </c>
      <c r="Z445">
        <v>0</v>
      </c>
      <c r="AA445">
        <v>0</v>
      </c>
      <c r="AB445">
        <v>0</v>
      </c>
      <c r="AC445">
        <v>0</v>
      </c>
      <c r="AD445">
        <v>0</v>
      </c>
      <c r="AE445">
        <v>0</v>
      </c>
      <c r="AF445">
        <v>0</v>
      </c>
      <c r="AG445">
        <v>0</v>
      </c>
      <c r="AH445">
        <v>0</v>
      </c>
      <c r="AI445">
        <v>0</v>
      </c>
      <c r="AJ445">
        <v>0</v>
      </c>
      <c r="AQ445">
        <v>1</v>
      </c>
      <c r="AR445">
        <v>2439.15</v>
      </c>
      <c r="AS445">
        <v>2439.15</v>
      </c>
    </row>
    <row r="446" spans="1:45" hidden="1">
      <c r="A446" t="s">
        <v>30</v>
      </c>
      <c r="B446" t="s">
        <v>741</v>
      </c>
      <c r="C446" t="s">
        <v>688</v>
      </c>
      <c r="D446" t="s">
        <v>430</v>
      </c>
      <c r="E446" t="s">
        <v>172</v>
      </c>
      <c r="F446" t="s">
        <v>434</v>
      </c>
      <c r="G446" t="s">
        <v>432</v>
      </c>
      <c r="H446">
        <v>0</v>
      </c>
      <c r="I446">
        <v>0</v>
      </c>
      <c r="J446">
        <v>0</v>
      </c>
      <c r="K446">
        <v>1</v>
      </c>
      <c r="L446">
        <v>0</v>
      </c>
      <c r="M446">
        <v>0</v>
      </c>
      <c r="N446">
        <v>0</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H446">
        <v>0</v>
      </c>
      <c r="AI446">
        <v>0</v>
      </c>
      <c r="AJ446">
        <v>0</v>
      </c>
      <c r="AQ446">
        <v>1</v>
      </c>
      <c r="AR446">
        <v>2651.25</v>
      </c>
      <c r="AS446">
        <v>2651.25</v>
      </c>
    </row>
    <row r="447" spans="1:45" hidden="1">
      <c r="A447" t="s">
        <v>30</v>
      </c>
      <c r="B447" t="s">
        <v>741</v>
      </c>
      <c r="C447" t="s">
        <v>645</v>
      </c>
      <c r="D447" t="s">
        <v>435</v>
      </c>
      <c r="E447" t="s">
        <v>172</v>
      </c>
      <c r="F447" t="s">
        <v>436</v>
      </c>
      <c r="G447" t="s">
        <v>437</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c r="AE447">
        <v>0</v>
      </c>
      <c r="AF447">
        <v>0</v>
      </c>
      <c r="AG447">
        <v>0</v>
      </c>
      <c r="AH447">
        <v>0</v>
      </c>
      <c r="AI447">
        <v>0</v>
      </c>
      <c r="AJ447">
        <v>0</v>
      </c>
      <c r="AQ447">
        <v>0</v>
      </c>
      <c r="AR447">
        <v>0.28000000000000003</v>
      </c>
    </row>
    <row r="448" spans="1:45" hidden="1">
      <c r="A448" t="s">
        <v>30</v>
      </c>
      <c r="B448" t="s">
        <v>741</v>
      </c>
      <c r="C448" t="s">
        <v>689</v>
      </c>
      <c r="D448" t="s">
        <v>439</v>
      </c>
      <c r="E448" t="s">
        <v>172</v>
      </c>
      <c r="F448" t="s">
        <v>690</v>
      </c>
      <c r="G448" t="s">
        <v>441</v>
      </c>
      <c r="H448">
        <v>0</v>
      </c>
      <c r="I448">
        <v>0</v>
      </c>
      <c r="J448">
        <v>0</v>
      </c>
      <c r="K448">
        <v>0</v>
      </c>
      <c r="L448">
        <v>0</v>
      </c>
      <c r="M448">
        <v>0</v>
      </c>
      <c r="N448">
        <v>0</v>
      </c>
      <c r="O448">
        <v>0</v>
      </c>
      <c r="P448">
        <v>0</v>
      </c>
      <c r="Q448">
        <v>0</v>
      </c>
      <c r="R448">
        <v>0</v>
      </c>
      <c r="S448">
        <v>2</v>
      </c>
      <c r="T448">
        <v>0</v>
      </c>
      <c r="U448">
        <v>0</v>
      </c>
      <c r="V448">
        <v>0</v>
      </c>
      <c r="W448">
        <v>0</v>
      </c>
      <c r="X448">
        <v>0</v>
      </c>
      <c r="Y448">
        <v>0</v>
      </c>
      <c r="Z448">
        <v>0</v>
      </c>
      <c r="AA448">
        <v>0</v>
      </c>
      <c r="AB448">
        <v>0</v>
      </c>
      <c r="AC448">
        <v>0</v>
      </c>
      <c r="AD448">
        <v>0</v>
      </c>
      <c r="AE448">
        <v>4</v>
      </c>
      <c r="AF448">
        <v>0</v>
      </c>
      <c r="AG448">
        <v>1</v>
      </c>
      <c r="AH448">
        <v>0</v>
      </c>
      <c r="AI448">
        <v>1</v>
      </c>
      <c r="AJ448">
        <v>0</v>
      </c>
      <c r="AQ448">
        <v>8</v>
      </c>
      <c r="AR448">
        <v>318.14999999999998</v>
      </c>
      <c r="AS448">
        <v>2545.1999999999998</v>
      </c>
    </row>
    <row r="449" spans="1:45" hidden="1">
      <c r="A449" t="s">
        <v>30</v>
      </c>
      <c r="B449" t="s">
        <v>741</v>
      </c>
      <c r="C449" t="s">
        <v>691</v>
      </c>
      <c r="D449" t="s">
        <v>439</v>
      </c>
      <c r="E449" t="s">
        <v>172</v>
      </c>
      <c r="F449" t="s">
        <v>442</v>
      </c>
      <c r="G449" t="s">
        <v>441</v>
      </c>
      <c r="H449">
        <v>0</v>
      </c>
      <c r="I449">
        <v>0</v>
      </c>
      <c r="J449">
        <v>0</v>
      </c>
      <c r="K449">
        <v>0</v>
      </c>
      <c r="L449">
        <v>0</v>
      </c>
      <c r="M449">
        <v>0</v>
      </c>
      <c r="N449">
        <v>0</v>
      </c>
      <c r="O449">
        <v>0</v>
      </c>
      <c r="P449">
        <v>5</v>
      </c>
      <c r="Q449">
        <v>0</v>
      </c>
      <c r="R449">
        <v>0</v>
      </c>
      <c r="S449">
        <v>3</v>
      </c>
      <c r="T449">
        <v>0</v>
      </c>
      <c r="U449">
        <v>0</v>
      </c>
      <c r="V449">
        <v>0</v>
      </c>
      <c r="W449">
        <v>0</v>
      </c>
      <c r="X449">
        <v>0</v>
      </c>
      <c r="Y449">
        <v>0</v>
      </c>
      <c r="Z449">
        <v>0</v>
      </c>
      <c r="AA449">
        <v>0</v>
      </c>
      <c r="AB449">
        <v>0</v>
      </c>
      <c r="AC449">
        <v>0</v>
      </c>
      <c r="AD449">
        <v>0</v>
      </c>
      <c r="AE449">
        <v>11</v>
      </c>
      <c r="AF449">
        <v>0</v>
      </c>
      <c r="AG449">
        <v>0</v>
      </c>
      <c r="AH449">
        <v>0</v>
      </c>
      <c r="AI449">
        <v>0</v>
      </c>
      <c r="AJ449">
        <v>0</v>
      </c>
      <c r="AQ449">
        <v>19</v>
      </c>
      <c r="AR449">
        <v>1272.5999999999999</v>
      </c>
      <c r="AS449">
        <v>24179.4</v>
      </c>
    </row>
    <row r="450" spans="1:45" hidden="1">
      <c r="A450" t="s">
        <v>30</v>
      </c>
      <c r="B450" t="s">
        <v>741</v>
      </c>
      <c r="C450" t="s">
        <v>692</v>
      </c>
      <c r="D450" t="s">
        <v>439</v>
      </c>
      <c r="E450" t="s">
        <v>172</v>
      </c>
      <c r="F450" t="s">
        <v>443</v>
      </c>
      <c r="G450" t="s">
        <v>441</v>
      </c>
      <c r="H450">
        <v>0</v>
      </c>
      <c r="I450">
        <v>0</v>
      </c>
      <c r="J450">
        <v>0</v>
      </c>
      <c r="K450">
        <v>0</v>
      </c>
      <c r="L450">
        <v>0</v>
      </c>
      <c r="M450">
        <v>0</v>
      </c>
      <c r="N450">
        <v>0</v>
      </c>
      <c r="O450">
        <v>0</v>
      </c>
      <c r="P450">
        <v>0</v>
      </c>
      <c r="Q450">
        <v>0</v>
      </c>
      <c r="R450">
        <v>0</v>
      </c>
      <c r="S450">
        <v>1</v>
      </c>
      <c r="T450">
        <v>0</v>
      </c>
      <c r="U450">
        <v>0</v>
      </c>
      <c r="V450">
        <v>0</v>
      </c>
      <c r="W450">
        <v>0</v>
      </c>
      <c r="X450">
        <v>0</v>
      </c>
      <c r="Y450">
        <v>0</v>
      </c>
      <c r="Z450">
        <v>0</v>
      </c>
      <c r="AA450">
        <v>0</v>
      </c>
      <c r="AB450">
        <v>0</v>
      </c>
      <c r="AC450">
        <v>0</v>
      </c>
      <c r="AD450">
        <v>0</v>
      </c>
      <c r="AE450">
        <v>0</v>
      </c>
      <c r="AF450">
        <v>0</v>
      </c>
      <c r="AG450">
        <v>0</v>
      </c>
      <c r="AH450">
        <v>0</v>
      </c>
      <c r="AI450">
        <v>0</v>
      </c>
      <c r="AJ450">
        <v>0</v>
      </c>
      <c r="AQ450">
        <v>1</v>
      </c>
      <c r="AR450">
        <v>1590.75</v>
      </c>
      <c r="AS450">
        <v>1590.75</v>
      </c>
    </row>
    <row r="451" spans="1:45" hidden="1">
      <c r="A451" t="s">
        <v>30</v>
      </c>
      <c r="B451" t="s">
        <v>741</v>
      </c>
      <c r="C451" t="s">
        <v>693</v>
      </c>
      <c r="D451" t="s">
        <v>439</v>
      </c>
      <c r="E451" t="s">
        <v>172</v>
      </c>
      <c r="F451" t="s">
        <v>440</v>
      </c>
      <c r="G451" t="s">
        <v>441</v>
      </c>
      <c r="H451">
        <v>0</v>
      </c>
      <c r="I451">
        <v>0</v>
      </c>
      <c r="J451">
        <v>0</v>
      </c>
      <c r="K451">
        <v>0</v>
      </c>
      <c r="L451">
        <v>0</v>
      </c>
      <c r="M451">
        <v>0</v>
      </c>
      <c r="N451">
        <v>0</v>
      </c>
      <c r="O451">
        <v>0</v>
      </c>
      <c r="P451">
        <v>0</v>
      </c>
      <c r="Q451">
        <v>0</v>
      </c>
      <c r="R451">
        <v>0</v>
      </c>
      <c r="S451">
        <v>1</v>
      </c>
      <c r="T451">
        <v>0</v>
      </c>
      <c r="U451">
        <v>0</v>
      </c>
      <c r="V451">
        <v>0</v>
      </c>
      <c r="W451">
        <v>0</v>
      </c>
      <c r="X451">
        <v>0</v>
      </c>
      <c r="Y451">
        <v>0</v>
      </c>
      <c r="Z451">
        <v>0</v>
      </c>
      <c r="AA451">
        <v>0</v>
      </c>
      <c r="AB451">
        <v>0</v>
      </c>
      <c r="AC451">
        <v>0</v>
      </c>
      <c r="AD451">
        <v>0</v>
      </c>
      <c r="AE451">
        <v>1</v>
      </c>
      <c r="AF451">
        <v>0</v>
      </c>
      <c r="AG451">
        <v>0</v>
      </c>
      <c r="AH451">
        <v>0</v>
      </c>
      <c r="AI451">
        <v>0</v>
      </c>
      <c r="AJ451">
        <v>0</v>
      </c>
      <c r="AQ451">
        <v>2</v>
      </c>
      <c r="AR451">
        <v>1590.75</v>
      </c>
      <c r="AS451">
        <v>3181.5</v>
      </c>
    </row>
    <row r="452" spans="1:45" hidden="1">
      <c r="A452" t="s">
        <v>30</v>
      </c>
      <c r="B452" t="s">
        <v>741</v>
      </c>
      <c r="C452" t="s">
        <v>694</v>
      </c>
      <c r="D452" t="s">
        <v>439</v>
      </c>
      <c r="E452" t="s">
        <v>172</v>
      </c>
      <c r="F452" t="s">
        <v>695</v>
      </c>
      <c r="G452" t="s">
        <v>441</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0</v>
      </c>
      <c r="AC452">
        <v>0</v>
      </c>
      <c r="AD452">
        <v>0</v>
      </c>
      <c r="AE452">
        <v>0</v>
      </c>
      <c r="AF452">
        <v>0</v>
      </c>
      <c r="AG452">
        <v>0</v>
      </c>
      <c r="AH452">
        <v>0</v>
      </c>
      <c r="AI452">
        <v>0</v>
      </c>
      <c r="AJ452">
        <v>0</v>
      </c>
      <c r="AQ452">
        <v>0</v>
      </c>
      <c r="AR452">
        <v>1802.85</v>
      </c>
      <c r="AS452">
        <v>0</v>
      </c>
    </row>
    <row r="453" spans="1:45" hidden="1">
      <c r="A453" t="s">
        <v>30</v>
      </c>
      <c r="B453" t="s">
        <v>741</v>
      </c>
      <c r="C453" t="s">
        <v>696</v>
      </c>
      <c r="D453" t="s">
        <v>446</v>
      </c>
      <c r="E453" t="s">
        <v>172</v>
      </c>
      <c r="F453" t="s">
        <v>447</v>
      </c>
      <c r="G453" t="s">
        <v>448</v>
      </c>
      <c r="H453">
        <v>0</v>
      </c>
      <c r="I453">
        <v>0</v>
      </c>
      <c r="J453">
        <v>0</v>
      </c>
      <c r="K453">
        <v>0</v>
      </c>
      <c r="L453">
        <v>0</v>
      </c>
      <c r="M453">
        <v>0</v>
      </c>
      <c r="N453">
        <v>0</v>
      </c>
      <c r="O453">
        <v>0</v>
      </c>
      <c r="P453">
        <v>0</v>
      </c>
      <c r="Q453">
        <v>0</v>
      </c>
      <c r="R453">
        <v>0</v>
      </c>
      <c r="S453">
        <v>20.2</v>
      </c>
      <c r="T453">
        <v>0</v>
      </c>
      <c r="U453">
        <v>0</v>
      </c>
      <c r="V453">
        <v>0</v>
      </c>
      <c r="W453">
        <v>0</v>
      </c>
      <c r="X453">
        <v>0</v>
      </c>
      <c r="Y453">
        <v>0</v>
      </c>
      <c r="Z453">
        <v>0</v>
      </c>
      <c r="AA453">
        <v>0</v>
      </c>
      <c r="AB453">
        <v>0</v>
      </c>
      <c r="AC453">
        <v>0</v>
      </c>
      <c r="AD453">
        <v>0</v>
      </c>
      <c r="AE453">
        <v>0</v>
      </c>
      <c r="AF453">
        <v>0</v>
      </c>
      <c r="AG453">
        <v>0</v>
      </c>
      <c r="AH453">
        <v>0</v>
      </c>
      <c r="AI453">
        <v>0</v>
      </c>
      <c r="AJ453">
        <v>0</v>
      </c>
      <c r="AQ453">
        <v>20.2</v>
      </c>
      <c r="AR453">
        <v>10.605</v>
      </c>
      <c r="AS453">
        <v>214.221</v>
      </c>
    </row>
    <row r="454" spans="1:45" hidden="1">
      <c r="A454" t="s">
        <v>30</v>
      </c>
      <c r="B454" t="s">
        <v>741</v>
      </c>
      <c r="C454" t="s">
        <v>178</v>
      </c>
      <c r="D454" t="s">
        <v>179</v>
      </c>
      <c r="E454" t="s">
        <v>172</v>
      </c>
      <c r="F454" t="s">
        <v>180</v>
      </c>
      <c r="G454" t="s">
        <v>181</v>
      </c>
      <c r="H454">
        <v>0</v>
      </c>
      <c r="I454">
        <v>1</v>
      </c>
      <c r="J454">
        <v>3</v>
      </c>
      <c r="K454">
        <v>121</v>
      </c>
      <c r="L454">
        <v>0</v>
      </c>
      <c r="M454">
        <v>0</v>
      </c>
      <c r="N454">
        <v>7</v>
      </c>
      <c r="O454">
        <v>0</v>
      </c>
      <c r="P454">
        <v>35</v>
      </c>
      <c r="Q454">
        <v>0</v>
      </c>
      <c r="R454">
        <v>0</v>
      </c>
      <c r="S454">
        <v>265</v>
      </c>
      <c r="T454">
        <v>0</v>
      </c>
      <c r="U454">
        <v>0</v>
      </c>
      <c r="V454">
        <v>0</v>
      </c>
      <c r="W454">
        <v>0</v>
      </c>
      <c r="X454">
        <v>0</v>
      </c>
      <c r="Y454">
        <v>2</v>
      </c>
      <c r="Z454">
        <v>1</v>
      </c>
      <c r="AA454">
        <v>1</v>
      </c>
      <c r="AB454">
        <v>0</v>
      </c>
      <c r="AC454">
        <v>0</v>
      </c>
      <c r="AD454">
        <v>0</v>
      </c>
      <c r="AE454">
        <v>367</v>
      </c>
      <c r="AF454">
        <v>0</v>
      </c>
      <c r="AG454">
        <v>16</v>
      </c>
      <c r="AH454">
        <v>20</v>
      </c>
      <c r="AI454">
        <v>25</v>
      </c>
      <c r="AJ454">
        <v>0</v>
      </c>
      <c r="AQ454">
        <v>864</v>
      </c>
      <c r="AR454">
        <v>106.05</v>
      </c>
      <c r="AS454">
        <v>91627.199999999997</v>
      </c>
    </row>
    <row r="455" spans="1:45" hidden="1">
      <c r="A455" t="s">
        <v>30</v>
      </c>
      <c r="B455" t="s">
        <v>741</v>
      </c>
      <c r="C455" t="s">
        <v>182</v>
      </c>
      <c r="D455" t="s">
        <v>179</v>
      </c>
      <c r="E455" t="s">
        <v>172</v>
      </c>
      <c r="F455" t="s">
        <v>183</v>
      </c>
      <c r="G455" t="s">
        <v>152</v>
      </c>
      <c r="H455">
        <v>959.15</v>
      </c>
      <c r="I455">
        <v>958.42</v>
      </c>
      <c r="J455">
        <v>914.33</v>
      </c>
      <c r="K455">
        <v>13451.77</v>
      </c>
      <c r="L455">
        <v>483.08</v>
      </c>
      <c r="M455">
        <v>832.98</v>
      </c>
      <c r="N455">
        <v>3204.34</v>
      </c>
      <c r="O455">
        <v>0</v>
      </c>
      <c r="P455">
        <v>0</v>
      </c>
      <c r="Q455">
        <v>355.09</v>
      </c>
      <c r="R455">
        <v>120</v>
      </c>
      <c r="S455">
        <v>58213.45</v>
      </c>
      <c r="T455">
        <v>6794.91</v>
      </c>
      <c r="U455">
        <v>1726.96</v>
      </c>
      <c r="V455">
        <v>425.43</v>
      </c>
      <c r="W455">
        <v>0</v>
      </c>
      <c r="X455">
        <v>0</v>
      </c>
      <c r="Y455">
        <v>5076.59</v>
      </c>
      <c r="Z455">
        <v>2703.97</v>
      </c>
      <c r="AA455">
        <v>474.18</v>
      </c>
      <c r="AB455">
        <v>400</v>
      </c>
      <c r="AC455">
        <v>168.45</v>
      </c>
      <c r="AD455">
        <v>145</v>
      </c>
      <c r="AE455">
        <v>94845.25</v>
      </c>
      <c r="AF455">
        <v>41.85</v>
      </c>
      <c r="AG455">
        <v>3238.48</v>
      </c>
      <c r="AH455">
        <v>686.05</v>
      </c>
      <c r="AI455">
        <v>10527.73</v>
      </c>
      <c r="AJ455">
        <v>698.51</v>
      </c>
      <c r="AQ455">
        <v>207445.97</v>
      </c>
      <c r="AR455">
        <v>0.1515</v>
      </c>
      <c r="AS455">
        <v>31428.064455</v>
      </c>
    </row>
    <row r="456" spans="1:45" hidden="1">
      <c r="A456" t="s">
        <v>30</v>
      </c>
      <c r="B456" t="s">
        <v>741</v>
      </c>
      <c r="C456" t="s">
        <v>697</v>
      </c>
      <c r="D456" t="s">
        <v>449</v>
      </c>
      <c r="E456" t="s">
        <v>172</v>
      </c>
      <c r="F456" t="s">
        <v>450</v>
      </c>
      <c r="G456" t="s">
        <v>451</v>
      </c>
      <c r="H456">
        <v>0</v>
      </c>
      <c r="I456">
        <v>0</v>
      </c>
      <c r="J456">
        <v>0</v>
      </c>
      <c r="K456">
        <v>1</v>
      </c>
      <c r="L456">
        <v>0</v>
      </c>
      <c r="M456">
        <v>0</v>
      </c>
      <c r="N456">
        <v>0</v>
      </c>
      <c r="O456">
        <v>0</v>
      </c>
      <c r="P456">
        <v>1</v>
      </c>
      <c r="Q456">
        <v>0</v>
      </c>
      <c r="R456">
        <v>0</v>
      </c>
      <c r="S456">
        <v>5</v>
      </c>
      <c r="T456">
        <v>1</v>
      </c>
      <c r="U456">
        <v>0</v>
      </c>
      <c r="V456">
        <v>0</v>
      </c>
      <c r="W456">
        <v>0</v>
      </c>
      <c r="X456">
        <v>0</v>
      </c>
      <c r="Y456">
        <v>0</v>
      </c>
      <c r="Z456">
        <v>0</v>
      </c>
      <c r="AA456">
        <v>0</v>
      </c>
      <c r="AB456">
        <v>0</v>
      </c>
      <c r="AC456">
        <v>0</v>
      </c>
      <c r="AD456">
        <v>0</v>
      </c>
      <c r="AE456">
        <v>7</v>
      </c>
      <c r="AF456">
        <v>0</v>
      </c>
      <c r="AG456">
        <v>0</v>
      </c>
      <c r="AH456">
        <v>0</v>
      </c>
      <c r="AI456">
        <v>0</v>
      </c>
      <c r="AJ456">
        <v>0</v>
      </c>
      <c r="AQ456">
        <v>15</v>
      </c>
      <c r="AR456">
        <v>1908.9</v>
      </c>
      <c r="AS456">
        <v>28633.5</v>
      </c>
    </row>
    <row r="457" spans="1:45" hidden="1">
      <c r="A457" t="s">
        <v>30</v>
      </c>
      <c r="B457" t="s">
        <v>741</v>
      </c>
      <c r="C457" t="s">
        <v>698</v>
      </c>
      <c r="D457" t="s">
        <v>424</v>
      </c>
      <c r="E457" t="s">
        <v>172</v>
      </c>
      <c r="F457" t="s">
        <v>425</v>
      </c>
      <c r="G457" t="s">
        <v>426</v>
      </c>
      <c r="H457">
        <v>0</v>
      </c>
      <c r="I457">
        <v>0</v>
      </c>
      <c r="J457">
        <v>0</v>
      </c>
      <c r="K457">
        <v>2</v>
      </c>
      <c r="L457">
        <v>0</v>
      </c>
      <c r="M457">
        <v>0</v>
      </c>
      <c r="N457">
        <v>0</v>
      </c>
      <c r="O457">
        <v>0</v>
      </c>
      <c r="P457">
        <v>1</v>
      </c>
      <c r="Q457">
        <v>0</v>
      </c>
      <c r="R457">
        <v>0</v>
      </c>
      <c r="S457">
        <v>4</v>
      </c>
      <c r="T457">
        <v>0</v>
      </c>
      <c r="U457">
        <v>0</v>
      </c>
      <c r="V457">
        <v>0</v>
      </c>
      <c r="W457">
        <v>2</v>
      </c>
      <c r="X457">
        <v>0</v>
      </c>
      <c r="Y457">
        <v>2</v>
      </c>
      <c r="Z457">
        <v>0</v>
      </c>
      <c r="AA457">
        <v>0</v>
      </c>
      <c r="AB457">
        <v>0</v>
      </c>
      <c r="AC457">
        <v>0</v>
      </c>
      <c r="AD457">
        <v>0</v>
      </c>
      <c r="AE457">
        <v>1</v>
      </c>
      <c r="AF457">
        <v>0</v>
      </c>
      <c r="AG457">
        <v>0</v>
      </c>
      <c r="AH457">
        <v>0</v>
      </c>
      <c r="AI457">
        <v>2</v>
      </c>
      <c r="AJ457">
        <v>0</v>
      </c>
      <c r="AQ457">
        <v>14</v>
      </c>
      <c r="AR457">
        <v>132.5625</v>
      </c>
      <c r="AS457">
        <v>1855.875</v>
      </c>
    </row>
    <row r="458" spans="1:45" hidden="1">
      <c r="A458" t="s">
        <v>30</v>
      </c>
      <c r="B458" t="s">
        <v>741</v>
      </c>
      <c r="C458" t="s">
        <v>699</v>
      </c>
      <c r="D458" t="s">
        <v>287</v>
      </c>
      <c r="E458" t="s">
        <v>172</v>
      </c>
      <c r="F458" t="s">
        <v>452</v>
      </c>
      <c r="G458" t="s">
        <v>453</v>
      </c>
      <c r="H458">
        <v>0</v>
      </c>
      <c r="I458">
        <v>0</v>
      </c>
      <c r="J458">
        <v>0</v>
      </c>
      <c r="K458">
        <v>0</v>
      </c>
      <c r="L458">
        <v>0</v>
      </c>
      <c r="M458">
        <v>0</v>
      </c>
      <c r="N458">
        <v>0</v>
      </c>
      <c r="O458">
        <v>0</v>
      </c>
      <c r="P458">
        <v>0</v>
      </c>
      <c r="Q458">
        <v>0</v>
      </c>
      <c r="R458">
        <v>0</v>
      </c>
      <c r="S458">
        <v>1</v>
      </c>
      <c r="T458">
        <v>0</v>
      </c>
      <c r="U458">
        <v>0</v>
      </c>
      <c r="V458">
        <v>0</v>
      </c>
      <c r="W458">
        <v>0</v>
      </c>
      <c r="X458">
        <v>0</v>
      </c>
      <c r="Y458">
        <v>0</v>
      </c>
      <c r="Z458">
        <v>0</v>
      </c>
      <c r="AA458">
        <v>0</v>
      </c>
      <c r="AB458">
        <v>0</v>
      </c>
      <c r="AC458">
        <v>0</v>
      </c>
      <c r="AD458">
        <v>0</v>
      </c>
      <c r="AE458">
        <v>1</v>
      </c>
      <c r="AF458">
        <v>0</v>
      </c>
      <c r="AG458">
        <v>0</v>
      </c>
      <c r="AH458">
        <v>0</v>
      </c>
      <c r="AI458">
        <v>0</v>
      </c>
      <c r="AJ458">
        <v>0</v>
      </c>
      <c r="AQ458">
        <v>2</v>
      </c>
      <c r="AR458">
        <v>3181.5</v>
      </c>
      <c r="AS458">
        <v>6363</v>
      </c>
    </row>
    <row r="459" spans="1:45" hidden="1">
      <c r="A459" t="s">
        <v>30</v>
      </c>
      <c r="B459" t="s">
        <v>741</v>
      </c>
      <c r="C459" t="s">
        <v>700</v>
      </c>
      <c r="D459" t="s">
        <v>287</v>
      </c>
      <c r="E459" t="s">
        <v>172</v>
      </c>
      <c r="F459" t="s">
        <v>454</v>
      </c>
      <c r="G459" t="s">
        <v>455</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c r="AQ459">
        <v>0</v>
      </c>
      <c r="AR459">
        <v>318150</v>
      </c>
      <c r="AS459">
        <v>0</v>
      </c>
    </row>
    <row r="460" spans="1:45" hidden="1">
      <c r="A460" t="s">
        <v>30</v>
      </c>
      <c r="B460" t="s">
        <v>741</v>
      </c>
      <c r="C460" t="s">
        <v>701</v>
      </c>
      <c r="D460" t="s">
        <v>287</v>
      </c>
      <c r="E460" t="s">
        <v>172</v>
      </c>
      <c r="F460" t="s">
        <v>456</v>
      </c>
      <c r="G460" t="s">
        <v>457</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c r="AE460">
        <v>0</v>
      </c>
      <c r="AF460">
        <v>0</v>
      </c>
      <c r="AG460">
        <v>0</v>
      </c>
      <c r="AH460">
        <v>0</v>
      </c>
      <c r="AI460">
        <v>0</v>
      </c>
      <c r="AJ460">
        <v>0</v>
      </c>
      <c r="AQ460">
        <v>0</v>
      </c>
      <c r="AR460">
        <v>238612.5</v>
      </c>
      <c r="AS460">
        <v>0</v>
      </c>
    </row>
    <row r="461" spans="1:45" hidden="1">
      <c r="A461" t="s">
        <v>30</v>
      </c>
      <c r="B461" t="s">
        <v>741</v>
      </c>
      <c r="C461" t="s">
        <v>184</v>
      </c>
      <c r="D461" t="s">
        <v>185</v>
      </c>
      <c r="E461" t="s">
        <v>186</v>
      </c>
      <c r="F461" t="s">
        <v>187</v>
      </c>
      <c r="G461" t="s">
        <v>188</v>
      </c>
      <c r="H461">
        <v>0</v>
      </c>
      <c r="I461">
        <v>0</v>
      </c>
      <c r="J461">
        <v>0</v>
      </c>
      <c r="K461">
        <v>0</v>
      </c>
      <c r="L461">
        <v>0</v>
      </c>
      <c r="M461">
        <v>0</v>
      </c>
      <c r="N461">
        <v>0</v>
      </c>
      <c r="O461">
        <v>0</v>
      </c>
      <c r="P461">
        <v>0</v>
      </c>
      <c r="Q461">
        <v>0</v>
      </c>
      <c r="R461">
        <v>0</v>
      </c>
      <c r="S461">
        <v>6</v>
      </c>
      <c r="T461">
        <v>2</v>
      </c>
      <c r="U461">
        <v>0</v>
      </c>
      <c r="V461">
        <v>0</v>
      </c>
      <c r="W461">
        <v>0</v>
      </c>
      <c r="X461">
        <v>0</v>
      </c>
      <c r="Y461">
        <v>0</v>
      </c>
      <c r="Z461">
        <v>0</v>
      </c>
      <c r="AA461">
        <v>0</v>
      </c>
      <c r="AB461">
        <v>0</v>
      </c>
      <c r="AC461">
        <v>0</v>
      </c>
      <c r="AD461">
        <v>0</v>
      </c>
      <c r="AE461">
        <v>2</v>
      </c>
      <c r="AF461">
        <v>0</v>
      </c>
      <c r="AG461">
        <v>0</v>
      </c>
      <c r="AH461">
        <v>0</v>
      </c>
      <c r="AI461">
        <v>0</v>
      </c>
      <c r="AJ461">
        <v>0</v>
      </c>
      <c r="AQ461">
        <v>10</v>
      </c>
      <c r="AR461">
        <v>2121</v>
      </c>
      <c r="AS461">
        <v>21210</v>
      </c>
    </row>
    <row r="462" spans="1:45" hidden="1">
      <c r="A462" t="s">
        <v>30</v>
      </c>
      <c r="B462" t="s">
        <v>741</v>
      </c>
      <c r="C462" t="s">
        <v>189</v>
      </c>
      <c r="D462" t="s">
        <v>190</v>
      </c>
      <c r="E462" t="s">
        <v>186</v>
      </c>
      <c r="F462" t="s">
        <v>191</v>
      </c>
      <c r="G462" t="s">
        <v>192</v>
      </c>
      <c r="H462">
        <v>1</v>
      </c>
      <c r="I462">
        <v>1</v>
      </c>
      <c r="J462">
        <v>0</v>
      </c>
      <c r="K462">
        <v>0</v>
      </c>
      <c r="L462">
        <v>0</v>
      </c>
      <c r="M462">
        <v>0</v>
      </c>
      <c r="N462">
        <v>0</v>
      </c>
      <c r="O462">
        <v>0</v>
      </c>
      <c r="P462">
        <v>1</v>
      </c>
      <c r="Q462">
        <v>0</v>
      </c>
      <c r="R462">
        <v>0</v>
      </c>
      <c r="S462">
        <v>5</v>
      </c>
      <c r="T462">
        <v>2</v>
      </c>
      <c r="U462">
        <v>0</v>
      </c>
      <c r="V462">
        <v>0</v>
      </c>
      <c r="W462">
        <v>0</v>
      </c>
      <c r="X462">
        <v>0</v>
      </c>
      <c r="Y462">
        <v>0</v>
      </c>
      <c r="Z462">
        <v>0</v>
      </c>
      <c r="AA462">
        <v>0</v>
      </c>
      <c r="AB462">
        <v>0</v>
      </c>
      <c r="AC462">
        <v>0</v>
      </c>
      <c r="AD462">
        <v>0</v>
      </c>
      <c r="AE462">
        <v>4</v>
      </c>
      <c r="AF462">
        <v>0</v>
      </c>
      <c r="AG462">
        <v>0</v>
      </c>
      <c r="AH462">
        <v>0</v>
      </c>
      <c r="AI462">
        <v>0</v>
      </c>
      <c r="AJ462">
        <v>0</v>
      </c>
      <c r="AQ462">
        <v>14</v>
      </c>
      <c r="AR462">
        <v>1060.5</v>
      </c>
      <c r="AS462">
        <v>14847</v>
      </c>
    </row>
    <row r="463" spans="1:45" hidden="1">
      <c r="A463" t="s">
        <v>30</v>
      </c>
      <c r="B463" t="s">
        <v>741</v>
      </c>
      <c r="C463" t="s">
        <v>702</v>
      </c>
      <c r="D463" t="s">
        <v>190</v>
      </c>
      <c r="E463" t="s">
        <v>186</v>
      </c>
      <c r="F463" t="s">
        <v>458</v>
      </c>
      <c r="G463" t="s">
        <v>459</v>
      </c>
      <c r="H463">
        <v>0</v>
      </c>
      <c r="I463">
        <v>0</v>
      </c>
      <c r="J463">
        <v>0</v>
      </c>
      <c r="K463">
        <v>0</v>
      </c>
      <c r="L463">
        <v>0</v>
      </c>
      <c r="M463">
        <v>0</v>
      </c>
      <c r="N463">
        <v>0</v>
      </c>
      <c r="O463">
        <v>0</v>
      </c>
      <c r="P463">
        <v>0</v>
      </c>
      <c r="Q463">
        <v>0</v>
      </c>
      <c r="R463">
        <v>0</v>
      </c>
      <c r="S463">
        <v>3</v>
      </c>
      <c r="T463">
        <v>0</v>
      </c>
      <c r="U463">
        <v>0</v>
      </c>
      <c r="V463">
        <v>0</v>
      </c>
      <c r="W463">
        <v>0</v>
      </c>
      <c r="X463">
        <v>0</v>
      </c>
      <c r="Y463">
        <v>0</v>
      </c>
      <c r="Z463">
        <v>0</v>
      </c>
      <c r="AA463">
        <v>0</v>
      </c>
      <c r="AB463">
        <v>0</v>
      </c>
      <c r="AC463">
        <v>0</v>
      </c>
      <c r="AD463">
        <v>0</v>
      </c>
      <c r="AE463">
        <v>0</v>
      </c>
      <c r="AF463">
        <v>0</v>
      </c>
      <c r="AG463">
        <v>0</v>
      </c>
      <c r="AH463">
        <v>0</v>
      </c>
      <c r="AI463">
        <v>0</v>
      </c>
      <c r="AJ463">
        <v>0</v>
      </c>
      <c r="AQ463">
        <v>3</v>
      </c>
      <c r="AR463">
        <v>1590.75</v>
      </c>
      <c r="AS463">
        <v>4772.25</v>
      </c>
    </row>
    <row r="464" spans="1:45" hidden="1">
      <c r="A464" t="s">
        <v>30</v>
      </c>
      <c r="B464" t="s">
        <v>741</v>
      </c>
      <c r="C464" t="s">
        <v>193</v>
      </c>
      <c r="D464" t="s">
        <v>194</v>
      </c>
      <c r="E464" t="s">
        <v>186</v>
      </c>
      <c r="F464" t="s">
        <v>195</v>
      </c>
      <c r="G464" t="s">
        <v>152</v>
      </c>
      <c r="H464">
        <v>959.15</v>
      </c>
      <c r="I464">
        <v>1149.6500000000001</v>
      </c>
      <c r="J464">
        <v>914.33</v>
      </c>
      <c r="K464">
        <v>11797.77</v>
      </c>
      <c r="L464">
        <v>483.08</v>
      </c>
      <c r="M464">
        <v>832.98</v>
      </c>
      <c r="N464">
        <v>3204.34</v>
      </c>
      <c r="O464">
        <v>0</v>
      </c>
      <c r="P464">
        <v>18259.740000000002</v>
      </c>
      <c r="Q464">
        <v>355.09</v>
      </c>
      <c r="R464">
        <v>120</v>
      </c>
      <c r="S464">
        <v>58213.45</v>
      </c>
      <c r="T464">
        <v>6794.91</v>
      </c>
      <c r="U464">
        <v>0</v>
      </c>
      <c r="V464">
        <v>425.43</v>
      </c>
      <c r="W464">
        <v>0</v>
      </c>
      <c r="X464">
        <v>0</v>
      </c>
      <c r="Y464">
        <v>5076.59</v>
      </c>
      <c r="Z464">
        <v>2703.97</v>
      </c>
      <c r="AA464">
        <v>474.18</v>
      </c>
      <c r="AB464">
        <v>400</v>
      </c>
      <c r="AC464">
        <v>10.7</v>
      </c>
      <c r="AD464">
        <v>145</v>
      </c>
      <c r="AE464">
        <v>94845.25</v>
      </c>
      <c r="AF464">
        <v>41.85</v>
      </c>
      <c r="AG464">
        <v>3882.35</v>
      </c>
      <c r="AH464">
        <v>686.05</v>
      </c>
      <c r="AI464">
        <v>4146</v>
      </c>
      <c r="AJ464">
        <v>636</v>
      </c>
      <c r="AQ464">
        <v>216557.86</v>
      </c>
      <c r="AR464">
        <v>0.63629999999999998</v>
      </c>
      <c r="AS464">
        <v>137795.76631800001</v>
      </c>
    </row>
    <row r="465" spans="1:45" hidden="1">
      <c r="A465" t="s">
        <v>30</v>
      </c>
      <c r="B465" t="s">
        <v>741</v>
      </c>
      <c r="C465" t="s">
        <v>197</v>
      </c>
      <c r="D465" t="s">
        <v>198</v>
      </c>
      <c r="E465" t="s">
        <v>186</v>
      </c>
      <c r="F465" t="s">
        <v>199</v>
      </c>
      <c r="G465" t="s">
        <v>200</v>
      </c>
      <c r="H465">
        <v>0</v>
      </c>
      <c r="I465">
        <v>0</v>
      </c>
      <c r="J465">
        <v>0</v>
      </c>
      <c r="K465">
        <v>1</v>
      </c>
      <c r="L465">
        <v>0</v>
      </c>
      <c r="M465">
        <v>0</v>
      </c>
      <c r="N465">
        <v>0</v>
      </c>
      <c r="O465">
        <v>0</v>
      </c>
      <c r="P465">
        <v>1</v>
      </c>
      <c r="Q465">
        <v>0</v>
      </c>
      <c r="R465">
        <v>0</v>
      </c>
      <c r="S465">
        <v>3</v>
      </c>
      <c r="T465">
        <v>0</v>
      </c>
      <c r="U465">
        <v>0</v>
      </c>
      <c r="V465">
        <v>0</v>
      </c>
      <c r="W465">
        <v>0</v>
      </c>
      <c r="X465">
        <v>0</v>
      </c>
      <c r="Y465">
        <v>0</v>
      </c>
      <c r="Z465">
        <v>0</v>
      </c>
      <c r="AA465">
        <v>0</v>
      </c>
      <c r="AB465">
        <v>0</v>
      </c>
      <c r="AC465">
        <v>0</v>
      </c>
      <c r="AD465">
        <v>0</v>
      </c>
      <c r="AE465">
        <v>4</v>
      </c>
      <c r="AF465">
        <v>0</v>
      </c>
      <c r="AG465">
        <v>0</v>
      </c>
      <c r="AH465">
        <v>0</v>
      </c>
      <c r="AI465">
        <v>1</v>
      </c>
      <c r="AJ465">
        <v>0</v>
      </c>
      <c r="AQ465">
        <v>10</v>
      </c>
      <c r="AR465">
        <v>4984.3500000000004</v>
      </c>
      <c r="AS465">
        <v>49843.5</v>
      </c>
    </row>
    <row r="466" spans="1:45" hidden="1">
      <c r="A466" t="s">
        <v>30</v>
      </c>
      <c r="B466" t="s">
        <v>741</v>
      </c>
      <c r="C466" t="s">
        <v>201</v>
      </c>
      <c r="D466" t="s">
        <v>202</v>
      </c>
      <c r="E466" t="s">
        <v>186</v>
      </c>
      <c r="F466" t="s">
        <v>203</v>
      </c>
      <c r="G466" t="s">
        <v>204</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c r="AE466">
        <v>0</v>
      </c>
      <c r="AF466">
        <v>0</v>
      </c>
      <c r="AG466">
        <v>0</v>
      </c>
      <c r="AH466">
        <v>0</v>
      </c>
      <c r="AI466">
        <v>0</v>
      </c>
      <c r="AJ466">
        <v>0</v>
      </c>
      <c r="AQ466">
        <v>0</v>
      </c>
      <c r="AR466">
        <v>31.815000000000001</v>
      </c>
      <c r="AS466">
        <v>0</v>
      </c>
    </row>
    <row r="467" spans="1:45" hidden="1">
      <c r="A467" t="s">
        <v>30</v>
      </c>
      <c r="B467" t="s">
        <v>741</v>
      </c>
      <c r="C467" t="s">
        <v>703</v>
      </c>
      <c r="D467" t="s">
        <v>460</v>
      </c>
      <c r="E467" t="s">
        <v>186</v>
      </c>
      <c r="F467" t="s">
        <v>461</v>
      </c>
      <c r="G467" t="s">
        <v>462</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Q467">
        <v>0</v>
      </c>
      <c r="AR467">
        <v>15907.5</v>
      </c>
      <c r="AS467">
        <v>0</v>
      </c>
    </row>
    <row r="468" spans="1:45" hidden="1">
      <c r="A468" t="s">
        <v>30</v>
      </c>
      <c r="B468" t="s">
        <v>741</v>
      </c>
      <c r="C468" t="s">
        <v>704</v>
      </c>
      <c r="D468" t="s">
        <v>468</v>
      </c>
      <c r="E468" t="s">
        <v>186</v>
      </c>
      <c r="F468" t="s">
        <v>469</v>
      </c>
      <c r="G468" t="s">
        <v>470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0</v>
      </c>
      <c r="AI468">
        <v>0</v>
      </c>
      <c r="AJ468">
        <v>0</v>
      </c>
      <c r="AQ468">
        <v>0</v>
      </c>
      <c r="AR468">
        <v>159.07499999999999</v>
      </c>
      <c r="AS468">
        <v>0</v>
      </c>
    </row>
    <row r="469" spans="1:45" hidden="1">
      <c r="A469" t="s">
        <v>30</v>
      </c>
      <c r="B469" t="s">
        <v>741</v>
      </c>
      <c r="C469" t="s">
        <v>705</v>
      </c>
      <c r="D469" t="s">
        <v>463</v>
      </c>
      <c r="E469" t="s">
        <v>186</v>
      </c>
      <c r="F469" t="s">
        <v>466</v>
      </c>
      <c r="G469" t="s">
        <v>467</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Q469">
        <v>0</v>
      </c>
      <c r="AR469">
        <v>509.04</v>
      </c>
      <c r="AS469">
        <v>0</v>
      </c>
    </row>
    <row r="470" spans="1:45" hidden="1">
      <c r="A470" t="s">
        <v>30</v>
      </c>
      <c r="B470" t="s">
        <v>741</v>
      </c>
      <c r="C470" t="s">
        <v>706</v>
      </c>
      <c r="D470" t="s">
        <v>463</v>
      </c>
      <c r="E470" t="s">
        <v>186</v>
      </c>
      <c r="F470" t="s">
        <v>464</v>
      </c>
      <c r="G470" t="s">
        <v>465</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Q470">
        <v>0</v>
      </c>
      <c r="AR470">
        <v>1060.5</v>
      </c>
      <c r="AS470">
        <v>0</v>
      </c>
    </row>
    <row r="471" spans="1:45" hidden="1">
      <c r="A471" t="s">
        <v>30</v>
      </c>
      <c r="B471" t="s">
        <v>741</v>
      </c>
      <c r="C471" t="s">
        <v>707</v>
      </c>
      <c r="D471" t="s">
        <v>471</v>
      </c>
      <c r="E471" t="s">
        <v>186</v>
      </c>
      <c r="F471" t="s">
        <v>472</v>
      </c>
      <c r="G471" t="s">
        <v>473</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c r="AE471">
        <v>1</v>
      </c>
      <c r="AF471">
        <v>0</v>
      </c>
      <c r="AG471">
        <v>0</v>
      </c>
      <c r="AH471">
        <v>0</v>
      </c>
      <c r="AI471">
        <v>0</v>
      </c>
      <c r="AJ471">
        <v>0</v>
      </c>
      <c r="AQ471">
        <v>1</v>
      </c>
      <c r="AR471">
        <v>15377.25</v>
      </c>
      <c r="AS471">
        <v>15377.25</v>
      </c>
    </row>
    <row r="472" spans="1:45" hidden="1">
      <c r="A472" t="s">
        <v>30</v>
      </c>
      <c r="B472" t="s">
        <v>741</v>
      </c>
      <c r="C472" t="s">
        <v>205</v>
      </c>
      <c r="D472" t="s">
        <v>206</v>
      </c>
      <c r="E472" t="s">
        <v>207</v>
      </c>
      <c r="F472" t="s">
        <v>208</v>
      </c>
      <c r="G472" t="s">
        <v>209</v>
      </c>
      <c r="H472">
        <v>0</v>
      </c>
      <c r="I472">
        <v>0</v>
      </c>
      <c r="J472">
        <v>0</v>
      </c>
      <c r="K472">
        <v>11797.77</v>
      </c>
      <c r="L472">
        <v>0</v>
      </c>
      <c r="M472">
        <v>0</v>
      </c>
      <c r="N472">
        <v>2675</v>
      </c>
      <c r="O472">
        <v>0</v>
      </c>
      <c r="P472">
        <v>929.65</v>
      </c>
      <c r="Q472">
        <v>0</v>
      </c>
      <c r="R472">
        <v>0</v>
      </c>
      <c r="S472">
        <v>78.95</v>
      </c>
      <c r="T472">
        <v>0</v>
      </c>
      <c r="U472">
        <v>0</v>
      </c>
      <c r="V472">
        <v>0</v>
      </c>
      <c r="W472">
        <v>0</v>
      </c>
      <c r="X472">
        <v>0</v>
      </c>
      <c r="Y472">
        <v>0</v>
      </c>
      <c r="Z472">
        <v>0</v>
      </c>
      <c r="AA472">
        <v>0</v>
      </c>
      <c r="AB472">
        <v>0</v>
      </c>
      <c r="AC472">
        <v>0</v>
      </c>
      <c r="AD472">
        <v>0</v>
      </c>
      <c r="AE472">
        <v>55790</v>
      </c>
      <c r="AF472">
        <v>0</v>
      </c>
      <c r="AG472">
        <v>0</v>
      </c>
      <c r="AH472">
        <v>0</v>
      </c>
      <c r="AI472">
        <v>0</v>
      </c>
      <c r="AJ472">
        <v>0</v>
      </c>
      <c r="AQ472">
        <v>71271.37</v>
      </c>
      <c r="AR472">
        <v>0.16159999999999999</v>
      </c>
      <c r="AS472">
        <v>11517.453391999999</v>
      </c>
    </row>
    <row r="473" spans="1:45" hidden="1">
      <c r="A473" t="s">
        <v>30</v>
      </c>
      <c r="B473" t="s">
        <v>741</v>
      </c>
      <c r="C473" t="s">
        <v>210</v>
      </c>
      <c r="D473" t="s">
        <v>211</v>
      </c>
      <c r="E473" t="s">
        <v>207</v>
      </c>
      <c r="F473" t="s">
        <v>212</v>
      </c>
      <c r="G473" t="s">
        <v>209</v>
      </c>
      <c r="H473">
        <v>538.21</v>
      </c>
      <c r="I473">
        <v>0</v>
      </c>
      <c r="J473">
        <v>0</v>
      </c>
      <c r="K473">
        <v>6586.99</v>
      </c>
      <c r="L473">
        <v>0</v>
      </c>
      <c r="M473">
        <v>0</v>
      </c>
      <c r="N473">
        <v>2674</v>
      </c>
      <c r="O473">
        <v>0</v>
      </c>
      <c r="P473">
        <v>5230.3599999999997</v>
      </c>
      <c r="Q473">
        <v>0</v>
      </c>
      <c r="R473">
        <v>0</v>
      </c>
      <c r="S473">
        <v>17136.79</v>
      </c>
      <c r="T473">
        <v>1190.48</v>
      </c>
      <c r="U473">
        <v>0</v>
      </c>
      <c r="V473">
        <v>0</v>
      </c>
      <c r="W473">
        <v>0</v>
      </c>
      <c r="X473">
        <v>0</v>
      </c>
      <c r="Y473">
        <v>0</v>
      </c>
      <c r="Z473">
        <v>857.47</v>
      </c>
      <c r="AA473">
        <v>0</v>
      </c>
      <c r="AB473">
        <v>0</v>
      </c>
      <c r="AC473">
        <v>0</v>
      </c>
      <c r="AD473">
        <v>0</v>
      </c>
      <c r="AE473">
        <v>90402.46</v>
      </c>
      <c r="AF473">
        <v>0</v>
      </c>
      <c r="AG473">
        <v>2610.69</v>
      </c>
      <c r="AH473">
        <v>532.80999999999995</v>
      </c>
      <c r="AI473">
        <v>4235.5600000000004</v>
      </c>
      <c r="AJ473">
        <v>254.4</v>
      </c>
      <c r="AQ473">
        <v>132250.22</v>
      </c>
      <c r="AR473">
        <v>0.63629999999999998</v>
      </c>
      <c r="AS473">
        <v>84150.814985999998</v>
      </c>
    </row>
    <row r="474" spans="1:45" hidden="1">
      <c r="A474" t="s">
        <v>30</v>
      </c>
      <c r="B474" t="s">
        <v>741</v>
      </c>
      <c r="C474" t="s">
        <v>213</v>
      </c>
      <c r="D474" t="s">
        <v>214</v>
      </c>
      <c r="E474" t="s">
        <v>207</v>
      </c>
      <c r="F474" t="s">
        <v>215</v>
      </c>
      <c r="G474" t="s">
        <v>152</v>
      </c>
      <c r="H474">
        <v>959.15</v>
      </c>
      <c r="I474">
        <v>958.42</v>
      </c>
      <c r="J474">
        <v>914.33</v>
      </c>
      <c r="K474">
        <v>11797.77</v>
      </c>
      <c r="L474">
        <v>483.08</v>
      </c>
      <c r="M474">
        <v>832.98</v>
      </c>
      <c r="N474">
        <v>3204.34</v>
      </c>
      <c r="O474">
        <v>0</v>
      </c>
      <c r="P474">
        <v>18259.740000000002</v>
      </c>
      <c r="Q474">
        <v>355.09</v>
      </c>
      <c r="R474">
        <v>120</v>
      </c>
      <c r="S474">
        <v>58213.45</v>
      </c>
      <c r="T474">
        <v>6794.91</v>
      </c>
      <c r="U474">
        <v>1726.96</v>
      </c>
      <c r="V474">
        <v>425.43</v>
      </c>
      <c r="W474">
        <v>0</v>
      </c>
      <c r="X474">
        <v>934.56</v>
      </c>
      <c r="Y474">
        <v>5076.59</v>
      </c>
      <c r="Z474">
        <v>2703.97</v>
      </c>
      <c r="AA474">
        <v>474.18</v>
      </c>
      <c r="AB474">
        <v>400</v>
      </c>
      <c r="AC474">
        <v>0</v>
      </c>
      <c r="AD474">
        <v>145</v>
      </c>
      <c r="AE474">
        <v>94845.25</v>
      </c>
      <c r="AF474">
        <v>41.85</v>
      </c>
      <c r="AG474">
        <v>3882.35</v>
      </c>
      <c r="AH474">
        <v>686.05</v>
      </c>
      <c r="AI474">
        <v>10527.73</v>
      </c>
      <c r="AJ474">
        <v>636</v>
      </c>
      <c r="AQ474">
        <v>225399.18</v>
      </c>
      <c r="AR474">
        <v>0.32319999999999999</v>
      </c>
      <c r="AS474">
        <v>72849.014976000006</v>
      </c>
    </row>
    <row r="475" spans="1:45" hidden="1">
      <c r="A475" t="s">
        <v>30</v>
      </c>
      <c r="B475" t="s">
        <v>741</v>
      </c>
      <c r="C475" t="s">
        <v>255</v>
      </c>
      <c r="D475" t="s">
        <v>256</v>
      </c>
      <c r="E475" t="s">
        <v>207</v>
      </c>
      <c r="F475" t="s">
        <v>257</v>
      </c>
      <c r="G475" t="s">
        <v>258</v>
      </c>
      <c r="H475">
        <v>1</v>
      </c>
      <c r="I475">
        <v>0</v>
      </c>
      <c r="J475">
        <v>0</v>
      </c>
      <c r="K475">
        <v>200</v>
      </c>
      <c r="L475">
        <v>0</v>
      </c>
      <c r="M475">
        <v>0</v>
      </c>
      <c r="N475">
        <v>46</v>
      </c>
      <c r="O475">
        <v>0</v>
      </c>
      <c r="P475">
        <v>82</v>
      </c>
      <c r="Q475">
        <v>0</v>
      </c>
      <c r="R475">
        <v>0</v>
      </c>
      <c r="S475">
        <v>418</v>
      </c>
      <c r="T475">
        <v>6</v>
      </c>
      <c r="U475">
        <v>0</v>
      </c>
      <c r="V475">
        <v>0</v>
      </c>
      <c r="W475">
        <v>0</v>
      </c>
      <c r="X475">
        <v>2</v>
      </c>
      <c r="Y475">
        <v>2</v>
      </c>
      <c r="Z475">
        <v>9</v>
      </c>
      <c r="AA475">
        <v>0</v>
      </c>
      <c r="AB475">
        <v>1</v>
      </c>
      <c r="AC475">
        <v>0</v>
      </c>
      <c r="AD475">
        <v>0</v>
      </c>
      <c r="AE475">
        <v>920</v>
      </c>
      <c r="AF475">
        <v>0</v>
      </c>
      <c r="AG475">
        <v>28</v>
      </c>
      <c r="AH475">
        <v>0</v>
      </c>
      <c r="AI475">
        <v>55</v>
      </c>
      <c r="AJ475">
        <v>0</v>
      </c>
      <c r="AQ475">
        <v>1770</v>
      </c>
      <c r="AR475">
        <v>31.815000000000001</v>
      </c>
      <c r="AS475">
        <v>56312.55</v>
      </c>
    </row>
    <row r="476" spans="1:45" hidden="1">
      <c r="A476" t="s">
        <v>30</v>
      </c>
      <c r="B476" t="s">
        <v>741</v>
      </c>
      <c r="C476" t="s">
        <v>217</v>
      </c>
      <c r="D476" t="s">
        <v>218</v>
      </c>
      <c r="E476" t="s">
        <v>207</v>
      </c>
      <c r="F476" t="s">
        <v>219</v>
      </c>
      <c r="G476" t="s">
        <v>220</v>
      </c>
      <c r="H476">
        <v>6</v>
      </c>
      <c r="I476">
        <v>6</v>
      </c>
      <c r="J476">
        <v>5</v>
      </c>
      <c r="K476">
        <v>112</v>
      </c>
      <c r="L476">
        <v>9</v>
      </c>
      <c r="M476">
        <v>8</v>
      </c>
      <c r="N476">
        <v>60</v>
      </c>
      <c r="O476">
        <v>0</v>
      </c>
      <c r="P476">
        <v>204</v>
      </c>
      <c r="Q476">
        <v>3</v>
      </c>
      <c r="R476">
        <v>0</v>
      </c>
      <c r="S476">
        <v>624</v>
      </c>
      <c r="T476">
        <v>41</v>
      </c>
      <c r="U476">
        <v>12</v>
      </c>
      <c r="V476">
        <v>5</v>
      </c>
      <c r="W476">
        <v>0</v>
      </c>
      <c r="X476">
        <v>9</v>
      </c>
      <c r="Y476">
        <v>39</v>
      </c>
      <c r="Z476">
        <v>31</v>
      </c>
      <c r="AA476">
        <v>6</v>
      </c>
      <c r="AB476">
        <v>6</v>
      </c>
      <c r="AC476">
        <v>0</v>
      </c>
      <c r="AD476">
        <v>1</v>
      </c>
      <c r="AE476">
        <v>902</v>
      </c>
      <c r="AF476">
        <v>6</v>
      </c>
      <c r="AG476">
        <v>48</v>
      </c>
      <c r="AH476">
        <v>0</v>
      </c>
      <c r="AI476">
        <v>67</v>
      </c>
      <c r="AJ476">
        <v>6</v>
      </c>
      <c r="AQ476">
        <v>2216</v>
      </c>
      <c r="AR476">
        <v>9.5950000000000006</v>
      </c>
      <c r="AS476">
        <v>21262.52</v>
      </c>
    </row>
    <row r="477" spans="1:45" hidden="1">
      <c r="A477" t="s">
        <v>30</v>
      </c>
      <c r="B477" t="s">
        <v>741</v>
      </c>
      <c r="C477" t="s">
        <v>708</v>
      </c>
      <c r="D477" t="s">
        <v>474</v>
      </c>
      <c r="E477" t="s">
        <v>207</v>
      </c>
      <c r="F477" t="s">
        <v>475</v>
      </c>
      <c r="G477" t="s">
        <v>476</v>
      </c>
      <c r="H477">
        <v>0</v>
      </c>
      <c r="I477">
        <v>0</v>
      </c>
      <c r="J477">
        <v>0</v>
      </c>
      <c r="K477">
        <v>0</v>
      </c>
      <c r="L477">
        <v>0</v>
      </c>
      <c r="M477">
        <v>0</v>
      </c>
      <c r="N477">
        <v>1</v>
      </c>
      <c r="O477">
        <v>0</v>
      </c>
      <c r="P477">
        <v>0</v>
      </c>
      <c r="Q477">
        <v>0</v>
      </c>
      <c r="R477">
        <v>0</v>
      </c>
      <c r="S477">
        <v>0</v>
      </c>
      <c r="T477">
        <v>0</v>
      </c>
      <c r="U477">
        <v>0</v>
      </c>
      <c r="V477">
        <v>0</v>
      </c>
      <c r="W477">
        <v>0</v>
      </c>
      <c r="X477">
        <v>0</v>
      </c>
      <c r="Y477">
        <v>0</v>
      </c>
      <c r="Z477">
        <v>0</v>
      </c>
      <c r="AA477">
        <v>0</v>
      </c>
      <c r="AB477">
        <v>0</v>
      </c>
      <c r="AC477">
        <v>0</v>
      </c>
      <c r="AD477">
        <v>0</v>
      </c>
      <c r="AE477">
        <v>72</v>
      </c>
      <c r="AF477">
        <v>0</v>
      </c>
      <c r="AG477">
        <v>0</v>
      </c>
      <c r="AH477">
        <v>0</v>
      </c>
      <c r="AI477">
        <v>0</v>
      </c>
      <c r="AJ477">
        <v>0</v>
      </c>
      <c r="AQ477">
        <v>73</v>
      </c>
      <c r="AR477">
        <v>79.790000000000006</v>
      </c>
      <c r="AS477">
        <v>5824.67</v>
      </c>
    </row>
    <row r="478" spans="1:45" hidden="1">
      <c r="A478" t="s">
        <v>30</v>
      </c>
      <c r="B478" t="s">
        <v>741</v>
      </c>
      <c r="C478" t="s">
        <v>709</v>
      </c>
      <c r="D478" t="s">
        <v>477</v>
      </c>
      <c r="E478" t="s">
        <v>207</v>
      </c>
      <c r="F478" t="s">
        <v>478</v>
      </c>
      <c r="G478" t="s">
        <v>479</v>
      </c>
      <c r="H478">
        <v>1</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c r="AE478">
        <v>0</v>
      </c>
      <c r="AF478">
        <v>0</v>
      </c>
      <c r="AG478">
        <v>0</v>
      </c>
      <c r="AH478">
        <v>0</v>
      </c>
      <c r="AI478">
        <v>0</v>
      </c>
      <c r="AJ478">
        <v>0</v>
      </c>
      <c r="AQ478">
        <v>1</v>
      </c>
      <c r="AR478">
        <v>2.121</v>
      </c>
      <c r="AS478">
        <v>2.121</v>
      </c>
    </row>
    <row r="479" spans="1:45" hidden="1">
      <c r="A479" t="s">
        <v>30</v>
      </c>
      <c r="B479" t="s">
        <v>741</v>
      </c>
      <c r="C479" t="s">
        <v>221</v>
      </c>
      <c r="D479" t="s">
        <v>222</v>
      </c>
      <c r="E479" t="s">
        <v>207</v>
      </c>
      <c r="F479" t="s">
        <v>223</v>
      </c>
      <c r="G479" t="s">
        <v>224</v>
      </c>
      <c r="H479">
        <v>0</v>
      </c>
      <c r="I479">
        <v>0</v>
      </c>
      <c r="J479">
        <v>0</v>
      </c>
      <c r="K479">
        <v>0</v>
      </c>
      <c r="L479">
        <v>0</v>
      </c>
      <c r="M479">
        <v>0</v>
      </c>
      <c r="N479">
        <v>0</v>
      </c>
      <c r="O479">
        <v>0</v>
      </c>
      <c r="P479">
        <v>0</v>
      </c>
      <c r="Q479">
        <v>0</v>
      </c>
      <c r="R479">
        <v>0</v>
      </c>
      <c r="S479">
        <v>1</v>
      </c>
      <c r="T479">
        <v>0</v>
      </c>
      <c r="U479">
        <v>0</v>
      </c>
      <c r="V479">
        <v>0</v>
      </c>
      <c r="W479">
        <v>0</v>
      </c>
      <c r="X479">
        <v>0</v>
      </c>
      <c r="Y479">
        <v>0</v>
      </c>
      <c r="Z479">
        <v>0</v>
      </c>
      <c r="AA479">
        <v>0</v>
      </c>
      <c r="AB479">
        <v>0</v>
      </c>
      <c r="AC479">
        <v>0</v>
      </c>
      <c r="AD479">
        <v>0</v>
      </c>
      <c r="AE479">
        <v>0</v>
      </c>
      <c r="AF479">
        <v>0</v>
      </c>
      <c r="AG479">
        <v>0</v>
      </c>
      <c r="AH479">
        <v>0</v>
      </c>
      <c r="AI479">
        <v>0</v>
      </c>
      <c r="AJ479">
        <v>0</v>
      </c>
      <c r="AQ479">
        <v>1</v>
      </c>
      <c r="AR479">
        <v>2651.25</v>
      </c>
      <c r="AS479">
        <v>2651.25</v>
      </c>
    </row>
    <row r="480" spans="1:45" hidden="1">
      <c r="A480" t="s">
        <v>30</v>
      </c>
      <c r="B480" t="s">
        <v>741</v>
      </c>
      <c r="C480" t="s">
        <v>225</v>
      </c>
      <c r="D480" t="s">
        <v>226</v>
      </c>
      <c r="E480" t="s">
        <v>207</v>
      </c>
      <c r="F480" t="s">
        <v>227</v>
      </c>
      <c r="G480" t="s">
        <v>228</v>
      </c>
      <c r="H480">
        <v>0</v>
      </c>
      <c r="I480">
        <v>0</v>
      </c>
      <c r="J480">
        <v>0</v>
      </c>
      <c r="K480">
        <v>33</v>
      </c>
      <c r="L480">
        <v>0</v>
      </c>
      <c r="M480">
        <v>2</v>
      </c>
      <c r="N480">
        <v>48</v>
      </c>
      <c r="O480">
        <v>0</v>
      </c>
      <c r="P480">
        <v>31</v>
      </c>
      <c r="Q480">
        <v>0</v>
      </c>
      <c r="R480">
        <v>0</v>
      </c>
      <c r="S480">
        <v>187</v>
      </c>
      <c r="T480">
        <v>12</v>
      </c>
      <c r="U480">
        <v>3</v>
      </c>
      <c r="V480">
        <v>0</v>
      </c>
      <c r="W480">
        <v>0</v>
      </c>
      <c r="X480">
        <v>3</v>
      </c>
      <c r="Y480">
        <v>11</v>
      </c>
      <c r="Z480">
        <v>3</v>
      </c>
      <c r="AA480">
        <v>0</v>
      </c>
      <c r="AB480">
        <v>0</v>
      </c>
      <c r="AC480">
        <v>0</v>
      </c>
      <c r="AD480">
        <v>0</v>
      </c>
      <c r="AE480">
        <v>323</v>
      </c>
      <c r="AF480">
        <v>0</v>
      </c>
      <c r="AG480">
        <v>9</v>
      </c>
      <c r="AH480">
        <v>0</v>
      </c>
      <c r="AI480">
        <v>24</v>
      </c>
      <c r="AJ480">
        <v>0</v>
      </c>
      <c r="AQ480">
        <v>689</v>
      </c>
      <c r="AR480">
        <v>21.21</v>
      </c>
      <c r="AS480">
        <v>14613.69</v>
      </c>
    </row>
    <row r="481" spans="1:45" hidden="1">
      <c r="A481" t="s">
        <v>30</v>
      </c>
      <c r="B481" t="s">
        <v>741</v>
      </c>
      <c r="C481" t="s">
        <v>710</v>
      </c>
      <c r="D481" t="s">
        <v>480</v>
      </c>
      <c r="E481" t="s">
        <v>207</v>
      </c>
      <c r="F481" t="s">
        <v>481</v>
      </c>
      <c r="G481" t="s">
        <v>482</v>
      </c>
      <c r="H481">
        <v>0</v>
      </c>
      <c r="I481">
        <v>0</v>
      </c>
      <c r="J481">
        <v>0</v>
      </c>
      <c r="K481">
        <v>0</v>
      </c>
      <c r="L481">
        <v>0</v>
      </c>
      <c r="M481">
        <v>0</v>
      </c>
      <c r="N481">
        <v>0</v>
      </c>
      <c r="O481">
        <v>0</v>
      </c>
      <c r="P481">
        <v>0</v>
      </c>
      <c r="Q481">
        <v>0</v>
      </c>
      <c r="R481">
        <v>0</v>
      </c>
      <c r="S481">
        <v>0</v>
      </c>
      <c r="T481">
        <v>0</v>
      </c>
      <c r="U481">
        <v>0</v>
      </c>
      <c r="V481">
        <v>0</v>
      </c>
      <c r="W481">
        <v>0</v>
      </c>
      <c r="X481">
        <v>0</v>
      </c>
      <c r="Y481">
        <v>0</v>
      </c>
      <c r="Z481">
        <v>0</v>
      </c>
      <c r="AA481">
        <v>0</v>
      </c>
      <c r="AB481">
        <v>0</v>
      </c>
      <c r="AC481">
        <v>0</v>
      </c>
      <c r="AD481">
        <v>0</v>
      </c>
      <c r="AE481">
        <v>0</v>
      </c>
      <c r="AF481">
        <v>0</v>
      </c>
      <c r="AG481">
        <v>0</v>
      </c>
      <c r="AH481">
        <v>0</v>
      </c>
      <c r="AI481">
        <v>0</v>
      </c>
      <c r="AJ481">
        <v>0</v>
      </c>
      <c r="AQ481">
        <v>0</v>
      </c>
      <c r="AR481">
        <v>1272.5999999999999</v>
      </c>
      <c r="AS481">
        <v>0</v>
      </c>
    </row>
    <row r="482" spans="1:45" hidden="1">
      <c r="A482" t="s">
        <v>30</v>
      </c>
      <c r="B482" t="s">
        <v>741</v>
      </c>
      <c r="C482" t="s">
        <v>711</v>
      </c>
      <c r="D482" t="s">
        <v>488</v>
      </c>
      <c r="E482" t="s">
        <v>207</v>
      </c>
      <c r="F482" t="s">
        <v>489</v>
      </c>
      <c r="G482" t="s">
        <v>490</v>
      </c>
      <c r="H482">
        <v>0</v>
      </c>
      <c r="I482">
        <v>0</v>
      </c>
      <c r="J482">
        <v>1</v>
      </c>
      <c r="K482">
        <v>0</v>
      </c>
      <c r="L482">
        <v>0</v>
      </c>
      <c r="M482">
        <v>0</v>
      </c>
      <c r="N482">
        <v>0</v>
      </c>
      <c r="O482">
        <v>0</v>
      </c>
      <c r="P482">
        <v>0</v>
      </c>
      <c r="Q482">
        <v>0</v>
      </c>
      <c r="R482">
        <v>0</v>
      </c>
      <c r="S482">
        <v>325</v>
      </c>
      <c r="T482">
        <v>0</v>
      </c>
      <c r="U482">
        <v>0</v>
      </c>
      <c r="V482">
        <v>0</v>
      </c>
      <c r="W482">
        <v>0</v>
      </c>
      <c r="X482">
        <v>0</v>
      </c>
      <c r="Y482">
        <v>0</v>
      </c>
      <c r="Z482">
        <v>0</v>
      </c>
      <c r="AA482">
        <v>0</v>
      </c>
      <c r="AB482">
        <v>0</v>
      </c>
      <c r="AC482">
        <v>0</v>
      </c>
      <c r="AD482">
        <v>0</v>
      </c>
      <c r="AE482">
        <v>0</v>
      </c>
      <c r="AF482">
        <v>0</v>
      </c>
      <c r="AG482">
        <v>0</v>
      </c>
      <c r="AH482">
        <v>0</v>
      </c>
      <c r="AI482">
        <v>0</v>
      </c>
      <c r="AJ482">
        <v>0</v>
      </c>
      <c r="AQ482">
        <v>326</v>
      </c>
      <c r="AR482">
        <v>0.5353</v>
      </c>
      <c r="AS482">
        <v>174.5078</v>
      </c>
    </row>
    <row r="483" spans="1:45" hidden="1">
      <c r="A483" t="s">
        <v>30</v>
      </c>
      <c r="B483" t="s">
        <v>741</v>
      </c>
      <c r="C483" t="s">
        <v>712</v>
      </c>
      <c r="D483" t="s">
        <v>483</v>
      </c>
      <c r="E483" t="s">
        <v>207</v>
      </c>
      <c r="F483" t="s">
        <v>484</v>
      </c>
      <c r="G483" t="s">
        <v>392</v>
      </c>
      <c r="H483">
        <v>0</v>
      </c>
      <c r="I483">
        <v>0</v>
      </c>
      <c r="J483">
        <v>0</v>
      </c>
      <c r="K483">
        <v>0</v>
      </c>
      <c r="L483">
        <v>0</v>
      </c>
      <c r="M483">
        <v>0</v>
      </c>
      <c r="N483">
        <v>0</v>
      </c>
      <c r="O483">
        <v>0</v>
      </c>
      <c r="P483">
        <v>0</v>
      </c>
      <c r="Q483">
        <v>0</v>
      </c>
      <c r="R483">
        <v>0</v>
      </c>
      <c r="S483">
        <v>1</v>
      </c>
      <c r="T483">
        <v>0</v>
      </c>
      <c r="U483">
        <v>0</v>
      </c>
      <c r="V483">
        <v>0</v>
      </c>
      <c r="W483">
        <v>0</v>
      </c>
      <c r="X483">
        <v>0</v>
      </c>
      <c r="Y483">
        <v>0</v>
      </c>
      <c r="Z483">
        <v>0</v>
      </c>
      <c r="AA483">
        <v>0</v>
      </c>
      <c r="AB483">
        <v>0</v>
      </c>
      <c r="AC483">
        <v>0</v>
      </c>
      <c r="AD483">
        <v>0</v>
      </c>
      <c r="AE483">
        <v>1</v>
      </c>
      <c r="AF483">
        <v>0</v>
      </c>
      <c r="AG483">
        <v>0</v>
      </c>
      <c r="AH483">
        <v>0</v>
      </c>
      <c r="AI483">
        <v>0</v>
      </c>
      <c r="AJ483">
        <v>0</v>
      </c>
      <c r="AQ483">
        <v>2</v>
      </c>
      <c r="AR483">
        <v>2121</v>
      </c>
      <c r="AS483">
        <v>4242</v>
      </c>
    </row>
    <row r="484" spans="1:45" hidden="1">
      <c r="A484" t="s">
        <v>30</v>
      </c>
      <c r="B484" t="s">
        <v>741</v>
      </c>
      <c r="C484" t="s">
        <v>713</v>
      </c>
      <c r="D484" t="s">
        <v>485</v>
      </c>
      <c r="E484" t="s">
        <v>207</v>
      </c>
      <c r="F484" t="s">
        <v>486</v>
      </c>
      <c r="G484" t="s">
        <v>487</v>
      </c>
      <c r="H484">
        <v>0</v>
      </c>
      <c r="I484">
        <v>0</v>
      </c>
      <c r="J484">
        <v>0</v>
      </c>
      <c r="K484">
        <v>0</v>
      </c>
      <c r="L484">
        <v>0</v>
      </c>
      <c r="M484">
        <v>0</v>
      </c>
      <c r="N484">
        <v>0</v>
      </c>
      <c r="O484">
        <v>0</v>
      </c>
      <c r="P484">
        <v>0</v>
      </c>
      <c r="Q484">
        <v>0</v>
      </c>
      <c r="R484">
        <v>0</v>
      </c>
      <c r="S484">
        <v>1</v>
      </c>
      <c r="T484">
        <v>0</v>
      </c>
      <c r="U484">
        <v>0</v>
      </c>
      <c r="V484">
        <v>0</v>
      </c>
      <c r="W484">
        <v>0</v>
      </c>
      <c r="X484">
        <v>0</v>
      </c>
      <c r="Y484">
        <v>0</v>
      </c>
      <c r="Z484">
        <v>0</v>
      </c>
      <c r="AA484">
        <v>0</v>
      </c>
      <c r="AB484">
        <v>0</v>
      </c>
      <c r="AC484">
        <v>0</v>
      </c>
      <c r="AD484">
        <v>0</v>
      </c>
      <c r="AE484">
        <v>0</v>
      </c>
      <c r="AF484">
        <v>0</v>
      </c>
      <c r="AG484">
        <v>0</v>
      </c>
      <c r="AH484">
        <v>0</v>
      </c>
      <c r="AI484">
        <v>0</v>
      </c>
      <c r="AJ484">
        <v>0</v>
      </c>
      <c r="AQ484">
        <v>1</v>
      </c>
      <c r="AR484">
        <v>265.125</v>
      </c>
      <c r="AS484">
        <v>265.125</v>
      </c>
    </row>
    <row r="485" spans="1:45" hidden="1">
      <c r="A485" t="s">
        <v>30</v>
      </c>
      <c r="B485" t="s">
        <v>741</v>
      </c>
      <c r="C485" t="s">
        <v>229</v>
      </c>
      <c r="D485" t="s">
        <v>230</v>
      </c>
      <c r="E485" t="s">
        <v>231</v>
      </c>
      <c r="F485" t="s">
        <v>232</v>
      </c>
      <c r="G485" t="s">
        <v>233</v>
      </c>
      <c r="H485">
        <v>1</v>
      </c>
      <c r="I485">
        <v>1</v>
      </c>
      <c r="J485">
        <v>0</v>
      </c>
      <c r="K485">
        <v>10</v>
      </c>
      <c r="L485">
        <v>1</v>
      </c>
      <c r="M485">
        <v>1</v>
      </c>
      <c r="N485">
        <v>1</v>
      </c>
      <c r="O485">
        <v>0</v>
      </c>
      <c r="P485">
        <v>10</v>
      </c>
      <c r="Q485">
        <v>0</v>
      </c>
      <c r="R485">
        <v>0</v>
      </c>
      <c r="S485">
        <v>24</v>
      </c>
      <c r="T485">
        <v>2</v>
      </c>
      <c r="U485">
        <v>0</v>
      </c>
      <c r="V485">
        <v>0</v>
      </c>
      <c r="W485">
        <v>0</v>
      </c>
      <c r="X485">
        <v>0</v>
      </c>
      <c r="Y485">
        <v>2</v>
      </c>
      <c r="Z485">
        <v>2</v>
      </c>
      <c r="AA485">
        <v>0</v>
      </c>
      <c r="AB485">
        <v>1</v>
      </c>
      <c r="AC485">
        <v>0</v>
      </c>
      <c r="AD485">
        <v>0</v>
      </c>
      <c r="AE485">
        <v>3</v>
      </c>
      <c r="AF485">
        <v>0</v>
      </c>
      <c r="AG485">
        <v>2</v>
      </c>
      <c r="AH485">
        <v>0</v>
      </c>
      <c r="AI485">
        <v>8</v>
      </c>
      <c r="AJ485">
        <v>0</v>
      </c>
      <c r="AQ485">
        <v>69</v>
      </c>
      <c r="AR485">
        <v>1484.7</v>
      </c>
      <c r="AS485">
        <v>102444.3</v>
      </c>
    </row>
    <row r="486" spans="1:45" hidden="1">
      <c r="A486" t="s">
        <v>30</v>
      </c>
      <c r="B486" t="s">
        <v>741</v>
      </c>
      <c r="C486" t="s">
        <v>234</v>
      </c>
      <c r="D486" t="s">
        <v>230</v>
      </c>
      <c r="E486" t="s">
        <v>231</v>
      </c>
      <c r="F486" t="s">
        <v>285</v>
      </c>
      <c r="G486" t="s">
        <v>233</v>
      </c>
      <c r="H486">
        <v>0</v>
      </c>
      <c r="I486">
        <v>0</v>
      </c>
      <c r="J486">
        <v>0</v>
      </c>
      <c r="K486">
        <v>0</v>
      </c>
      <c r="L486">
        <v>0</v>
      </c>
      <c r="M486">
        <v>0</v>
      </c>
      <c r="N486">
        <v>2</v>
      </c>
      <c r="O486">
        <v>0</v>
      </c>
      <c r="P486">
        <v>0</v>
      </c>
      <c r="Q486">
        <v>0</v>
      </c>
      <c r="R486">
        <v>0</v>
      </c>
      <c r="S486">
        <v>2</v>
      </c>
      <c r="T486">
        <v>0</v>
      </c>
      <c r="U486">
        <v>0</v>
      </c>
      <c r="V486">
        <v>0</v>
      </c>
      <c r="W486">
        <v>0</v>
      </c>
      <c r="X486">
        <v>0</v>
      </c>
      <c r="Y486">
        <v>0</v>
      </c>
      <c r="Z486">
        <v>0</v>
      </c>
      <c r="AA486">
        <v>0</v>
      </c>
      <c r="AB486">
        <v>0</v>
      </c>
      <c r="AC486">
        <v>0</v>
      </c>
      <c r="AD486">
        <v>0</v>
      </c>
      <c r="AE486">
        <v>15</v>
      </c>
      <c r="AF486">
        <v>0</v>
      </c>
      <c r="AG486">
        <v>0</v>
      </c>
      <c r="AH486">
        <v>0</v>
      </c>
      <c r="AI486">
        <v>0</v>
      </c>
      <c r="AJ486">
        <v>0</v>
      </c>
      <c r="AQ486">
        <v>19</v>
      </c>
      <c r="AR486">
        <v>1696.8</v>
      </c>
      <c r="AS486">
        <v>32239.200000000001</v>
      </c>
    </row>
    <row r="487" spans="1:45" hidden="1">
      <c r="A487" t="s">
        <v>30</v>
      </c>
      <c r="B487" t="s">
        <v>741</v>
      </c>
      <c r="C487" t="s">
        <v>714</v>
      </c>
      <c r="D487" t="s">
        <v>230</v>
      </c>
      <c r="E487" t="s">
        <v>231</v>
      </c>
      <c r="F487" t="s">
        <v>491</v>
      </c>
      <c r="G487" t="s">
        <v>233</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c r="AE487">
        <v>0</v>
      </c>
      <c r="AF487">
        <v>0</v>
      </c>
      <c r="AG487">
        <v>0</v>
      </c>
      <c r="AH487">
        <v>0</v>
      </c>
      <c r="AI487">
        <v>0</v>
      </c>
      <c r="AJ487">
        <v>0</v>
      </c>
      <c r="AQ487">
        <v>0</v>
      </c>
      <c r="AR487">
        <v>1908.9</v>
      </c>
      <c r="AS487">
        <v>0</v>
      </c>
    </row>
    <row r="488" spans="1:45" hidden="1">
      <c r="A488" t="s">
        <v>30</v>
      </c>
      <c r="B488" t="s">
        <v>741</v>
      </c>
      <c r="C488" t="s">
        <v>236</v>
      </c>
      <c r="D488" t="s">
        <v>237</v>
      </c>
      <c r="E488" t="s">
        <v>231</v>
      </c>
      <c r="F488" t="s">
        <v>238</v>
      </c>
      <c r="G488" t="s">
        <v>239</v>
      </c>
      <c r="H488">
        <v>0</v>
      </c>
      <c r="I488">
        <v>1</v>
      </c>
      <c r="J488">
        <v>1</v>
      </c>
      <c r="K488">
        <v>0</v>
      </c>
      <c r="L488">
        <v>0</v>
      </c>
      <c r="M488">
        <v>0</v>
      </c>
      <c r="N488">
        <v>0</v>
      </c>
      <c r="O488">
        <v>0</v>
      </c>
      <c r="P488">
        <v>0</v>
      </c>
      <c r="Q488">
        <v>0</v>
      </c>
      <c r="R488">
        <v>0</v>
      </c>
      <c r="S488">
        <v>0</v>
      </c>
      <c r="T488">
        <v>0</v>
      </c>
      <c r="U488">
        <v>0</v>
      </c>
      <c r="V488">
        <v>0</v>
      </c>
      <c r="W488">
        <v>0</v>
      </c>
      <c r="X488">
        <v>0</v>
      </c>
      <c r="Y488">
        <v>1</v>
      </c>
      <c r="Z488">
        <v>1</v>
      </c>
      <c r="AA488">
        <v>0</v>
      </c>
      <c r="AB488">
        <v>0</v>
      </c>
      <c r="AC488">
        <v>0</v>
      </c>
      <c r="AD488">
        <v>0</v>
      </c>
      <c r="AE488">
        <v>0</v>
      </c>
      <c r="AF488">
        <v>0</v>
      </c>
      <c r="AG488">
        <v>0</v>
      </c>
      <c r="AH488">
        <v>0</v>
      </c>
      <c r="AI488">
        <v>0</v>
      </c>
      <c r="AJ488">
        <v>0</v>
      </c>
      <c r="AQ488">
        <v>4</v>
      </c>
      <c r="AR488">
        <v>265.125</v>
      </c>
      <c r="AS488">
        <v>1060.5</v>
      </c>
    </row>
    <row r="489" spans="1:45" hidden="1">
      <c r="A489" t="s">
        <v>30</v>
      </c>
      <c r="B489" t="s">
        <v>741</v>
      </c>
      <c r="C489" t="s">
        <v>715</v>
      </c>
      <c r="D489" t="s">
        <v>492</v>
      </c>
      <c r="E489" t="s">
        <v>231</v>
      </c>
      <c r="F489" t="s">
        <v>493</v>
      </c>
      <c r="G489" t="s">
        <v>494</v>
      </c>
      <c r="H489">
        <v>0</v>
      </c>
      <c r="I489">
        <v>0</v>
      </c>
      <c r="J489">
        <v>0</v>
      </c>
      <c r="K489">
        <v>0</v>
      </c>
      <c r="L489">
        <v>0</v>
      </c>
      <c r="M489">
        <v>0</v>
      </c>
      <c r="N489">
        <v>0</v>
      </c>
      <c r="O489">
        <v>0</v>
      </c>
      <c r="P489">
        <v>0</v>
      </c>
      <c r="Q489">
        <v>0</v>
      </c>
      <c r="R489">
        <v>0</v>
      </c>
      <c r="S489">
        <v>0</v>
      </c>
      <c r="T489">
        <v>0</v>
      </c>
      <c r="U489">
        <v>0</v>
      </c>
      <c r="V489">
        <v>0</v>
      </c>
      <c r="W489">
        <v>0</v>
      </c>
      <c r="X489">
        <v>0</v>
      </c>
      <c r="Y489">
        <v>0</v>
      </c>
      <c r="Z489">
        <v>0</v>
      </c>
      <c r="AA489">
        <v>0</v>
      </c>
      <c r="AB489">
        <v>0</v>
      </c>
      <c r="AC489">
        <v>0</v>
      </c>
      <c r="AD489">
        <v>0</v>
      </c>
      <c r="AE489">
        <v>0</v>
      </c>
      <c r="AF489">
        <v>0</v>
      </c>
      <c r="AG489">
        <v>0</v>
      </c>
      <c r="AH489">
        <v>0</v>
      </c>
      <c r="AI489">
        <v>0</v>
      </c>
      <c r="AJ489">
        <v>0</v>
      </c>
      <c r="AQ489">
        <v>0</v>
      </c>
      <c r="AR489">
        <v>742.35</v>
      </c>
      <c r="AS489">
        <v>0</v>
      </c>
    </row>
    <row r="490" spans="1:45" hidden="1">
      <c r="A490" t="s">
        <v>30</v>
      </c>
      <c r="B490" t="s">
        <v>741</v>
      </c>
      <c r="C490" t="s">
        <v>716</v>
      </c>
      <c r="D490" t="s">
        <v>495</v>
      </c>
      <c r="E490" t="s">
        <v>231</v>
      </c>
      <c r="F490" t="s">
        <v>496</v>
      </c>
      <c r="G490" t="s">
        <v>497</v>
      </c>
      <c r="H490">
        <v>0</v>
      </c>
      <c r="I490">
        <v>0</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0</v>
      </c>
      <c r="AD490">
        <v>0</v>
      </c>
      <c r="AE490">
        <v>5</v>
      </c>
      <c r="AF490">
        <v>0</v>
      </c>
      <c r="AG490">
        <v>0</v>
      </c>
      <c r="AH490">
        <v>0</v>
      </c>
      <c r="AI490">
        <v>0</v>
      </c>
      <c r="AJ490">
        <v>0</v>
      </c>
      <c r="AQ490">
        <v>5</v>
      </c>
      <c r="AR490">
        <v>848.4</v>
      </c>
      <c r="AS490">
        <v>4242</v>
      </c>
    </row>
    <row r="491" spans="1:45" hidden="1">
      <c r="A491" t="s">
        <v>30</v>
      </c>
      <c r="B491" t="s">
        <v>741</v>
      </c>
      <c r="C491" t="s">
        <v>717</v>
      </c>
      <c r="D491" t="s">
        <v>498</v>
      </c>
      <c r="E491" t="s">
        <v>242</v>
      </c>
      <c r="F491" t="s">
        <v>499</v>
      </c>
      <c r="G491" t="s">
        <v>500</v>
      </c>
      <c r="H491">
        <v>959.15</v>
      </c>
      <c r="I491">
        <v>1149.6500000000001</v>
      </c>
      <c r="J491">
        <v>914.33</v>
      </c>
      <c r="K491">
        <v>13451.77</v>
      </c>
      <c r="L491">
        <v>483.08</v>
      </c>
      <c r="M491">
        <v>832.98</v>
      </c>
      <c r="N491">
        <v>3204.34</v>
      </c>
      <c r="O491">
        <v>0</v>
      </c>
      <c r="P491">
        <v>18259.740000000002</v>
      </c>
      <c r="Q491">
        <v>355.09</v>
      </c>
      <c r="R491">
        <v>120</v>
      </c>
      <c r="S491">
        <v>58213.45</v>
      </c>
      <c r="T491">
        <v>6794.91</v>
      </c>
      <c r="U491">
        <v>1726.96</v>
      </c>
      <c r="V491">
        <v>425.43</v>
      </c>
      <c r="W491">
        <v>0</v>
      </c>
      <c r="X491">
        <v>0</v>
      </c>
      <c r="Y491">
        <v>5076.59</v>
      </c>
      <c r="Z491">
        <v>2703.97</v>
      </c>
      <c r="AA491">
        <v>474.18</v>
      </c>
      <c r="AB491">
        <v>400</v>
      </c>
      <c r="AC491">
        <v>168.45</v>
      </c>
      <c r="AD491">
        <v>145</v>
      </c>
      <c r="AE491">
        <v>94845.25</v>
      </c>
      <c r="AF491">
        <v>41.85</v>
      </c>
      <c r="AG491">
        <v>4300</v>
      </c>
      <c r="AH491">
        <v>1372.1</v>
      </c>
      <c r="AI491">
        <v>21055.46</v>
      </c>
      <c r="AJ491">
        <v>1397.02</v>
      </c>
      <c r="AQ491">
        <v>238870.75</v>
      </c>
      <c r="AR491">
        <v>1.4341999999999999</v>
      </c>
      <c r="AS491">
        <v>342588.42965000001</v>
      </c>
    </row>
    <row r="492" spans="1:45" hidden="1">
      <c r="A492" t="s">
        <v>30</v>
      </c>
      <c r="B492" t="s">
        <v>741</v>
      </c>
      <c r="C492" t="s">
        <v>718</v>
      </c>
      <c r="D492" t="s">
        <v>504</v>
      </c>
      <c r="E492" t="s">
        <v>242</v>
      </c>
      <c r="F492" t="s">
        <v>505</v>
      </c>
      <c r="G492" t="s">
        <v>506</v>
      </c>
      <c r="H492">
        <v>388.3</v>
      </c>
      <c r="I492">
        <v>0</v>
      </c>
      <c r="J492">
        <v>120</v>
      </c>
      <c r="K492">
        <v>6666.26</v>
      </c>
      <c r="L492">
        <v>0</v>
      </c>
      <c r="M492">
        <v>250</v>
      </c>
      <c r="N492">
        <v>300</v>
      </c>
      <c r="O492">
        <v>0</v>
      </c>
      <c r="P492">
        <v>4529.7700000000004</v>
      </c>
      <c r="Q492">
        <v>30</v>
      </c>
      <c r="R492">
        <v>0</v>
      </c>
      <c r="S492">
        <v>12199.26</v>
      </c>
      <c r="T492">
        <v>11271.82</v>
      </c>
      <c r="U492">
        <v>0</v>
      </c>
      <c r="V492">
        <v>171.64</v>
      </c>
      <c r="W492">
        <v>4454.25</v>
      </c>
      <c r="X492">
        <v>0</v>
      </c>
      <c r="Y492">
        <v>342.49</v>
      </c>
      <c r="Z492">
        <v>1592.78</v>
      </c>
      <c r="AA492">
        <v>50</v>
      </c>
      <c r="AB492">
        <v>150</v>
      </c>
      <c r="AC492">
        <v>45</v>
      </c>
      <c r="AD492">
        <v>0</v>
      </c>
      <c r="AE492">
        <v>0</v>
      </c>
      <c r="AF492">
        <v>129.05000000000001</v>
      </c>
      <c r="AG492">
        <v>1351</v>
      </c>
      <c r="AH492">
        <v>0</v>
      </c>
      <c r="AI492">
        <v>3962.89</v>
      </c>
      <c r="AJ492">
        <v>333.91</v>
      </c>
      <c r="AQ492">
        <v>48338.42</v>
      </c>
      <c r="AR492">
        <v>0.84840000000000004</v>
      </c>
      <c r="AS492">
        <v>41010.315527999999</v>
      </c>
    </row>
    <row r="493" spans="1:45" hidden="1">
      <c r="A493" t="s">
        <v>30</v>
      </c>
      <c r="B493" t="s">
        <v>741</v>
      </c>
      <c r="C493" t="s">
        <v>719</v>
      </c>
      <c r="D493" t="s">
        <v>501</v>
      </c>
      <c r="E493" t="s">
        <v>242</v>
      </c>
      <c r="F493" t="s">
        <v>502</v>
      </c>
      <c r="G493" t="s">
        <v>503</v>
      </c>
      <c r="H493">
        <v>0</v>
      </c>
      <c r="I493">
        <v>0</v>
      </c>
      <c r="J493">
        <v>0</v>
      </c>
      <c r="K493">
        <v>0</v>
      </c>
      <c r="L493">
        <v>0</v>
      </c>
      <c r="M493">
        <v>0</v>
      </c>
      <c r="N493">
        <v>0</v>
      </c>
      <c r="O493">
        <v>0</v>
      </c>
      <c r="P493">
        <v>0</v>
      </c>
      <c r="Q493">
        <v>0</v>
      </c>
      <c r="R493">
        <v>0</v>
      </c>
      <c r="S493">
        <v>2</v>
      </c>
      <c r="T493">
        <v>0</v>
      </c>
      <c r="U493">
        <v>0</v>
      </c>
      <c r="V493">
        <v>0</v>
      </c>
      <c r="W493">
        <v>0</v>
      </c>
      <c r="X493">
        <v>0</v>
      </c>
      <c r="Y493">
        <v>0</v>
      </c>
      <c r="Z493">
        <v>0</v>
      </c>
      <c r="AA493">
        <v>0</v>
      </c>
      <c r="AB493">
        <v>0</v>
      </c>
      <c r="AC493">
        <v>0</v>
      </c>
      <c r="AD493">
        <v>0</v>
      </c>
      <c r="AE493">
        <v>0</v>
      </c>
      <c r="AF493">
        <v>0</v>
      </c>
      <c r="AG493">
        <v>0</v>
      </c>
      <c r="AH493">
        <v>0</v>
      </c>
      <c r="AI493">
        <v>0</v>
      </c>
      <c r="AJ493">
        <v>0</v>
      </c>
      <c r="AQ493">
        <v>2</v>
      </c>
      <c r="AR493">
        <v>1272.5999999999999</v>
      </c>
      <c r="AS493">
        <v>2545.1999999999998</v>
      </c>
    </row>
    <row r="494" spans="1:45" hidden="1">
      <c r="A494" t="s">
        <v>30</v>
      </c>
      <c r="B494" t="s">
        <v>741</v>
      </c>
      <c r="C494" t="s">
        <v>720</v>
      </c>
      <c r="D494" t="s">
        <v>518</v>
      </c>
      <c r="E494" t="s">
        <v>242</v>
      </c>
      <c r="F494" t="s">
        <v>519</v>
      </c>
      <c r="G494" t="s">
        <v>517</v>
      </c>
      <c r="H494">
        <v>0</v>
      </c>
      <c r="I494">
        <v>0</v>
      </c>
      <c r="J494">
        <v>0</v>
      </c>
      <c r="K494">
        <v>0</v>
      </c>
      <c r="L494">
        <v>0</v>
      </c>
      <c r="M494">
        <v>0</v>
      </c>
      <c r="N494">
        <v>0</v>
      </c>
      <c r="O494">
        <v>0</v>
      </c>
      <c r="P494">
        <v>0</v>
      </c>
      <c r="Q494">
        <v>0</v>
      </c>
      <c r="R494">
        <v>0</v>
      </c>
      <c r="S494">
        <v>1</v>
      </c>
      <c r="T494">
        <v>0</v>
      </c>
      <c r="U494">
        <v>0</v>
      </c>
      <c r="V494">
        <v>0</v>
      </c>
      <c r="W494">
        <v>0</v>
      </c>
      <c r="X494">
        <v>0</v>
      </c>
      <c r="Y494">
        <v>0</v>
      </c>
      <c r="Z494">
        <v>0</v>
      </c>
      <c r="AA494">
        <v>0</v>
      </c>
      <c r="AB494">
        <v>0</v>
      </c>
      <c r="AC494">
        <v>0</v>
      </c>
      <c r="AD494">
        <v>0</v>
      </c>
      <c r="AE494">
        <v>0</v>
      </c>
      <c r="AF494">
        <v>0</v>
      </c>
      <c r="AG494">
        <v>0</v>
      </c>
      <c r="AH494">
        <v>0</v>
      </c>
      <c r="AI494">
        <v>0</v>
      </c>
      <c r="AJ494">
        <v>0</v>
      </c>
      <c r="AQ494">
        <v>1</v>
      </c>
      <c r="AR494">
        <v>3181.5</v>
      </c>
      <c r="AS494">
        <v>3181.5</v>
      </c>
    </row>
    <row r="495" spans="1:45" hidden="1">
      <c r="A495" t="s">
        <v>30</v>
      </c>
      <c r="B495" t="s">
        <v>741</v>
      </c>
      <c r="C495" t="s">
        <v>721</v>
      </c>
      <c r="D495" t="s">
        <v>520</v>
      </c>
      <c r="E495" t="s">
        <v>242</v>
      </c>
      <c r="F495" t="s">
        <v>521</v>
      </c>
      <c r="G495" t="s">
        <v>517</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c r="AE495">
        <v>0</v>
      </c>
      <c r="AF495">
        <v>0</v>
      </c>
      <c r="AG495">
        <v>0</v>
      </c>
      <c r="AH495">
        <v>0</v>
      </c>
      <c r="AI495">
        <v>0</v>
      </c>
      <c r="AJ495">
        <v>0</v>
      </c>
      <c r="AQ495">
        <v>0</v>
      </c>
      <c r="AR495">
        <v>2651.25</v>
      </c>
      <c r="AS495">
        <v>0</v>
      </c>
    </row>
    <row r="496" spans="1:45" hidden="1">
      <c r="A496" t="s">
        <v>30</v>
      </c>
      <c r="B496" t="s">
        <v>741</v>
      </c>
      <c r="C496" t="s">
        <v>240</v>
      </c>
      <c r="D496" t="s">
        <v>241</v>
      </c>
      <c r="E496" t="s">
        <v>242</v>
      </c>
      <c r="F496" t="s">
        <v>243</v>
      </c>
      <c r="G496" t="s">
        <v>244</v>
      </c>
      <c r="H496">
        <v>0</v>
      </c>
      <c r="I496">
        <v>0</v>
      </c>
      <c r="J496">
        <v>0</v>
      </c>
      <c r="K496">
        <v>0</v>
      </c>
      <c r="L496">
        <v>0</v>
      </c>
      <c r="M496">
        <v>0</v>
      </c>
      <c r="N496">
        <v>0</v>
      </c>
      <c r="O496">
        <v>0</v>
      </c>
      <c r="P496">
        <v>2</v>
      </c>
      <c r="Q496">
        <v>0</v>
      </c>
      <c r="R496">
        <v>0</v>
      </c>
      <c r="S496">
        <v>10</v>
      </c>
      <c r="T496">
        <v>0</v>
      </c>
      <c r="U496">
        <v>0</v>
      </c>
      <c r="V496">
        <v>0</v>
      </c>
      <c r="W496">
        <v>0</v>
      </c>
      <c r="X496">
        <v>0</v>
      </c>
      <c r="Y496">
        <v>0</v>
      </c>
      <c r="Z496">
        <v>1</v>
      </c>
      <c r="AA496">
        <v>0</v>
      </c>
      <c r="AB496">
        <v>0</v>
      </c>
      <c r="AC496">
        <v>0</v>
      </c>
      <c r="AD496">
        <v>0</v>
      </c>
      <c r="AE496">
        <v>0</v>
      </c>
      <c r="AF496">
        <v>0</v>
      </c>
      <c r="AG496">
        <v>0</v>
      </c>
      <c r="AH496">
        <v>0</v>
      </c>
      <c r="AI496">
        <v>0</v>
      </c>
      <c r="AJ496">
        <v>0</v>
      </c>
      <c r="AQ496">
        <v>13</v>
      </c>
      <c r="AR496">
        <v>318.14999999999998</v>
      </c>
      <c r="AS496">
        <v>4135.95</v>
      </c>
    </row>
    <row r="497" spans="1:45" hidden="1">
      <c r="A497" t="s">
        <v>30</v>
      </c>
      <c r="B497" t="s">
        <v>741</v>
      </c>
      <c r="C497" t="s">
        <v>245</v>
      </c>
      <c r="D497" t="s">
        <v>246</v>
      </c>
      <c r="E497" t="s">
        <v>242</v>
      </c>
      <c r="F497" t="s">
        <v>247</v>
      </c>
      <c r="G497" t="s">
        <v>248</v>
      </c>
      <c r="H497">
        <v>1</v>
      </c>
      <c r="I497">
        <v>0</v>
      </c>
      <c r="J497">
        <v>0</v>
      </c>
      <c r="K497">
        <v>6</v>
      </c>
      <c r="L497">
        <v>0</v>
      </c>
      <c r="M497">
        <v>0</v>
      </c>
      <c r="N497">
        <v>0</v>
      </c>
      <c r="O497">
        <v>0</v>
      </c>
      <c r="P497">
        <v>2</v>
      </c>
      <c r="Q497">
        <v>0</v>
      </c>
      <c r="R497">
        <v>0</v>
      </c>
      <c r="S497">
        <v>5</v>
      </c>
      <c r="T497">
        <v>2</v>
      </c>
      <c r="U497">
        <v>2</v>
      </c>
      <c r="V497">
        <v>1</v>
      </c>
      <c r="W497">
        <v>2</v>
      </c>
      <c r="X497">
        <v>0</v>
      </c>
      <c r="Y497">
        <v>1</v>
      </c>
      <c r="Z497">
        <v>2</v>
      </c>
      <c r="AA497">
        <v>0</v>
      </c>
      <c r="AB497">
        <v>0</v>
      </c>
      <c r="AC497">
        <v>0</v>
      </c>
      <c r="AD497">
        <v>0</v>
      </c>
      <c r="AE497">
        <v>3</v>
      </c>
      <c r="AF497">
        <v>0</v>
      </c>
      <c r="AG497">
        <v>0</v>
      </c>
      <c r="AH497">
        <v>0</v>
      </c>
      <c r="AI497">
        <v>2</v>
      </c>
      <c r="AJ497">
        <v>0</v>
      </c>
      <c r="AQ497">
        <v>29</v>
      </c>
      <c r="AR497">
        <v>265.125</v>
      </c>
      <c r="AS497">
        <v>7688.625</v>
      </c>
    </row>
    <row r="498" spans="1:45" hidden="1">
      <c r="A498" t="s">
        <v>30</v>
      </c>
      <c r="B498" t="s">
        <v>741</v>
      </c>
      <c r="C498" t="s">
        <v>259</v>
      </c>
      <c r="D498" t="s">
        <v>260</v>
      </c>
      <c r="E498" t="s">
        <v>242</v>
      </c>
      <c r="F498" t="s">
        <v>261</v>
      </c>
      <c r="G498" t="s">
        <v>262</v>
      </c>
      <c r="H498">
        <v>0</v>
      </c>
      <c r="I498">
        <v>0</v>
      </c>
      <c r="J498">
        <v>0</v>
      </c>
      <c r="K498">
        <v>4</v>
      </c>
      <c r="L498">
        <v>0</v>
      </c>
      <c r="M498">
        <v>0</v>
      </c>
      <c r="N498">
        <v>4</v>
      </c>
      <c r="O498">
        <v>0</v>
      </c>
      <c r="P498">
        <v>12</v>
      </c>
      <c r="Q498">
        <v>0</v>
      </c>
      <c r="R498">
        <v>0</v>
      </c>
      <c r="S498">
        <v>52</v>
      </c>
      <c r="T498">
        <v>0</v>
      </c>
      <c r="U498">
        <v>0</v>
      </c>
      <c r="V498">
        <v>0</v>
      </c>
      <c r="W498">
        <v>0</v>
      </c>
      <c r="X498">
        <v>0</v>
      </c>
      <c r="Y498">
        <v>2</v>
      </c>
      <c r="Z498">
        <v>2</v>
      </c>
      <c r="AA498">
        <v>0</v>
      </c>
      <c r="AB498">
        <v>0</v>
      </c>
      <c r="AC498">
        <v>0</v>
      </c>
      <c r="AD498">
        <v>0</v>
      </c>
      <c r="AE498">
        <v>12</v>
      </c>
      <c r="AF498">
        <v>0</v>
      </c>
      <c r="AG498">
        <v>0</v>
      </c>
      <c r="AH498">
        <v>0</v>
      </c>
      <c r="AI498">
        <v>1</v>
      </c>
      <c r="AJ498">
        <v>0</v>
      </c>
      <c r="AQ498">
        <v>89</v>
      </c>
      <c r="AR498">
        <v>318.14999999999998</v>
      </c>
      <c r="AS498">
        <v>28315.35</v>
      </c>
    </row>
    <row r="499" spans="1:45" hidden="1">
      <c r="A499" t="s">
        <v>30</v>
      </c>
      <c r="B499" t="s">
        <v>741</v>
      </c>
      <c r="C499" t="s">
        <v>722</v>
      </c>
      <c r="D499" t="s">
        <v>507</v>
      </c>
      <c r="E499" t="s">
        <v>242</v>
      </c>
      <c r="F499" t="s">
        <v>508</v>
      </c>
      <c r="G499" t="s">
        <v>509</v>
      </c>
      <c r="H499">
        <v>0</v>
      </c>
      <c r="I499">
        <v>0</v>
      </c>
      <c r="J499">
        <v>0</v>
      </c>
      <c r="K499">
        <v>0</v>
      </c>
      <c r="L499">
        <v>0</v>
      </c>
      <c r="M499">
        <v>0</v>
      </c>
      <c r="N499">
        <v>0</v>
      </c>
      <c r="O499">
        <v>0</v>
      </c>
      <c r="P499">
        <v>0</v>
      </c>
      <c r="Q499">
        <v>0</v>
      </c>
      <c r="R499">
        <v>0</v>
      </c>
      <c r="S499">
        <v>4</v>
      </c>
      <c r="T499">
        <v>0</v>
      </c>
      <c r="U499">
        <v>0</v>
      </c>
      <c r="V499">
        <v>0</v>
      </c>
      <c r="W499">
        <v>0</v>
      </c>
      <c r="X499">
        <v>0</v>
      </c>
      <c r="Y499">
        <v>0</v>
      </c>
      <c r="Z499">
        <v>0</v>
      </c>
      <c r="AA499">
        <v>0</v>
      </c>
      <c r="AB499">
        <v>0</v>
      </c>
      <c r="AC499">
        <v>0</v>
      </c>
      <c r="AD499">
        <v>0</v>
      </c>
      <c r="AE499">
        <v>0</v>
      </c>
      <c r="AF499">
        <v>0</v>
      </c>
      <c r="AG499">
        <v>0</v>
      </c>
      <c r="AH499">
        <v>0</v>
      </c>
      <c r="AI499">
        <v>0</v>
      </c>
      <c r="AJ499">
        <v>0</v>
      </c>
      <c r="AQ499">
        <v>4</v>
      </c>
      <c r="AR499">
        <v>2121</v>
      </c>
      <c r="AS499">
        <v>8484</v>
      </c>
    </row>
    <row r="500" spans="1:45" hidden="1">
      <c r="A500" t="s">
        <v>30</v>
      </c>
      <c r="B500" t="s">
        <v>741</v>
      </c>
      <c r="C500" t="s">
        <v>723</v>
      </c>
      <c r="D500" t="s">
        <v>510</v>
      </c>
      <c r="E500" t="s">
        <v>242</v>
      </c>
      <c r="F500" t="s">
        <v>511</v>
      </c>
      <c r="G500" t="s">
        <v>512</v>
      </c>
      <c r="H500">
        <v>0</v>
      </c>
      <c r="I500">
        <v>0</v>
      </c>
      <c r="J500">
        <v>0</v>
      </c>
      <c r="K500">
        <v>0</v>
      </c>
      <c r="L500">
        <v>0</v>
      </c>
      <c r="M500">
        <v>0</v>
      </c>
      <c r="N500">
        <v>1</v>
      </c>
      <c r="O500">
        <v>0</v>
      </c>
      <c r="P500">
        <v>7</v>
      </c>
      <c r="Q500">
        <v>1</v>
      </c>
      <c r="R500">
        <v>0</v>
      </c>
      <c r="S500">
        <v>11</v>
      </c>
      <c r="T500">
        <v>2</v>
      </c>
      <c r="U500">
        <v>0</v>
      </c>
      <c r="V500">
        <v>1</v>
      </c>
      <c r="W500">
        <v>0</v>
      </c>
      <c r="X500">
        <v>0</v>
      </c>
      <c r="Y500">
        <v>0</v>
      </c>
      <c r="Z500">
        <v>1</v>
      </c>
      <c r="AA500">
        <v>0</v>
      </c>
      <c r="AB500">
        <v>0</v>
      </c>
      <c r="AC500">
        <v>0</v>
      </c>
      <c r="AD500">
        <v>0</v>
      </c>
      <c r="AE500">
        <v>7</v>
      </c>
      <c r="AF500">
        <v>0</v>
      </c>
      <c r="AG500">
        <v>0</v>
      </c>
      <c r="AH500">
        <v>0</v>
      </c>
      <c r="AI500">
        <v>0</v>
      </c>
      <c r="AJ500">
        <v>0</v>
      </c>
      <c r="AQ500">
        <v>31</v>
      </c>
      <c r="AR500">
        <v>212.1</v>
      </c>
      <c r="AS500">
        <v>6575.1</v>
      </c>
    </row>
    <row r="501" spans="1:45" hidden="1">
      <c r="A501" t="s">
        <v>30</v>
      </c>
      <c r="B501" t="s">
        <v>741</v>
      </c>
      <c r="C501" t="s">
        <v>724</v>
      </c>
      <c r="D501" t="s">
        <v>526</v>
      </c>
      <c r="E501" t="s">
        <v>242</v>
      </c>
      <c r="F501" t="s">
        <v>527</v>
      </c>
      <c r="G501" t="s">
        <v>528</v>
      </c>
      <c r="H501">
        <v>519.80999999999995</v>
      </c>
      <c r="I501">
        <v>0</v>
      </c>
      <c r="J501">
        <v>35.119999999999997</v>
      </c>
      <c r="K501">
        <v>1100</v>
      </c>
      <c r="L501">
        <v>300</v>
      </c>
      <c r="M501">
        <v>0</v>
      </c>
      <c r="N501">
        <v>0</v>
      </c>
      <c r="O501">
        <v>400</v>
      </c>
      <c r="P501">
        <v>3990.21</v>
      </c>
      <c r="Q501">
        <v>484.28</v>
      </c>
      <c r="R501">
        <v>0</v>
      </c>
      <c r="S501">
        <v>13197.18</v>
      </c>
      <c r="T501">
        <v>15000</v>
      </c>
      <c r="U501">
        <v>0</v>
      </c>
      <c r="V501">
        <v>120.24</v>
      </c>
      <c r="W501">
        <v>750</v>
      </c>
      <c r="X501">
        <v>1020.98</v>
      </c>
      <c r="Y501">
        <v>2.8</v>
      </c>
      <c r="Z501">
        <v>0</v>
      </c>
      <c r="AA501">
        <v>0</v>
      </c>
      <c r="AB501">
        <v>300</v>
      </c>
      <c r="AC501">
        <v>0</v>
      </c>
      <c r="AD501">
        <v>0</v>
      </c>
      <c r="AE501">
        <v>65000</v>
      </c>
      <c r="AF501">
        <v>2700</v>
      </c>
      <c r="AG501">
        <v>1024.51</v>
      </c>
      <c r="AH501">
        <v>0</v>
      </c>
      <c r="AI501">
        <v>5035.95</v>
      </c>
      <c r="AJ501">
        <v>1064.58</v>
      </c>
      <c r="AQ501">
        <v>112045.66</v>
      </c>
      <c r="AR501">
        <v>0.42420000000000002</v>
      </c>
      <c r="AS501">
        <v>47529.768971999998</v>
      </c>
    </row>
    <row r="502" spans="1:45" hidden="1">
      <c r="A502" t="s">
        <v>30</v>
      </c>
      <c r="B502" t="s">
        <v>741</v>
      </c>
      <c r="C502" t="s">
        <v>725</v>
      </c>
      <c r="D502" t="s">
        <v>529</v>
      </c>
      <c r="E502" t="s">
        <v>242</v>
      </c>
      <c r="F502" t="s">
        <v>530</v>
      </c>
      <c r="G502" t="s">
        <v>531</v>
      </c>
      <c r="H502">
        <v>0</v>
      </c>
      <c r="I502">
        <v>0</v>
      </c>
      <c r="J502">
        <v>0</v>
      </c>
      <c r="K502">
        <v>0</v>
      </c>
      <c r="L502">
        <v>0</v>
      </c>
      <c r="M502">
        <v>0</v>
      </c>
      <c r="N502">
        <v>0</v>
      </c>
      <c r="O502">
        <v>0</v>
      </c>
      <c r="P502">
        <v>0</v>
      </c>
      <c r="Q502">
        <v>0</v>
      </c>
      <c r="R502">
        <v>0</v>
      </c>
      <c r="S502">
        <v>1</v>
      </c>
      <c r="T502">
        <v>0</v>
      </c>
      <c r="U502">
        <v>0</v>
      </c>
      <c r="V502">
        <v>0</v>
      </c>
      <c r="W502">
        <v>0</v>
      </c>
      <c r="X502">
        <v>0</v>
      </c>
      <c r="Y502">
        <v>0</v>
      </c>
      <c r="Z502">
        <v>0</v>
      </c>
      <c r="AA502">
        <v>0</v>
      </c>
      <c r="AB502">
        <v>0</v>
      </c>
      <c r="AC502">
        <v>0</v>
      </c>
      <c r="AD502">
        <v>0</v>
      </c>
      <c r="AE502">
        <v>0</v>
      </c>
      <c r="AF502">
        <v>0</v>
      </c>
      <c r="AG502">
        <v>0</v>
      </c>
      <c r="AH502">
        <v>0</v>
      </c>
      <c r="AI502">
        <v>0</v>
      </c>
      <c r="AJ502">
        <v>0</v>
      </c>
      <c r="AQ502">
        <v>1</v>
      </c>
      <c r="AR502">
        <v>212.1</v>
      </c>
      <c r="AS502">
        <v>212.1</v>
      </c>
    </row>
    <row r="503" spans="1:45" hidden="1">
      <c r="A503" t="s">
        <v>30</v>
      </c>
      <c r="B503" t="s">
        <v>741</v>
      </c>
      <c r="C503" t="s">
        <v>726</v>
      </c>
      <c r="D503" t="s">
        <v>532</v>
      </c>
      <c r="E503" t="s">
        <v>242</v>
      </c>
      <c r="F503" t="s">
        <v>533</v>
      </c>
      <c r="G503" t="s">
        <v>534</v>
      </c>
      <c r="H503">
        <v>1</v>
      </c>
      <c r="I503">
        <v>0</v>
      </c>
      <c r="J503">
        <v>6</v>
      </c>
      <c r="K503">
        <v>8</v>
      </c>
      <c r="L503">
        <v>0</v>
      </c>
      <c r="M503">
        <v>0</v>
      </c>
      <c r="N503">
        <v>0</v>
      </c>
      <c r="O503">
        <v>0</v>
      </c>
      <c r="P503">
        <v>33</v>
      </c>
      <c r="Q503">
        <v>0</v>
      </c>
      <c r="R503">
        <v>0</v>
      </c>
      <c r="S503">
        <v>100</v>
      </c>
      <c r="T503">
        <v>122</v>
      </c>
      <c r="U503">
        <v>0</v>
      </c>
      <c r="V503">
        <v>0</v>
      </c>
      <c r="W503">
        <v>11</v>
      </c>
      <c r="X503">
        <v>0</v>
      </c>
      <c r="Y503">
        <v>0</v>
      </c>
      <c r="Z503">
        <v>0</v>
      </c>
      <c r="AA503">
        <v>0</v>
      </c>
      <c r="AB503">
        <v>0</v>
      </c>
      <c r="AC503">
        <v>0</v>
      </c>
      <c r="AD503">
        <v>0</v>
      </c>
      <c r="AE503">
        <v>1541</v>
      </c>
      <c r="AF503">
        <v>18</v>
      </c>
      <c r="AG503">
        <v>0</v>
      </c>
      <c r="AH503">
        <v>0</v>
      </c>
      <c r="AI503">
        <v>33</v>
      </c>
      <c r="AJ503">
        <v>6</v>
      </c>
      <c r="AQ503">
        <v>1879</v>
      </c>
      <c r="AR503">
        <v>21.21</v>
      </c>
      <c r="AS503">
        <v>39853.589999999997</v>
      </c>
    </row>
    <row r="504" spans="1:45" hidden="1">
      <c r="A504" t="s">
        <v>30</v>
      </c>
      <c r="B504" t="s">
        <v>741</v>
      </c>
      <c r="C504" t="s">
        <v>727</v>
      </c>
      <c r="D504" t="s">
        <v>287</v>
      </c>
      <c r="E504" t="s">
        <v>242</v>
      </c>
      <c r="F504" t="s">
        <v>537</v>
      </c>
      <c r="G504" t="s">
        <v>538</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c r="AE504">
        <v>0</v>
      </c>
      <c r="AF504">
        <v>0</v>
      </c>
      <c r="AG504">
        <v>0</v>
      </c>
      <c r="AH504">
        <v>0</v>
      </c>
      <c r="AI504">
        <v>0</v>
      </c>
      <c r="AJ504">
        <v>0</v>
      </c>
      <c r="AQ504">
        <v>0</v>
      </c>
      <c r="AR504">
        <v>127.26</v>
      </c>
      <c r="AS504">
        <v>0</v>
      </c>
    </row>
    <row r="505" spans="1:45" hidden="1">
      <c r="A505" t="s">
        <v>30</v>
      </c>
      <c r="B505" t="s">
        <v>741</v>
      </c>
      <c r="C505" t="s">
        <v>728</v>
      </c>
      <c r="D505" t="s">
        <v>287</v>
      </c>
      <c r="E505" t="s">
        <v>242</v>
      </c>
      <c r="F505" t="s">
        <v>535</v>
      </c>
      <c r="G505" t="s">
        <v>536</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c r="AE505">
        <v>0</v>
      </c>
      <c r="AF505">
        <v>0</v>
      </c>
      <c r="AG505">
        <v>0</v>
      </c>
      <c r="AH505">
        <v>0</v>
      </c>
      <c r="AI505">
        <v>0</v>
      </c>
      <c r="AJ505">
        <v>0</v>
      </c>
      <c r="AQ505">
        <v>0</v>
      </c>
      <c r="AR505">
        <v>424.2</v>
      </c>
      <c r="AS505">
        <v>0</v>
      </c>
    </row>
    <row r="506" spans="1:45" hidden="1">
      <c r="A506" t="s">
        <v>30</v>
      </c>
      <c r="B506" t="s">
        <v>741</v>
      </c>
      <c r="C506" t="s">
        <v>729</v>
      </c>
      <c r="D506" t="s">
        <v>522</v>
      </c>
      <c r="E506" t="s">
        <v>242</v>
      </c>
      <c r="F506" t="s">
        <v>523</v>
      </c>
      <c r="G506" t="s">
        <v>517</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c r="AE506">
        <v>0</v>
      </c>
      <c r="AF506">
        <v>0</v>
      </c>
      <c r="AG506">
        <v>0</v>
      </c>
      <c r="AH506">
        <v>0</v>
      </c>
      <c r="AI506">
        <v>0</v>
      </c>
      <c r="AJ506">
        <v>0</v>
      </c>
      <c r="AQ506">
        <v>0</v>
      </c>
      <c r="AR506">
        <v>1272.5999999999999</v>
      </c>
      <c r="AS506">
        <v>0</v>
      </c>
    </row>
    <row r="507" spans="1:45" hidden="1">
      <c r="A507" t="s">
        <v>30</v>
      </c>
      <c r="B507" t="s">
        <v>741</v>
      </c>
      <c r="C507" t="s">
        <v>730</v>
      </c>
      <c r="D507" t="s">
        <v>515</v>
      </c>
      <c r="E507" t="s">
        <v>242</v>
      </c>
      <c r="F507" t="s">
        <v>516</v>
      </c>
      <c r="G507" t="s">
        <v>517</v>
      </c>
      <c r="H507">
        <v>0</v>
      </c>
      <c r="I507">
        <v>0</v>
      </c>
      <c r="J507">
        <v>0</v>
      </c>
      <c r="K507">
        <v>0</v>
      </c>
      <c r="L507">
        <v>0</v>
      </c>
      <c r="M507">
        <v>0</v>
      </c>
      <c r="N507">
        <v>0</v>
      </c>
      <c r="O507">
        <v>0</v>
      </c>
      <c r="P507">
        <v>0</v>
      </c>
      <c r="Q507">
        <v>0</v>
      </c>
      <c r="R507">
        <v>0</v>
      </c>
      <c r="S507">
        <v>1</v>
      </c>
      <c r="T507">
        <v>0</v>
      </c>
      <c r="U507">
        <v>0</v>
      </c>
      <c r="V507">
        <v>0</v>
      </c>
      <c r="W507">
        <v>0</v>
      </c>
      <c r="X507">
        <v>0</v>
      </c>
      <c r="Y507">
        <v>0</v>
      </c>
      <c r="Z507">
        <v>0</v>
      </c>
      <c r="AA507">
        <v>0</v>
      </c>
      <c r="AB507">
        <v>0</v>
      </c>
      <c r="AC507">
        <v>0</v>
      </c>
      <c r="AD507">
        <v>0</v>
      </c>
      <c r="AE507">
        <v>0</v>
      </c>
      <c r="AF507">
        <v>0</v>
      </c>
      <c r="AG507">
        <v>0</v>
      </c>
      <c r="AH507">
        <v>0</v>
      </c>
      <c r="AI507">
        <v>0</v>
      </c>
      <c r="AJ507">
        <v>0</v>
      </c>
      <c r="AQ507">
        <v>1</v>
      </c>
      <c r="AR507">
        <v>3181.5</v>
      </c>
      <c r="AS507">
        <v>3181.5</v>
      </c>
    </row>
    <row r="508" spans="1:45" hidden="1">
      <c r="A508" t="s">
        <v>30</v>
      </c>
      <c r="B508" t="s">
        <v>741</v>
      </c>
      <c r="C508" t="s">
        <v>731</v>
      </c>
      <c r="D508" t="s">
        <v>524</v>
      </c>
      <c r="E508" t="s">
        <v>242</v>
      </c>
      <c r="F508" t="s">
        <v>525</v>
      </c>
      <c r="G508" t="s">
        <v>503</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c r="AE508">
        <v>0</v>
      </c>
      <c r="AF508">
        <v>0</v>
      </c>
      <c r="AG508">
        <v>0</v>
      </c>
      <c r="AH508">
        <v>0</v>
      </c>
      <c r="AI508">
        <v>0</v>
      </c>
      <c r="AJ508">
        <v>0</v>
      </c>
      <c r="AQ508">
        <v>0</v>
      </c>
      <c r="AR508">
        <v>15907.5</v>
      </c>
      <c r="AS508">
        <v>0</v>
      </c>
    </row>
    <row r="509" spans="1:45" hidden="1">
      <c r="A509" t="s">
        <v>30</v>
      </c>
      <c r="B509" t="s">
        <v>741</v>
      </c>
      <c r="C509" t="s">
        <v>732</v>
      </c>
      <c r="D509" t="s">
        <v>513</v>
      </c>
      <c r="E509" t="s">
        <v>242</v>
      </c>
      <c r="F509" t="s">
        <v>514</v>
      </c>
      <c r="G509" t="s">
        <v>453</v>
      </c>
      <c r="H509">
        <v>0</v>
      </c>
      <c r="I509">
        <v>0</v>
      </c>
      <c r="J509">
        <v>0</v>
      </c>
      <c r="K509">
        <v>0</v>
      </c>
      <c r="L509">
        <v>0</v>
      </c>
      <c r="M509">
        <v>0</v>
      </c>
      <c r="N509">
        <v>0</v>
      </c>
      <c r="O509">
        <v>0</v>
      </c>
      <c r="P509">
        <v>0</v>
      </c>
      <c r="Q509">
        <v>0</v>
      </c>
      <c r="R509">
        <v>0</v>
      </c>
      <c r="S509">
        <v>1</v>
      </c>
      <c r="T509">
        <v>0</v>
      </c>
      <c r="U509">
        <v>0</v>
      </c>
      <c r="V509">
        <v>0</v>
      </c>
      <c r="W509">
        <v>0</v>
      </c>
      <c r="X509">
        <v>0</v>
      </c>
      <c r="Y509">
        <v>0</v>
      </c>
      <c r="Z509">
        <v>0</v>
      </c>
      <c r="AA509">
        <v>0</v>
      </c>
      <c r="AB509">
        <v>0</v>
      </c>
      <c r="AC509">
        <v>0</v>
      </c>
      <c r="AD509">
        <v>0</v>
      </c>
      <c r="AE509">
        <v>0</v>
      </c>
      <c r="AF509">
        <v>0</v>
      </c>
      <c r="AG509">
        <v>0</v>
      </c>
      <c r="AH509">
        <v>0</v>
      </c>
      <c r="AI509">
        <v>0</v>
      </c>
      <c r="AJ509">
        <v>0</v>
      </c>
      <c r="AQ509">
        <v>1</v>
      </c>
      <c r="AR509">
        <v>848.4</v>
      </c>
      <c r="AS509">
        <v>848.4</v>
      </c>
    </row>
    <row r="510" spans="1:45" hidden="1">
      <c r="A510" t="s">
        <v>30</v>
      </c>
      <c r="B510" t="s">
        <v>741</v>
      </c>
      <c r="C510" t="s">
        <v>733</v>
      </c>
      <c r="D510" t="s">
        <v>287</v>
      </c>
      <c r="E510" t="s">
        <v>242</v>
      </c>
      <c r="F510" t="s">
        <v>539</v>
      </c>
      <c r="G510" t="s">
        <v>540</v>
      </c>
      <c r="H510">
        <v>35.700000000000003</v>
      </c>
      <c r="I510">
        <v>41.04</v>
      </c>
      <c r="J510">
        <v>51.9</v>
      </c>
      <c r="K510">
        <v>897</v>
      </c>
      <c r="L510">
        <v>36</v>
      </c>
      <c r="M510">
        <v>66</v>
      </c>
      <c r="N510">
        <v>202.5</v>
      </c>
      <c r="O510">
        <v>0</v>
      </c>
      <c r="P510">
        <v>1112.0999999999999</v>
      </c>
      <c r="Q510">
        <v>21.72</v>
      </c>
      <c r="R510">
        <v>7.2</v>
      </c>
      <c r="S510">
        <v>3288.12</v>
      </c>
      <c r="T510">
        <v>570</v>
      </c>
      <c r="U510">
        <v>100.38</v>
      </c>
      <c r="V510">
        <v>25.56</v>
      </c>
      <c r="W510">
        <v>0</v>
      </c>
      <c r="X510">
        <v>0</v>
      </c>
      <c r="Y510">
        <v>242.88</v>
      </c>
      <c r="Z510">
        <v>155.52000000000001</v>
      </c>
      <c r="AA510">
        <v>25.02</v>
      </c>
      <c r="AB510">
        <v>24</v>
      </c>
      <c r="AC510">
        <v>13.8</v>
      </c>
      <c r="AD510">
        <v>8.6999999999999993</v>
      </c>
      <c r="AE510">
        <v>5467.38</v>
      </c>
      <c r="AF510">
        <v>41.85</v>
      </c>
      <c r="AG510">
        <v>170.58</v>
      </c>
      <c r="AH510">
        <v>39</v>
      </c>
      <c r="AI510">
        <v>248.76</v>
      </c>
      <c r="AJ510">
        <v>38.159999999999997</v>
      </c>
      <c r="AQ510">
        <v>12930.87</v>
      </c>
      <c r="AR510">
        <v>8.08</v>
      </c>
      <c r="AS510">
        <v>104481.4296</v>
      </c>
    </row>
    <row r="511" spans="1:45" hidden="1">
      <c r="A511" t="s">
        <v>30</v>
      </c>
      <c r="B511" t="s">
        <v>741</v>
      </c>
      <c r="C511" t="s">
        <v>734</v>
      </c>
      <c r="D511" t="s">
        <v>287</v>
      </c>
      <c r="E511" t="s">
        <v>242</v>
      </c>
      <c r="F511" t="s">
        <v>541</v>
      </c>
      <c r="G511" t="s">
        <v>540</v>
      </c>
      <c r="H511">
        <v>17.850000000000001</v>
      </c>
      <c r="I511">
        <v>20.52</v>
      </c>
      <c r="J511">
        <v>25.95</v>
      </c>
      <c r="K511">
        <v>448.5</v>
      </c>
      <c r="L511">
        <v>18</v>
      </c>
      <c r="M511">
        <v>33</v>
      </c>
      <c r="N511">
        <v>101.25</v>
      </c>
      <c r="O511">
        <v>0</v>
      </c>
      <c r="P511">
        <v>556.04999999999995</v>
      </c>
      <c r="Q511">
        <v>10.86</v>
      </c>
      <c r="R511">
        <v>3.6</v>
      </c>
      <c r="S511">
        <v>1644.06</v>
      </c>
      <c r="T511">
        <v>285</v>
      </c>
      <c r="U511">
        <v>50.19</v>
      </c>
      <c r="V511">
        <v>12.78</v>
      </c>
      <c r="W511">
        <v>0</v>
      </c>
      <c r="X511">
        <v>0</v>
      </c>
      <c r="Y511">
        <v>121.44</v>
      </c>
      <c r="Z511">
        <v>77.760000000000005</v>
      </c>
      <c r="AA511">
        <v>12.51</v>
      </c>
      <c r="AB511">
        <v>12</v>
      </c>
      <c r="AC511">
        <v>6.9</v>
      </c>
      <c r="AD511">
        <v>4.3499999999999996</v>
      </c>
      <c r="AE511">
        <v>2733.69</v>
      </c>
      <c r="AF511">
        <v>41.85</v>
      </c>
      <c r="AG511">
        <v>85.29</v>
      </c>
      <c r="AH511">
        <v>19.5</v>
      </c>
      <c r="AI511">
        <v>124.38</v>
      </c>
      <c r="AJ511">
        <v>19.079999999999998</v>
      </c>
      <c r="AQ511">
        <v>6486.36</v>
      </c>
      <c r="AR511">
        <v>7.4740000000000002</v>
      </c>
      <c r="AS511">
        <v>48479.054640000002</v>
      </c>
    </row>
    <row r="512" spans="1:45" hidden="1">
      <c r="A512" t="s">
        <v>30</v>
      </c>
      <c r="B512" t="s">
        <v>741</v>
      </c>
      <c r="C512" t="s">
        <v>735</v>
      </c>
      <c r="D512" t="s">
        <v>543</v>
      </c>
      <c r="E512" t="s">
        <v>542</v>
      </c>
      <c r="F512" t="s">
        <v>544</v>
      </c>
      <c r="G512" t="s">
        <v>545</v>
      </c>
      <c r="H512">
        <v>600</v>
      </c>
      <c r="I512">
        <v>0</v>
      </c>
      <c r="J512">
        <v>300</v>
      </c>
      <c r="K512">
        <v>1500</v>
      </c>
      <c r="L512">
        <v>300</v>
      </c>
      <c r="M512">
        <v>0</v>
      </c>
      <c r="N512">
        <v>300</v>
      </c>
      <c r="O512">
        <v>0</v>
      </c>
      <c r="P512">
        <v>2000</v>
      </c>
      <c r="Q512">
        <v>300</v>
      </c>
      <c r="R512">
        <v>0</v>
      </c>
      <c r="S512">
        <v>4000</v>
      </c>
      <c r="T512">
        <v>1000</v>
      </c>
      <c r="U512">
        <v>0</v>
      </c>
      <c r="V512">
        <v>300</v>
      </c>
      <c r="W512">
        <v>300</v>
      </c>
      <c r="X512">
        <v>300</v>
      </c>
      <c r="Y512">
        <v>300</v>
      </c>
      <c r="Z512">
        <v>200</v>
      </c>
      <c r="AA512">
        <v>0</v>
      </c>
      <c r="AB512">
        <v>100</v>
      </c>
      <c r="AC512">
        <v>0</v>
      </c>
      <c r="AD512">
        <v>0</v>
      </c>
      <c r="AE512">
        <v>6000</v>
      </c>
      <c r="AF512">
        <v>100</v>
      </c>
      <c r="AG512">
        <v>2000</v>
      </c>
      <c r="AH512">
        <v>0</v>
      </c>
      <c r="AI512">
        <v>100</v>
      </c>
      <c r="AJ512">
        <v>0</v>
      </c>
      <c r="AQ512">
        <v>20000</v>
      </c>
      <c r="AR512">
        <v>20000</v>
      </c>
      <c r="AS512">
        <v>20000</v>
      </c>
    </row>
    <row r="513" spans="1:45" hidden="1">
      <c r="A513" t="s">
        <v>30</v>
      </c>
      <c r="B513" t="s">
        <v>741</v>
      </c>
      <c r="C513" t="s">
        <v>286</v>
      </c>
      <c r="D513" t="s">
        <v>287</v>
      </c>
      <c r="E513" t="s">
        <v>288</v>
      </c>
      <c r="F513" t="s">
        <v>289</v>
      </c>
      <c r="G513" t="s">
        <v>547</v>
      </c>
      <c r="AQ513">
        <v>0</v>
      </c>
      <c r="AR513">
        <v>0.05</v>
      </c>
      <c r="AS513">
        <v>283672.64304</v>
      </c>
    </row>
    <row r="514" spans="1:45" hidden="1">
      <c r="A514" t="s">
        <v>30</v>
      </c>
      <c r="B514" t="s">
        <v>741</v>
      </c>
      <c r="C514" t="s">
        <v>291</v>
      </c>
      <c r="D514" t="s">
        <v>287</v>
      </c>
      <c r="E514" t="s">
        <v>288</v>
      </c>
      <c r="F514" t="s">
        <v>292</v>
      </c>
      <c r="G514" t="s">
        <v>293</v>
      </c>
      <c r="H514">
        <v>959.15</v>
      </c>
      <c r="I514">
        <v>1149.6500000000001</v>
      </c>
      <c r="J514">
        <v>914.33</v>
      </c>
      <c r="K514">
        <v>13451.77</v>
      </c>
      <c r="L514">
        <v>483.08</v>
      </c>
      <c r="M514">
        <v>832.98</v>
      </c>
      <c r="N514">
        <v>3204.34</v>
      </c>
      <c r="O514">
        <v>0</v>
      </c>
      <c r="P514">
        <v>18259.740000000002</v>
      </c>
      <c r="Q514">
        <v>355.09</v>
      </c>
      <c r="R514">
        <v>120</v>
      </c>
      <c r="S514">
        <v>58213.45</v>
      </c>
      <c r="T514">
        <v>6794.91</v>
      </c>
      <c r="U514">
        <v>1726.96</v>
      </c>
      <c r="V514">
        <v>425.43</v>
      </c>
      <c r="W514">
        <v>0</v>
      </c>
      <c r="X514">
        <v>0</v>
      </c>
      <c r="Y514">
        <v>5076.59</v>
      </c>
      <c r="Z514">
        <v>2703.97</v>
      </c>
      <c r="AA514">
        <v>474.18</v>
      </c>
      <c r="AB514">
        <v>400</v>
      </c>
      <c r="AC514">
        <v>168.45</v>
      </c>
      <c r="AD514">
        <v>145</v>
      </c>
      <c r="AE514">
        <v>94845.25</v>
      </c>
      <c r="AF514">
        <v>0</v>
      </c>
      <c r="AG514">
        <v>4300</v>
      </c>
      <c r="AH514">
        <v>1372.1</v>
      </c>
      <c r="AI514">
        <v>21055.46</v>
      </c>
      <c r="AJ514">
        <v>1397.02</v>
      </c>
      <c r="AQ514">
        <v>238828.9</v>
      </c>
      <c r="AR514">
        <v>6.0600000000000001E-2</v>
      </c>
      <c r="AS514">
        <v>14473.03134</v>
      </c>
    </row>
    <row r="515" spans="1:45" hidden="1">
      <c r="A515" t="s">
        <v>30</v>
      </c>
      <c r="B515" t="s">
        <v>741</v>
      </c>
      <c r="C515" t="s">
        <v>736</v>
      </c>
      <c r="D515" t="s">
        <v>287</v>
      </c>
      <c r="E515" t="s">
        <v>288</v>
      </c>
      <c r="F515" t="s">
        <v>550</v>
      </c>
      <c r="G515" t="s">
        <v>293</v>
      </c>
      <c r="H515">
        <v>959.15</v>
      </c>
      <c r="I515">
        <v>1149.6500000000001</v>
      </c>
      <c r="J515">
        <v>914.33</v>
      </c>
      <c r="K515">
        <v>13451.77</v>
      </c>
      <c r="L515">
        <v>483.08</v>
      </c>
      <c r="M515">
        <v>832.98</v>
      </c>
      <c r="N515">
        <v>3204.34</v>
      </c>
      <c r="O515">
        <v>0</v>
      </c>
      <c r="P515">
        <v>18259.740000000002</v>
      </c>
      <c r="Q515">
        <v>355.09</v>
      </c>
      <c r="R515">
        <v>120</v>
      </c>
      <c r="S515">
        <v>58213.45</v>
      </c>
      <c r="T515">
        <v>6794.91</v>
      </c>
      <c r="U515">
        <v>1726.96</v>
      </c>
      <c r="V515">
        <v>425.43</v>
      </c>
      <c r="W515">
        <v>0</v>
      </c>
      <c r="X515">
        <v>0</v>
      </c>
      <c r="Y515">
        <v>5076.59</v>
      </c>
      <c r="Z515">
        <v>2703.97</v>
      </c>
      <c r="AA515">
        <v>474.18</v>
      </c>
      <c r="AB515">
        <v>400</v>
      </c>
      <c r="AC515">
        <v>168.45</v>
      </c>
      <c r="AD515">
        <v>145</v>
      </c>
      <c r="AE515">
        <v>94845.25</v>
      </c>
      <c r="AF515">
        <v>0</v>
      </c>
      <c r="AG515">
        <v>4300</v>
      </c>
      <c r="AH515">
        <v>1372.1</v>
      </c>
      <c r="AI515">
        <v>21055.46</v>
      </c>
      <c r="AJ515">
        <v>1397.02</v>
      </c>
      <c r="AQ515">
        <v>238828.9</v>
      </c>
      <c r="AR515">
        <v>5.0500000000000003E-2</v>
      </c>
      <c r="AS515">
        <v>12060.85945</v>
      </c>
    </row>
    <row r="516" spans="1:45" hidden="1">
      <c r="A516" t="s">
        <v>30</v>
      </c>
      <c r="B516" t="s">
        <v>741</v>
      </c>
      <c r="C516" t="s">
        <v>737</v>
      </c>
      <c r="D516" t="s">
        <v>287</v>
      </c>
      <c r="E516" t="s">
        <v>288</v>
      </c>
      <c r="F516" t="s">
        <v>548</v>
      </c>
      <c r="G516" t="s">
        <v>293</v>
      </c>
      <c r="H516">
        <v>959.15</v>
      </c>
      <c r="I516">
        <v>1149.6500000000001</v>
      </c>
      <c r="J516">
        <v>914.33</v>
      </c>
      <c r="K516">
        <v>13451.77</v>
      </c>
      <c r="L516">
        <v>483.08</v>
      </c>
      <c r="M516">
        <v>832.98</v>
      </c>
      <c r="N516">
        <v>3204.34</v>
      </c>
      <c r="O516">
        <v>0</v>
      </c>
      <c r="P516">
        <v>18259.740000000002</v>
      </c>
      <c r="Q516">
        <v>355.09</v>
      </c>
      <c r="R516">
        <v>120</v>
      </c>
      <c r="S516">
        <v>58213.45</v>
      </c>
      <c r="T516">
        <v>6794.91</v>
      </c>
      <c r="U516">
        <v>1726.96</v>
      </c>
      <c r="V516">
        <v>425.43</v>
      </c>
      <c r="W516">
        <v>0</v>
      </c>
      <c r="X516">
        <v>0</v>
      </c>
      <c r="Y516">
        <v>5076.59</v>
      </c>
      <c r="Z516">
        <v>2703.97</v>
      </c>
      <c r="AA516">
        <v>474.18</v>
      </c>
      <c r="AB516">
        <v>400</v>
      </c>
      <c r="AC516">
        <v>168.45</v>
      </c>
      <c r="AD516">
        <v>145</v>
      </c>
      <c r="AE516">
        <v>94845.25</v>
      </c>
      <c r="AF516">
        <v>0</v>
      </c>
      <c r="AG516">
        <v>4300</v>
      </c>
      <c r="AH516">
        <v>1372.1</v>
      </c>
      <c r="AI516">
        <v>21055.46</v>
      </c>
      <c r="AJ516">
        <v>1397.02</v>
      </c>
      <c r="AQ516">
        <v>238828.9</v>
      </c>
      <c r="AR516">
        <v>0.1111</v>
      </c>
      <c r="AS516">
        <v>26533.890790000001</v>
      </c>
    </row>
    <row r="517" spans="1:45" hidden="1">
      <c r="A517" t="s">
        <v>30</v>
      </c>
      <c r="B517" t="s">
        <v>741</v>
      </c>
      <c r="C517" t="s">
        <v>738</v>
      </c>
      <c r="D517" t="s">
        <v>287</v>
      </c>
      <c r="E517" t="s">
        <v>288</v>
      </c>
      <c r="F517" t="s">
        <v>549</v>
      </c>
      <c r="G517" t="s">
        <v>293</v>
      </c>
      <c r="H517">
        <v>959.15</v>
      </c>
      <c r="I517">
        <v>1149.6500000000001</v>
      </c>
      <c r="J517">
        <v>914.33</v>
      </c>
      <c r="K517">
        <v>13451.77</v>
      </c>
      <c r="L517">
        <v>483.08</v>
      </c>
      <c r="M517">
        <v>832.98</v>
      </c>
      <c r="N517">
        <v>3204.34</v>
      </c>
      <c r="O517">
        <v>0</v>
      </c>
      <c r="P517">
        <v>18259.740000000002</v>
      </c>
      <c r="Q517">
        <v>355.09</v>
      </c>
      <c r="R517">
        <v>120</v>
      </c>
      <c r="S517">
        <v>58213.45</v>
      </c>
      <c r="T517">
        <v>6794.91</v>
      </c>
      <c r="U517">
        <v>1726.96</v>
      </c>
      <c r="V517">
        <v>425.43</v>
      </c>
      <c r="W517">
        <v>0</v>
      </c>
      <c r="X517">
        <v>0</v>
      </c>
      <c r="Y517">
        <v>5076.59</v>
      </c>
      <c r="Z517">
        <v>2703.97</v>
      </c>
      <c r="AA517">
        <v>474.18</v>
      </c>
      <c r="AB517">
        <v>400</v>
      </c>
      <c r="AC517">
        <v>168.45</v>
      </c>
      <c r="AD517">
        <v>145</v>
      </c>
      <c r="AE517">
        <v>94845.25</v>
      </c>
      <c r="AF517">
        <v>0</v>
      </c>
      <c r="AG517">
        <v>4300</v>
      </c>
      <c r="AH517">
        <v>1372.1</v>
      </c>
      <c r="AI517">
        <v>21055.46</v>
      </c>
      <c r="AJ517">
        <v>1397.02</v>
      </c>
      <c r="AQ517">
        <v>238828.9</v>
      </c>
      <c r="AR517">
        <v>0.10100000000000001</v>
      </c>
      <c r="AS517">
        <v>24121.7189</v>
      </c>
    </row>
    <row r="518" spans="1:45" hidden="1">
      <c r="A518" t="s">
        <v>11</v>
      </c>
      <c r="B518" t="s">
        <v>739</v>
      </c>
      <c r="C518" t="s">
        <v>641</v>
      </c>
      <c r="D518" t="s">
        <v>324</v>
      </c>
      <c r="E518" t="s">
        <v>323</v>
      </c>
      <c r="F518" t="s">
        <v>325</v>
      </c>
      <c r="G518" t="s">
        <v>326</v>
      </c>
      <c r="H518">
        <v>240422</v>
      </c>
      <c r="I518">
        <v>158838</v>
      </c>
      <c r="J518">
        <v>349364</v>
      </c>
      <c r="K518">
        <v>262454</v>
      </c>
      <c r="L518">
        <v>492487</v>
      </c>
      <c r="M518">
        <v>1855993</v>
      </c>
      <c r="N518">
        <v>4524</v>
      </c>
      <c r="O518">
        <v>0</v>
      </c>
      <c r="P518">
        <v>0</v>
      </c>
      <c r="Q518">
        <v>0</v>
      </c>
      <c r="R518">
        <v>13697</v>
      </c>
      <c r="S518">
        <v>15986</v>
      </c>
      <c r="T518">
        <v>14265</v>
      </c>
      <c r="U518">
        <v>18596</v>
      </c>
      <c r="V518">
        <v>6675</v>
      </c>
      <c r="W518">
        <v>0</v>
      </c>
      <c r="X518">
        <v>8265</v>
      </c>
      <c r="Y518">
        <v>0</v>
      </c>
      <c r="Z518">
        <v>6950</v>
      </c>
      <c r="AA518">
        <v>0</v>
      </c>
      <c r="AB518">
        <v>13682</v>
      </c>
      <c r="AC518">
        <v>4735</v>
      </c>
      <c r="AD518">
        <v>0</v>
      </c>
      <c r="AE518">
        <v>0</v>
      </c>
      <c r="AF518">
        <v>0</v>
      </c>
      <c r="AG518">
        <v>0</v>
      </c>
      <c r="AH518">
        <v>22320</v>
      </c>
      <c r="AI518">
        <v>3000</v>
      </c>
      <c r="AJ518">
        <v>37108</v>
      </c>
      <c r="AK518">
        <v>2942</v>
      </c>
      <c r="AL518">
        <v>0</v>
      </c>
      <c r="AM518">
        <v>0</v>
      </c>
      <c r="AQ518">
        <v>3532303</v>
      </c>
      <c r="AR518">
        <v>1.35E-2</v>
      </c>
      <c r="AS518">
        <v>47686.090499999998</v>
      </c>
    </row>
    <row r="519" spans="1:45" hidden="1">
      <c r="A519" t="s">
        <v>11</v>
      </c>
      <c r="B519" t="s">
        <v>739</v>
      </c>
      <c r="C519" t="s">
        <v>642</v>
      </c>
      <c r="D519" t="s">
        <v>327</v>
      </c>
      <c r="E519" t="s">
        <v>323</v>
      </c>
      <c r="F519" t="s">
        <v>328</v>
      </c>
      <c r="G519" t="s">
        <v>329</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Q519">
        <v>0</v>
      </c>
      <c r="AR519">
        <v>5.9330000000000001E-2</v>
      </c>
      <c r="AS519">
        <v>0</v>
      </c>
    </row>
    <row r="520" spans="1:45" hidden="1">
      <c r="A520" t="s">
        <v>11</v>
      </c>
      <c r="B520" t="s">
        <v>739</v>
      </c>
      <c r="C520" t="s">
        <v>643</v>
      </c>
      <c r="D520" t="s">
        <v>330</v>
      </c>
      <c r="E520" t="s">
        <v>323</v>
      </c>
      <c r="F520" t="s">
        <v>331</v>
      </c>
      <c r="G520" t="s">
        <v>740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Q520">
        <v>0</v>
      </c>
      <c r="AR520">
        <v>0.1</v>
      </c>
      <c r="AS520">
        <v>0</v>
      </c>
    </row>
    <row r="521" spans="1:45" hidden="1">
      <c r="A521" t="s">
        <v>11</v>
      </c>
      <c r="B521" t="s">
        <v>739</v>
      </c>
      <c r="C521" t="s">
        <v>644</v>
      </c>
      <c r="D521" t="s">
        <v>332</v>
      </c>
      <c r="E521" t="s">
        <v>323</v>
      </c>
      <c r="F521" t="s">
        <v>333</v>
      </c>
      <c r="G521" t="s">
        <v>740</v>
      </c>
      <c r="H521">
        <v>2465522</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Q521">
        <v>2465522</v>
      </c>
      <c r="AR521">
        <v>0.125</v>
      </c>
      <c r="AS521">
        <v>308190.25</v>
      </c>
    </row>
    <row r="522" spans="1:45" hidden="1">
      <c r="A522" t="s">
        <v>11</v>
      </c>
      <c r="B522" t="s">
        <v>739</v>
      </c>
      <c r="C522" t="s">
        <v>645</v>
      </c>
      <c r="D522" t="s">
        <v>334</v>
      </c>
      <c r="E522" t="s">
        <v>323</v>
      </c>
      <c r="F522" t="s">
        <v>335</v>
      </c>
      <c r="G522" t="s">
        <v>329</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Q522">
        <v>0</v>
      </c>
      <c r="AR522">
        <v>0.28000000000000003</v>
      </c>
    </row>
    <row r="523" spans="1:45" hidden="1">
      <c r="A523" t="s">
        <v>11</v>
      </c>
      <c r="B523" t="s">
        <v>739</v>
      </c>
      <c r="C523" t="s">
        <v>646</v>
      </c>
      <c r="D523" t="s">
        <v>137</v>
      </c>
      <c r="E523" t="s">
        <v>138</v>
      </c>
      <c r="F523" t="s">
        <v>337</v>
      </c>
      <c r="G523" t="s">
        <v>140</v>
      </c>
      <c r="I523">
        <v>0</v>
      </c>
      <c r="J523">
        <v>1</v>
      </c>
      <c r="K523">
        <v>0</v>
      </c>
      <c r="L523">
        <v>0</v>
      </c>
      <c r="M523">
        <v>0</v>
      </c>
      <c r="N523">
        <v>3</v>
      </c>
      <c r="O523">
        <v>0</v>
      </c>
      <c r="P523">
        <v>0</v>
      </c>
      <c r="Q523">
        <v>0</v>
      </c>
      <c r="R523">
        <v>0</v>
      </c>
      <c r="S523">
        <v>2</v>
      </c>
      <c r="T523">
        <v>1</v>
      </c>
      <c r="U523">
        <v>1</v>
      </c>
      <c r="V523">
        <v>0</v>
      </c>
      <c r="W523">
        <v>1</v>
      </c>
      <c r="X523">
        <v>2</v>
      </c>
      <c r="Y523">
        <v>0</v>
      </c>
      <c r="Z523">
        <v>3</v>
      </c>
      <c r="AA523">
        <v>0</v>
      </c>
      <c r="AB523">
        <v>0</v>
      </c>
      <c r="AC523">
        <v>2</v>
      </c>
      <c r="AD523">
        <v>0</v>
      </c>
      <c r="AE523">
        <v>0</v>
      </c>
      <c r="AF523">
        <v>0</v>
      </c>
      <c r="AG523">
        <v>0</v>
      </c>
      <c r="AH523">
        <v>1</v>
      </c>
      <c r="AI523">
        <v>1</v>
      </c>
      <c r="AJ523">
        <v>1</v>
      </c>
      <c r="AK523">
        <v>1</v>
      </c>
      <c r="AL523">
        <v>0</v>
      </c>
      <c r="AM523">
        <v>0</v>
      </c>
      <c r="AQ523">
        <v>20</v>
      </c>
      <c r="AR523">
        <v>212.1</v>
      </c>
      <c r="AS523">
        <v>4242</v>
      </c>
    </row>
    <row r="524" spans="1:45" hidden="1">
      <c r="A524" t="s">
        <v>11</v>
      </c>
      <c r="B524" t="s">
        <v>739</v>
      </c>
      <c r="C524" t="s">
        <v>136</v>
      </c>
      <c r="D524" t="s">
        <v>137</v>
      </c>
      <c r="E524" t="s">
        <v>138</v>
      </c>
      <c r="F524" t="s">
        <v>139</v>
      </c>
      <c r="G524" t="s">
        <v>140</v>
      </c>
      <c r="I524">
        <v>1</v>
      </c>
      <c r="J524">
        <v>0</v>
      </c>
      <c r="K524">
        <v>0</v>
      </c>
      <c r="L524">
        <v>0</v>
      </c>
      <c r="M524">
        <v>0</v>
      </c>
      <c r="N524">
        <v>0</v>
      </c>
      <c r="O524">
        <v>0</v>
      </c>
      <c r="P524">
        <v>0</v>
      </c>
      <c r="Q524">
        <v>0</v>
      </c>
      <c r="R524">
        <v>1</v>
      </c>
      <c r="S524">
        <v>0</v>
      </c>
      <c r="T524">
        <v>1</v>
      </c>
      <c r="U524">
        <v>1</v>
      </c>
      <c r="V524">
        <v>1</v>
      </c>
      <c r="W524">
        <v>0</v>
      </c>
      <c r="X524">
        <v>1</v>
      </c>
      <c r="Y524">
        <v>0</v>
      </c>
      <c r="Z524">
        <v>0</v>
      </c>
      <c r="AA524">
        <v>0</v>
      </c>
      <c r="AB524">
        <v>1</v>
      </c>
      <c r="AC524">
        <v>0</v>
      </c>
      <c r="AD524">
        <v>0</v>
      </c>
      <c r="AE524">
        <v>0</v>
      </c>
      <c r="AF524">
        <v>0</v>
      </c>
      <c r="AG524">
        <v>0</v>
      </c>
      <c r="AH524">
        <v>1</v>
      </c>
      <c r="AI524">
        <v>0</v>
      </c>
      <c r="AJ524">
        <v>1</v>
      </c>
      <c r="AK524">
        <v>0</v>
      </c>
      <c r="AL524">
        <v>0</v>
      </c>
      <c r="AM524">
        <v>0</v>
      </c>
      <c r="AQ524">
        <v>9</v>
      </c>
      <c r="AR524">
        <v>1696.8</v>
      </c>
      <c r="AS524">
        <v>15271.2</v>
      </c>
    </row>
    <row r="525" spans="1:45" hidden="1">
      <c r="A525" t="s">
        <v>11</v>
      </c>
      <c r="B525" t="s">
        <v>739</v>
      </c>
      <c r="C525" t="s">
        <v>143</v>
      </c>
      <c r="D525" t="s">
        <v>137</v>
      </c>
      <c r="E525" t="s">
        <v>138</v>
      </c>
      <c r="F525" t="s">
        <v>277</v>
      </c>
      <c r="G525" t="s">
        <v>140</v>
      </c>
      <c r="I525">
        <v>2</v>
      </c>
      <c r="J525">
        <v>1</v>
      </c>
      <c r="K525">
        <v>4</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Q525">
        <v>7</v>
      </c>
      <c r="AR525">
        <v>3923.85</v>
      </c>
      <c r="AS525">
        <v>27466.95</v>
      </c>
    </row>
    <row r="526" spans="1:45" hidden="1">
      <c r="A526" t="s">
        <v>11</v>
      </c>
      <c r="B526" t="s">
        <v>739</v>
      </c>
      <c r="C526" t="s">
        <v>647</v>
      </c>
      <c r="D526" t="s">
        <v>137</v>
      </c>
      <c r="E526" t="s">
        <v>138</v>
      </c>
      <c r="F526" t="s">
        <v>338</v>
      </c>
      <c r="G526" t="s">
        <v>140</v>
      </c>
      <c r="H526">
        <v>2</v>
      </c>
      <c r="I526">
        <v>0</v>
      </c>
      <c r="J526">
        <v>2</v>
      </c>
      <c r="K526">
        <v>0</v>
      </c>
      <c r="L526">
        <v>3</v>
      </c>
      <c r="M526">
        <v>2</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c r="AI526">
        <v>0</v>
      </c>
      <c r="AJ526">
        <v>0</v>
      </c>
      <c r="AK526">
        <v>0</v>
      </c>
      <c r="AL526">
        <v>0</v>
      </c>
      <c r="AM526">
        <v>0</v>
      </c>
      <c r="AQ526">
        <v>9</v>
      </c>
      <c r="AR526">
        <v>6893.25</v>
      </c>
      <c r="AS526">
        <v>62039.25</v>
      </c>
    </row>
    <row r="527" spans="1:45" hidden="1">
      <c r="A527" t="s">
        <v>11</v>
      </c>
      <c r="B527" t="s">
        <v>739</v>
      </c>
      <c r="C527" t="s">
        <v>648</v>
      </c>
      <c r="D527" t="s">
        <v>342</v>
      </c>
      <c r="E527" t="s">
        <v>138</v>
      </c>
      <c r="F527" t="s">
        <v>343</v>
      </c>
      <c r="G527" t="s">
        <v>140</v>
      </c>
      <c r="I527">
        <v>0</v>
      </c>
      <c r="J527">
        <v>0</v>
      </c>
      <c r="K527">
        <v>0</v>
      </c>
      <c r="L527">
        <v>0</v>
      </c>
      <c r="M527">
        <v>0</v>
      </c>
      <c r="N527">
        <v>0</v>
      </c>
      <c r="O527">
        <v>0</v>
      </c>
      <c r="P527">
        <v>0</v>
      </c>
      <c r="Q527">
        <v>0</v>
      </c>
      <c r="R527">
        <v>0</v>
      </c>
      <c r="S527">
        <v>0</v>
      </c>
      <c r="T527">
        <v>0</v>
      </c>
      <c r="U527">
        <v>0</v>
      </c>
      <c r="V527">
        <v>0</v>
      </c>
      <c r="W527">
        <v>0</v>
      </c>
      <c r="Y527">
        <v>0</v>
      </c>
      <c r="Z527">
        <v>0</v>
      </c>
      <c r="AA527">
        <v>0</v>
      </c>
      <c r="AB527">
        <v>0</v>
      </c>
      <c r="AC527">
        <v>0</v>
      </c>
      <c r="AD527">
        <v>0</v>
      </c>
      <c r="AE527">
        <v>0</v>
      </c>
      <c r="AF527">
        <v>0</v>
      </c>
      <c r="AG527">
        <v>0</v>
      </c>
      <c r="AH527">
        <v>0</v>
      </c>
      <c r="AI527">
        <v>0</v>
      </c>
      <c r="AJ527">
        <v>0</v>
      </c>
      <c r="AK527">
        <v>0</v>
      </c>
      <c r="AL527">
        <v>0</v>
      </c>
      <c r="AM527">
        <v>0</v>
      </c>
      <c r="AQ527">
        <v>0</v>
      </c>
      <c r="AR527">
        <v>13786.5</v>
      </c>
      <c r="AS527">
        <v>0</v>
      </c>
    </row>
    <row r="528" spans="1:45" hidden="1">
      <c r="A528" t="s">
        <v>11</v>
      </c>
      <c r="B528" t="s">
        <v>739</v>
      </c>
      <c r="C528" t="s">
        <v>649</v>
      </c>
      <c r="D528" t="s">
        <v>344</v>
      </c>
      <c r="E528" t="s">
        <v>138</v>
      </c>
      <c r="F528" t="s">
        <v>345</v>
      </c>
      <c r="G528" t="s">
        <v>346</v>
      </c>
      <c r="I528">
        <v>0</v>
      </c>
      <c r="J528">
        <v>0</v>
      </c>
      <c r="K528">
        <v>0</v>
      </c>
      <c r="L528">
        <v>0</v>
      </c>
      <c r="M528">
        <v>0</v>
      </c>
      <c r="N528">
        <v>0</v>
      </c>
      <c r="O528">
        <v>0</v>
      </c>
      <c r="P528">
        <v>0</v>
      </c>
      <c r="Q528">
        <v>0</v>
      </c>
      <c r="R528">
        <v>0</v>
      </c>
      <c r="S528">
        <v>0</v>
      </c>
      <c r="T528">
        <v>0</v>
      </c>
      <c r="U528">
        <v>0</v>
      </c>
      <c r="V528">
        <v>0</v>
      </c>
      <c r="W528">
        <v>0</v>
      </c>
      <c r="Y528">
        <v>0</v>
      </c>
      <c r="Z528">
        <v>0</v>
      </c>
      <c r="AA528">
        <v>0</v>
      </c>
      <c r="AB528">
        <v>0</v>
      </c>
      <c r="AC528">
        <v>0</v>
      </c>
      <c r="AD528">
        <v>0</v>
      </c>
      <c r="AE528">
        <v>0</v>
      </c>
      <c r="AF528">
        <v>0</v>
      </c>
      <c r="AG528">
        <v>0</v>
      </c>
      <c r="AH528">
        <v>0</v>
      </c>
      <c r="AI528">
        <v>0</v>
      </c>
      <c r="AJ528">
        <v>0</v>
      </c>
      <c r="AK528">
        <v>0</v>
      </c>
      <c r="AL528">
        <v>0</v>
      </c>
      <c r="AM528">
        <v>0</v>
      </c>
      <c r="AQ528">
        <v>0</v>
      </c>
      <c r="AR528">
        <v>11.11</v>
      </c>
      <c r="AS528">
        <v>0</v>
      </c>
    </row>
    <row r="529" spans="1:45" hidden="1">
      <c r="A529" t="s">
        <v>11</v>
      </c>
      <c r="B529" t="s">
        <v>739</v>
      </c>
      <c r="C529" t="s">
        <v>650</v>
      </c>
      <c r="D529" t="s">
        <v>339</v>
      </c>
      <c r="E529" t="s">
        <v>138</v>
      </c>
      <c r="F529" t="s">
        <v>340</v>
      </c>
      <c r="G529" t="s">
        <v>341</v>
      </c>
      <c r="H529">
        <v>2</v>
      </c>
      <c r="I529">
        <v>2</v>
      </c>
      <c r="J529">
        <v>2</v>
      </c>
      <c r="K529">
        <v>1</v>
      </c>
      <c r="L529">
        <v>2</v>
      </c>
      <c r="M529">
        <v>2</v>
      </c>
      <c r="N529">
        <v>0</v>
      </c>
      <c r="O529">
        <v>0</v>
      </c>
      <c r="P529">
        <v>0</v>
      </c>
      <c r="Q529">
        <v>0</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c r="AK529">
        <v>0</v>
      </c>
      <c r="AL529">
        <v>0</v>
      </c>
      <c r="AM529">
        <v>0</v>
      </c>
      <c r="AQ529">
        <v>11</v>
      </c>
      <c r="AR529">
        <v>557.52</v>
      </c>
      <c r="AS529">
        <v>6132.72</v>
      </c>
    </row>
    <row r="530" spans="1:45" hidden="1">
      <c r="A530" t="s">
        <v>11</v>
      </c>
      <c r="B530" t="s">
        <v>739</v>
      </c>
      <c r="C530" t="s">
        <v>651</v>
      </c>
      <c r="D530" t="s">
        <v>347</v>
      </c>
      <c r="E530" t="s">
        <v>138</v>
      </c>
      <c r="F530" t="s">
        <v>350</v>
      </c>
      <c r="G530" t="s">
        <v>349</v>
      </c>
      <c r="I530">
        <v>2</v>
      </c>
      <c r="J530">
        <v>4</v>
      </c>
      <c r="K530">
        <v>4</v>
      </c>
      <c r="L530">
        <v>4</v>
      </c>
      <c r="M530">
        <v>9</v>
      </c>
      <c r="N530">
        <v>0</v>
      </c>
      <c r="O530">
        <v>0</v>
      </c>
      <c r="P530">
        <v>0</v>
      </c>
      <c r="Q530">
        <v>0</v>
      </c>
      <c r="R530">
        <v>0</v>
      </c>
      <c r="S530">
        <v>0</v>
      </c>
      <c r="T530">
        <v>0</v>
      </c>
      <c r="U530">
        <v>0</v>
      </c>
      <c r="V530">
        <v>0</v>
      </c>
      <c r="W530">
        <v>0</v>
      </c>
      <c r="X530">
        <v>0</v>
      </c>
      <c r="Y530">
        <v>0</v>
      </c>
      <c r="Z530">
        <v>0</v>
      </c>
      <c r="AA530">
        <v>0</v>
      </c>
      <c r="AB530">
        <v>0</v>
      </c>
      <c r="AC530">
        <v>0</v>
      </c>
      <c r="AD530">
        <v>1</v>
      </c>
      <c r="AE530">
        <v>1</v>
      </c>
      <c r="AF530">
        <v>0</v>
      </c>
      <c r="AG530">
        <v>0</v>
      </c>
      <c r="AH530">
        <v>0</v>
      </c>
      <c r="AI530">
        <v>0</v>
      </c>
      <c r="AJ530">
        <v>0</v>
      </c>
      <c r="AK530">
        <v>0</v>
      </c>
      <c r="AL530">
        <v>0</v>
      </c>
      <c r="AM530">
        <v>2</v>
      </c>
      <c r="AQ530">
        <v>27</v>
      </c>
      <c r="AR530">
        <v>234.32</v>
      </c>
      <c r="AS530">
        <v>6326.64</v>
      </c>
    </row>
    <row r="531" spans="1:45" hidden="1">
      <c r="A531" t="s">
        <v>11</v>
      </c>
      <c r="B531" t="s">
        <v>739</v>
      </c>
      <c r="C531" t="s">
        <v>652</v>
      </c>
      <c r="D531" t="s">
        <v>347</v>
      </c>
      <c r="E531" t="s">
        <v>138</v>
      </c>
      <c r="F531" t="s">
        <v>348</v>
      </c>
      <c r="G531" t="s">
        <v>349</v>
      </c>
      <c r="H531">
        <v>2</v>
      </c>
      <c r="I531">
        <v>0</v>
      </c>
      <c r="J531">
        <v>0</v>
      </c>
      <c r="K531">
        <v>0</v>
      </c>
      <c r="L531">
        <v>0</v>
      </c>
      <c r="M531">
        <v>2</v>
      </c>
      <c r="N531">
        <v>0</v>
      </c>
      <c r="O531">
        <v>0</v>
      </c>
      <c r="P531">
        <v>0</v>
      </c>
      <c r="Q531">
        <v>0</v>
      </c>
      <c r="R531">
        <v>0</v>
      </c>
      <c r="S531">
        <v>0</v>
      </c>
      <c r="T531">
        <v>0</v>
      </c>
      <c r="U531">
        <v>0</v>
      </c>
      <c r="V531">
        <v>0</v>
      </c>
      <c r="W531">
        <v>0</v>
      </c>
      <c r="X531">
        <v>0</v>
      </c>
      <c r="Y531">
        <v>0</v>
      </c>
      <c r="Z531">
        <v>0</v>
      </c>
      <c r="AA531">
        <v>0</v>
      </c>
      <c r="AB531">
        <v>0</v>
      </c>
      <c r="AC531">
        <v>0</v>
      </c>
      <c r="AD531">
        <v>0</v>
      </c>
      <c r="AE531">
        <v>0</v>
      </c>
      <c r="AF531">
        <v>0</v>
      </c>
      <c r="AG531">
        <v>0</v>
      </c>
      <c r="AH531">
        <v>0</v>
      </c>
      <c r="AI531">
        <v>0</v>
      </c>
      <c r="AJ531">
        <v>0</v>
      </c>
      <c r="AK531">
        <v>0</v>
      </c>
      <c r="AL531">
        <v>0</v>
      </c>
      <c r="AM531">
        <v>0</v>
      </c>
      <c r="AQ531">
        <v>4</v>
      </c>
      <c r="AR531">
        <v>456.52</v>
      </c>
      <c r="AS531">
        <v>1826.08</v>
      </c>
    </row>
    <row r="532" spans="1:45" hidden="1">
      <c r="A532" t="s">
        <v>11</v>
      </c>
      <c r="B532" t="s">
        <v>739</v>
      </c>
      <c r="C532" t="s">
        <v>653</v>
      </c>
      <c r="D532" t="s">
        <v>347</v>
      </c>
      <c r="E532" t="s">
        <v>138</v>
      </c>
      <c r="F532" t="s">
        <v>351</v>
      </c>
      <c r="G532" t="s">
        <v>349</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c r="AD532">
        <v>0</v>
      </c>
      <c r="AE532">
        <v>0</v>
      </c>
      <c r="AF532">
        <v>0</v>
      </c>
      <c r="AG532">
        <v>0</v>
      </c>
      <c r="AH532">
        <v>0</v>
      </c>
      <c r="AI532">
        <v>0</v>
      </c>
      <c r="AJ532">
        <v>0</v>
      </c>
      <c r="AK532">
        <v>0</v>
      </c>
      <c r="AL532">
        <v>0</v>
      </c>
      <c r="AM532">
        <v>0</v>
      </c>
      <c r="AQ532">
        <v>0</v>
      </c>
      <c r="AR532">
        <v>679.73</v>
      </c>
      <c r="AS532">
        <v>0</v>
      </c>
    </row>
    <row r="533" spans="1:45" hidden="1">
      <c r="A533" t="s">
        <v>11</v>
      </c>
      <c r="B533" t="s">
        <v>739</v>
      </c>
      <c r="C533" t="s">
        <v>654</v>
      </c>
      <c r="D533" t="s">
        <v>352</v>
      </c>
      <c r="E533" t="s">
        <v>138</v>
      </c>
      <c r="F533" t="s">
        <v>353</v>
      </c>
      <c r="G533" t="s">
        <v>354</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c r="AE533">
        <v>0</v>
      </c>
      <c r="AF533">
        <v>0</v>
      </c>
      <c r="AG533">
        <v>0</v>
      </c>
      <c r="AH533">
        <v>0</v>
      </c>
      <c r="AI533">
        <v>0</v>
      </c>
      <c r="AJ533">
        <v>0</v>
      </c>
      <c r="AK533">
        <v>0</v>
      </c>
      <c r="AL533">
        <v>0</v>
      </c>
      <c r="AM533">
        <v>0</v>
      </c>
      <c r="AQ533">
        <v>0</v>
      </c>
      <c r="AR533">
        <v>3923.85</v>
      </c>
      <c r="AS533">
        <v>0</v>
      </c>
    </row>
    <row r="534" spans="1:45" hidden="1">
      <c r="A534" t="s">
        <v>11</v>
      </c>
      <c r="B534" t="s">
        <v>739</v>
      </c>
      <c r="C534" t="s">
        <v>655</v>
      </c>
      <c r="D534" t="s">
        <v>355</v>
      </c>
      <c r="E534" t="s">
        <v>138</v>
      </c>
      <c r="F534" t="s">
        <v>356</v>
      </c>
      <c r="G534" t="s">
        <v>357</v>
      </c>
      <c r="H534">
        <v>10</v>
      </c>
      <c r="I534">
        <v>4</v>
      </c>
      <c r="J534">
        <v>1</v>
      </c>
      <c r="K534">
        <v>5</v>
      </c>
      <c r="L534">
        <v>6</v>
      </c>
      <c r="M534">
        <v>10</v>
      </c>
      <c r="N534">
        <v>0</v>
      </c>
      <c r="O534">
        <v>0</v>
      </c>
      <c r="P534">
        <v>0</v>
      </c>
      <c r="Q534">
        <v>0</v>
      </c>
      <c r="R534">
        <v>0</v>
      </c>
      <c r="S534">
        <v>0</v>
      </c>
      <c r="T534">
        <v>0</v>
      </c>
      <c r="U534">
        <v>0</v>
      </c>
      <c r="V534">
        <v>0</v>
      </c>
      <c r="W534">
        <v>0</v>
      </c>
      <c r="X534">
        <v>0</v>
      </c>
      <c r="Y534">
        <v>0</v>
      </c>
      <c r="Z534">
        <v>0</v>
      </c>
      <c r="AA534">
        <v>0</v>
      </c>
      <c r="AB534">
        <v>0</v>
      </c>
      <c r="AC534">
        <v>0</v>
      </c>
      <c r="AD534">
        <v>1</v>
      </c>
      <c r="AE534">
        <v>0</v>
      </c>
      <c r="AF534">
        <v>0</v>
      </c>
      <c r="AG534">
        <v>0</v>
      </c>
      <c r="AH534">
        <v>0</v>
      </c>
      <c r="AI534">
        <v>0</v>
      </c>
      <c r="AJ534">
        <v>0</v>
      </c>
      <c r="AK534">
        <v>0</v>
      </c>
      <c r="AL534">
        <v>0</v>
      </c>
      <c r="AM534">
        <v>0</v>
      </c>
      <c r="AQ534">
        <v>37</v>
      </c>
      <c r="AR534">
        <v>556.51</v>
      </c>
      <c r="AS534">
        <v>20590.87</v>
      </c>
    </row>
    <row r="535" spans="1:45" hidden="1">
      <c r="A535" t="s">
        <v>11</v>
      </c>
      <c r="B535" t="s">
        <v>739</v>
      </c>
      <c r="C535" t="s">
        <v>656</v>
      </c>
      <c r="D535" t="s">
        <v>358</v>
      </c>
      <c r="E535" t="s">
        <v>138</v>
      </c>
      <c r="F535" t="s">
        <v>359</v>
      </c>
      <c r="G535" t="s">
        <v>360</v>
      </c>
      <c r="I535">
        <v>0</v>
      </c>
      <c r="J535">
        <v>0</v>
      </c>
      <c r="K535">
        <v>0</v>
      </c>
      <c r="L535">
        <v>0</v>
      </c>
      <c r="M535">
        <v>4</v>
      </c>
      <c r="N535">
        <v>0</v>
      </c>
      <c r="O535">
        <v>0</v>
      </c>
      <c r="P535">
        <v>0</v>
      </c>
      <c r="Q535">
        <v>0</v>
      </c>
      <c r="R535">
        <v>0</v>
      </c>
      <c r="S535">
        <v>0</v>
      </c>
      <c r="T535">
        <v>0</v>
      </c>
      <c r="U535">
        <v>0</v>
      </c>
      <c r="V535">
        <v>0</v>
      </c>
      <c r="W535">
        <v>0</v>
      </c>
      <c r="X535">
        <v>0</v>
      </c>
      <c r="Y535">
        <v>0</v>
      </c>
      <c r="Z535">
        <v>0</v>
      </c>
      <c r="AA535">
        <v>0</v>
      </c>
      <c r="AB535">
        <v>0</v>
      </c>
      <c r="AC535">
        <v>0</v>
      </c>
      <c r="AD535">
        <v>0</v>
      </c>
      <c r="AE535">
        <v>0</v>
      </c>
      <c r="AF535">
        <v>0</v>
      </c>
      <c r="AG535">
        <v>0</v>
      </c>
      <c r="AH535">
        <v>0</v>
      </c>
      <c r="AI535">
        <v>0</v>
      </c>
      <c r="AJ535">
        <v>0</v>
      </c>
      <c r="AK535">
        <v>0</v>
      </c>
      <c r="AL535">
        <v>0</v>
      </c>
      <c r="AM535">
        <v>0</v>
      </c>
      <c r="AQ535">
        <v>4</v>
      </c>
      <c r="AR535">
        <v>334.31</v>
      </c>
      <c r="AS535">
        <v>1337.24</v>
      </c>
    </row>
    <row r="536" spans="1:45" hidden="1">
      <c r="A536" t="s">
        <v>11</v>
      </c>
      <c r="B536" t="s">
        <v>739</v>
      </c>
      <c r="C536" t="s">
        <v>657</v>
      </c>
      <c r="D536" t="s">
        <v>361</v>
      </c>
      <c r="E536" t="s">
        <v>138</v>
      </c>
      <c r="F536" t="s">
        <v>362</v>
      </c>
      <c r="G536" t="s">
        <v>363</v>
      </c>
      <c r="I536">
        <v>8760</v>
      </c>
      <c r="J536">
        <v>8760</v>
      </c>
      <c r="K536">
        <v>0</v>
      </c>
      <c r="L536">
        <v>8760</v>
      </c>
      <c r="M536">
        <v>8760</v>
      </c>
      <c r="N536">
        <v>0</v>
      </c>
      <c r="O536">
        <v>0</v>
      </c>
      <c r="P536">
        <v>0</v>
      </c>
      <c r="Q536">
        <v>0</v>
      </c>
      <c r="R536">
        <v>0</v>
      </c>
      <c r="S536">
        <v>0</v>
      </c>
      <c r="T536">
        <v>0</v>
      </c>
      <c r="U536">
        <v>0</v>
      </c>
      <c r="V536">
        <v>0</v>
      </c>
      <c r="W536">
        <v>0</v>
      </c>
      <c r="X536">
        <v>0</v>
      </c>
      <c r="Y536">
        <v>0</v>
      </c>
      <c r="Z536">
        <v>0</v>
      </c>
      <c r="AA536">
        <v>0</v>
      </c>
      <c r="AB536">
        <v>0</v>
      </c>
      <c r="AC536">
        <v>0</v>
      </c>
      <c r="AD536">
        <v>0</v>
      </c>
      <c r="AE536">
        <v>0</v>
      </c>
      <c r="AF536">
        <v>0</v>
      </c>
      <c r="AG536">
        <v>0</v>
      </c>
      <c r="AH536">
        <v>0</v>
      </c>
      <c r="AI536">
        <v>0</v>
      </c>
      <c r="AJ536">
        <v>0</v>
      </c>
      <c r="AK536">
        <v>0</v>
      </c>
      <c r="AL536">
        <v>0</v>
      </c>
      <c r="AM536">
        <v>0</v>
      </c>
      <c r="AQ536">
        <v>35040</v>
      </c>
      <c r="AR536">
        <v>1.0605</v>
      </c>
      <c r="AS536">
        <v>37159.919999999998</v>
      </c>
    </row>
    <row r="537" spans="1:45" hidden="1">
      <c r="A537" t="s">
        <v>11</v>
      </c>
      <c r="B537" t="s">
        <v>739</v>
      </c>
      <c r="C537" t="s">
        <v>658</v>
      </c>
      <c r="D537" t="s">
        <v>364</v>
      </c>
      <c r="E537" t="s">
        <v>138</v>
      </c>
      <c r="F537" t="s">
        <v>366</v>
      </c>
      <c r="G537" t="s">
        <v>363</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c r="AK537">
        <v>0</v>
      </c>
      <c r="AL537">
        <v>0</v>
      </c>
      <c r="AM537">
        <v>0</v>
      </c>
      <c r="AQ537">
        <v>0</v>
      </c>
      <c r="AR537">
        <v>4.242</v>
      </c>
      <c r="AS537">
        <v>0</v>
      </c>
    </row>
    <row r="538" spans="1:45" hidden="1">
      <c r="A538" t="s">
        <v>11</v>
      </c>
      <c r="B538" t="s">
        <v>739</v>
      </c>
      <c r="C538" t="s">
        <v>659</v>
      </c>
      <c r="D538" t="s">
        <v>364</v>
      </c>
      <c r="E538" t="s">
        <v>138</v>
      </c>
      <c r="F538" t="s">
        <v>365</v>
      </c>
      <c r="G538" t="s">
        <v>363</v>
      </c>
      <c r="I538">
        <v>5000</v>
      </c>
      <c r="J538">
        <v>5000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0</v>
      </c>
      <c r="AQ538">
        <v>10000</v>
      </c>
      <c r="AR538">
        <v>8.484</v>
      </c>
      <c r="AS538">
        <v>84840</v>
      </c>
    </row>
    <row r="539" spans="1:45" hidden="1">
      <c r="A539" t="s">
        <v>11</v>
      </c>
      <c r="B539" t="s">
        <v>739</v>
      </c>
      <c r="C539" t="s">
        <v>660</v>
      </c>
      <c r="D539" t="s">
        <v>364</v>
      </c>
      <c r="E539" t="s">
        <v>138</v>
      </c>
      <c r="F539" t="s">
        <v>367</v>
      </c>
      <c r="G539" t="s">
        <v>363</v>
      </c>
      <c r="I539">
        <v>0</v>
      </c>
      <c r="J539">
        <v>0</v>
      </c>
      <c r="K539">
        <v>0</v>
      </c>
      <c r="L539">
        <v>5000</v>
      </c>
      <c r="M539">
        <v>5000</v>
      </c>
      <c r="N539">
        <v>0</v>
      </c>
      <c r="O539">
        <v>0</v>
      </c>
      <c r="P539">
        <v>0</v>
      </c>
      <c r="Q539">
        <v>0</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0</v>
      </c>
      <c r="AM539">
        <v>0</v>
      </c>
      <c r="AQ539">
        <v>10000</v>
      </c>
      <c r="AR539">
        <v>21.21</v>
      </c>
      <c r="AS539">
        <v>212100</v>
      </c>
    </row>
    <row r="540" spans="1:45" hidden="1">
      <c r="A540" t="s">
        <v>11</v>
      </c>
      <c r="B540" t="s">
        <v>739</v>
      </c>
      <c r="C540" t="s">
        <v>278</v>
      </c>
      <c r="D540" t="s">
        <v>146</v>
      </c>
      <c r="E540" t="s">
        <v>138</v>
      </c>
      <c r="F540" t="s">
        <v>279</v>
      </c>
      <c r="G540" t="s">
        <v>148</v>
      </c>
      <c r="H540">
        <v>2</v>
      </c>
      <c r="I540">
        <v>1</v>
      </c>
      <c r="J540">
        <v>1</v>
      </c>
      <c r="K540">
        <v>0</v>
      </c>
      <c r="L540">
        <v>2</v>
      </c>
      <c r="M540">
        <v>1</v>
      </c>
      <c r="N540">
        <v>0</v>
      </c>
      <c r="O540">
        <v>0</v>
      </c>
      <c r="P540">
        <v>0</v>
      </c>
      <c r="Q540">
        <v>0</v>
      </c>
      <c r="R540">
        <v>0</v>
      </c>
      <c r="S540">
        <v>0</v>
      </c>
      <c r="T540">
        <v>1</v>
      </c>
      <c r="U540">
        <v>0</v>
      </c>
      <c r="V540">
        <v>0</v>
      </c>
      <c r="W540">
        <v>0</v>
      </c>
      <c r="X540">
        <v>0</v>
      </c>
      <c r="Y540">
        <v>2</v>
      </c>
      <c r="Z540">
        <v>0</v>
      </c>
      <c r="AA540">
        <v>0</v>
      </c>
      <c r="AB540">
        <v>0</v>
      </c>
      <c r="AC540">
        <v>0</v>
      </c>
      <c r="AD540">
        <v>1</v>
      </c>
      <c r="AE540">
        <v>0</v>
      </c>
      <c r="AF540">
        <v>0</v>
      </c>
      <c r="AG540">
        <v>0</v>
      </c>
      <c r="AH540">
        <v>0</v>
      </c>
      <c r="AI540">
        <v>0</v>
      </c>
      <c r="AJ540">
        <v>0</v>
      </c>
      <c r="AK540">
        <v>0</v>
      </c>
      <c r="AL540">
        <v>0</v>
      </c>
      <c r="AM540">
        <v>1</v>
      </c>
      <c r="AQ540">
        <v>12</v>
      </c>
      <c r="AR540">
        <v>1272.5999999999999</v>
      </c>
      <c r="AS540">
        <v>15271.2</v>
      </c>
    </row>
    <row r="541" spans="1:45" hidden="1">
      <c r="A541" t="s">
        <v>11</v>
      </c>
      <c r="B541" t="s">
        <v>739</v>
      </c>
      <c r="C541" t="s">
        <v>661</v>
      </c>
      <c r="D541" t="s">
        <v>146</v>
      </c>
      <c r="E541" t="s">
        <v>138</v>
      </c>
      <c r="F541" t="s">
        <v>368</v>
      </c>
      <c r="G541" t="s">
        <v>148</v>
      </c>
      <c r="H541">
        <v>2</v>
      </c>
      <c r="I541">
        <v>3</v>
      </c>
      <c r="J541">
        <v>1</v>
      </c>
      <c r="K541">
        <v>1</v>
      </c>
      <c r="L541">
        <v>1</v>
      </c>
      <c r="M541">
        <v>0</v>
      </c>
      <c r="N541">
        <v>0</v>
      </c>
      <c r="O541">
        <v>0</v>
      </c>
      <c r="P541">
        <v>0</v>
      </c>
      <c r="Q541">
        <v>0</v>
      </c>
      <c r="R541">
        <v>0</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Q541">
        <v>8</v>
      </c>
      <c r="AR541">
        <v>2333.1</v>
      </c>
      <c r="AS541">
        <v>18664.8</v>
      </c>
    </row>
    <row r="542" spans="1:45" hidden="1">
      <c r="A542" t="s">
        <v>11</v>
      </c>
      <c r="B542" t="s">
        <v>739</v>
      </c>
      <c r="C542" t="s">
        <v>662</v>
      </c>
      <c r="D542" t="s">
        <v>146</v>
      </c>
      <c r="E542" t="s">
        <v>138</v>
      </c>
      <c r="F542" t="s">
        <v>369</v>
      </c>
      <c r="G542" t="s">
        <v>148</v>
      </c>
      <c r="H542">
        <v>3</v>
      </c>
      <c r="I542">
        <v>0</v>
      </c>
      <c r="J542">
        <v>0</v>
      </c>
      <c r="K542">
        <v>0</v>
      </c>
      <c r="L542">
        <v>0</v>
      </c>
      <c r="M542">
        <v>0</v>
      </c>
      <c r="N542">
        <v>0</v>
      </c>
      <c r="O542">
        <v>0</v>
      </c>
      <c r="P542">
        <v>0</v>
      </c>
      <c r="Q542">
        <v>0</v>
      </c>
      <c r="R542">
        <v>0</v>
      </c>
      <c r="S542">
        <v>0</v>
      </c>
      <c r="T542">
        <v>0</v>
      </c>
      <c r="U542">
        <v>0</v>
      </c>
      <c r="V542">
        <v>0</v>
      </c>
      <c r="W542">
        <v>0</v>
      </c>
      <c r="X542">
        <v>0</v>
      </c>
      <c r="Y542">
        <v>0</v>
      </c>
      <c r="Z542">
        <v>0</v>
      </c>
      <c r="AA542">
        <v>0</v>
      </c>
      <c r="AB542">
        <v>0</v>
      </c>
      <c r="AC542">
        <v>0</v>
      </c>
      <c r="AD542">
        <v>0</v>
      </c>
      <c r="AE542">
        <v>0</v>
      </c>
      <c r="AF542">
        <v>0</v>
      </c>
      <c r="AG542">
        <v>0</v>
      </c>
      <c r="AH542">
        <v>0</v>
      </c>
      <c r="AI542">
        <v>0</v>
      </c>
      <c r="AJ542">
        <v>0</v>
      </c>
      <c r="AK542">
        <v>0</v>
      </c>
      <c r="AL542">
        <v>0</v>
      </c>
      <c r="AM542">
        <v>0</v>
      </c>
      <c r="AQ542">
        <v>3</v>
      </c>
      <c r="AR542">
        <v>3711.75</v>
      </c>
      <c r="AS542">
        <v>11135.25</v>
      </c>
    </row>
    <row r="543" spans="1:45" hidden="1">
      <c r="A543" t="s">
        <v>11</v>
      </c>
      <c r="B543" t="s">
        <v>739</v>
      </c>
      <c r="C543" t="s">
        <v>663</v>
      </c>
      <c r="D543" t="s">
        <v>146</v>
      </c>
      <c r="E543" t="s">
        <v>138</v>
      </c>
      <c r="F543" t="s">
        <v>370</v>
      </c>
      <c r="G543" t="s">
        <v>148</v>
      </c>
      <c r="I543">
        <v>0</v>
      </c>
      <c r="J543">
        <v>0</v>
      </c>
      <c r="K543">
        <v>0</v>
      </c>
      <c r="L543">
        <v>0</v>
      </c>
      <c r="M543">
        <v>3</v>
      </c>
      <c r="N543">
        <v>0</v>
      </c>
      <c r="O543">
        <v>0</v>
      </c>
      <c r="P543">
        <v>0</v>
      </c>
      <c r="Q543">
        <v>0</v>
      </c>
      <c r="R543">
        <v>0</v>
      </c>
      <c r="S543">
        <v>0</v>
      </c>
      <c r="T543">
        <v>0</v>
      </c>
      <c r="U543">
        <v>0</v>
      </c>
      <c r="V543">
        <v>0</v>
      </c>
      <c r="W543">
        <v>0</v>
      </c>
      <c r="X543">
        <v>0</v>
      </c>
      <c r="Y543">
        <v>0</v>
      </c>
      <c r="Z543">
        <v>0</v>
      </c>
      <c r="AA543">
        <v>0</v>
      </c>
      <c r="AB543">
        <v>0</v>
      </c>
      <c r="AC543">
        <v>0</v>
      </c>
      <c r="AD543">
        <v>0</v>
      </c>
      <c r="AE543">
        <v>0</v>
      </c>
      <c r="AF543">
        <v>0</v>
      </c>
      <c r="AG543">
        <v>0</v>
      </c>
      <c r="AH543">
        <v>0</v>
      </c>
      <c r="AI543">
        <v>0</v>
      </c>
      <c r="AJ543">
        <v>0</v>
      </c>
      <c r="AK543">
        <v>0</v>
      </c>
      <c r="AL543">
        <v>0</v>
      </c>
      <c r="AM543">
        <v>0</v>
      </c>
      <c r="AQ543">
        <v>3</v>
      </c>
      <c r="AR543">
        <v>5832.75</v>
      </c>
      <c r="AS543">
        <v>17498.25</v>
      </c>
    </row>
    <row r="544" spans="1:45" hidden="1">
      <c r="A544" t="s">
        <v>11</v>
      </c>
      <c r="B544" t="s">
        <v>739</v>
      </c>
      <c r="C544" t="s">
        <v>664</v>
      </c>
      <c r="D544" t="s">
        <v>371</v>
      </c>
      <c r="E544" t="s">
        <v>138</v>
      </c>
      <c r="F544" t="s">
        <v>372</v>
      </c>
      <c r="G544" t="s">
        <v>373</v>
      </c>
      <c r="I544">
        <v>1</v>
      </c>
      <c r="J544">
        <v>0</v>
      </c>
      <c r="K544">
        <v>0</v>
      </c>
      <c r="L544">
        <v>0</v>
      </c>
      <c r="M544">
        <v>3</v>
      </c>
      <c r="N544">
        <v>0</v>
      </c>
      <c r="O544">
        <v>0</v>
      </c>
      <c r="P544">
        <v>0</v>
      </c>
      <c r="Q544">
        <v>0</v>
      </c>
      <c r="R544">
        <v>0</v>
      </c>
      <c r="S544">
        <v>0</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0</v>
      </c>
      <c r="AQ544">
        <v>4</v>
      </c>
      <c r="AR544">
        <v>3711.75</v>
      </c>
      <c r="AS544">
        <v>14847</v>
      </c>
    </row>
    <row r="545" spans="1:45" hidden="1">
      <c r="A545" t="s">
        <v>11</v>
      </c>
      <c r="B545" t="s">
        <v>739</v>
      </c>
      <c r="C545" t="s">
        <v>149</v>
      </c>
      <c r="D545" t="s">
        <v>280</v>
      </c>
      <c r="E545" t="s">
        <v>138</v>
      </c>
      <c r="F545" t="s">
        <v>151</v>
      </c>
      <c r="G545" t="s">
        <v>152</v>
      </c>
      <c r="H545">
        <v>20888</v>
      </c>
      <c r="I545">
        <v>11041</v>
      </c>
      <c r="J545">
        <v>12520</v>
      </c>
      <c r="K545">
        <v>12723</v>
      </c>
      <c r="L545">
        <v>17180</v>
      </c>
      <c r="M545">
        <v>54177</v>
      </c>
      <c r="N545">
        <v>482</v>
      </c>
      <c r="O545">
        <v>117</v>
      </c>
      <c r="P545">
        <v>1661</v>
      </c>
      <c r="Q545">
        <v>230</v>
      </c>
      <c r="R545">
        <v>1171</v>
      </c>
      <c r="S545">
        <v>453</v>
      </c>
      <c r="T545">
        <v>1103</v>
      </c>
      <c r="U545">
        <v>2054</v>
      </c>
      <c r="V545">
        <v>567</v>
      </c>
      <c r="W545">
        <v>120</v>
      </c>
      <c r="X545">
        <v>285</v>
      </c>
      <c r="Y545">
        <v>0</v>
      </c>
      <c r="Z545">
        <v>1045</v>
      </c>
      <c r="AA545">
        <v>265</v>
      </c>
      <c r="AB545">
        <v>758</v>
      </c>
      <c r="AC545">
        <v>385</v>
      </c>
      <c r="AD545">
        <v>1173</v>
      </c>
      <c r="AE545">
        <v>1345</v>
      </c>
      <c r="AF545">
        <v>253</v>
      </c>
      <c r="AG545">
        <v>0</v>
      </c>
      <c r="AH545">
        <v>1371</v>
      </c>
      <c r="AI545">
        <v>0</v>
      </c>
      <c r="AJ545">
        <v>1574</v>
      </c>
      <c r="AK545">
        <v>70</v>
      </c>
      <c r="AL545">
        <v>73</v>
      </c>
      <c r="AM545">
        <v>1100</v>
      </c>
      <c r="AQ545">
        <v>146184</v>
      </c>
      <c r="AR545">
        <v>1.111</v>
      </c>
      <c r="AS545">
        <v>162410.424</v>
      </c>
    </row>
    <row r="546" spans="1:45" hidden="1">
      <c r="A546" t="s">
        <v>11</v>
      </c>
      <c r="B546" t="s">
        <v>739</v>
      </c>
      <c r="C546" t="s">
        <v>153</v>
      </c>
      <c r="D546" t="s">
        <v>154</v>
      </c>
      <c r="E546" t="s">
        <v>138</v>
      </c>
      <c r="F546" t="s">
        <v>155</v>
      </c>
      <c r="G546" t="s">
        <v>156</v>
      </c>
      <c r="H546">
        <v>50</v>
      </c>
      <c r="I546">
        <v>120</v>
      </c>
      <c r="J546">
        <v>53</v>
      </c>
      <c r="K546">
        <v>19</v>
      </c>
      <c r="L546">
        <v>52</v>
      </c>
      <c r="M546">
        <v>325</v>
      </c>
      <c r="N546">
        <v>0</v>
      </c>
      <c r="O546">
        <v>0</v>
      </c>
      <c r="P546">
        <v>0</v>
      </c>
      <c r="Q546">
        <v>0</v>
      </c>
      <c r="R546">
        <v>0</v>
      </c>
      <c r="S546">
        <v>14</v>
      </c>
      <c r="T546">
        <v>32</v>
      </c>
      <c r="U546">
        <v>0</v>
      </c>
      <c r="V546">
        <v>24</v>
      </c>
      <c r="W546">
        <v>0</v>
      </c>
      <c r="X546">
        <v>17</v>
      </c>
      <c r="Y546">
        <v>0</v>
      </c>
      <c r="Z546">
        <v>0</v>
      </c>
      <c r="AA546">
        <v>0</v>
      </c>
      <c r="AB546">
        <v>0</v>
      </c>
      <c r="AC546">
        <v>0</v>
      </c>
      <c r="AD546">
        <v>0</v>
      </c>
      <c r="AE546">
        <v>0</v>
      </c>
      <c r="AF546">
        <v>0</v>
      </c>
      <c r="AG546">
        <v>0</v>
      </c>
      <c r="AH546">
        <v>0</v>
      </c>
      <c r="AI546">
        <v>0</v>
      </c>
      <c r="AJ546">
        <v>0</v>
      </c>
      <c r="AK546">
        <v>0</v>
      </c>
      <c r="AL546">
        <v>0</v>
      </c>
      <c r="AM546">
        <v>0</v>
      </c>
      <c r="AQ546">
        <v>706</v>
      </c>
      <c r="AR546">
        <v>116.655</v>
      </c>
      <c r="AS546">
        <v>82358.429999999993</v>
      </c>
    </row>
    <row r="547" spans="1:45" hidden="1">
      <c r="A547" t="s">
        <v>11</v>
      </c>
      <c r="B547" t="s">
        <v>739</v>
      </c>
      <c r="C547" t="s">
        <v>665</v>
      </c>
      <c r="D547" t="s">
        <v>375</v>
      </c>
      <c r="E547" t="s">
        <v>138</v>
      </c>
      <c r="F547" t="s">
        <v>376</v>
      </c>
      <c r="G547" t="s">
        <v>377</v>
      </c>
      <c r="I547">
        <v>0</v>
      </c>
      <c r="J547">
        <v>0</v>
      </c>
      <c r="K547">
        <v>0</v>
      </c>
      <c r="L547">
        <v>6</v>
      </c>
      <c r="M547">
        <v>2</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c r="AQ547">
        <v>8</v>
      </c>
      <c r="AR547">
        <v>89.081999999999994</v>
      </c>
      <c r="AS547">
        <v>712.65599999999995</v>
      </c>
    </row>
    <row r="548" spans="1:45" hidden="1">
      <c r="A548" t="s">
        <v>11</v>
      </c>
      <c r="B548" t="s">
        <v>739</v>
      </c>
      <c r="C548" t="s">
        <v>158</v>
      </c>
      <c r="D548" t="s">
        <v>159</v>
      </c>
      <c r="E548" t="s">
        <v>138</v>
      </c>
      <c r="F548" t="s">
        <v>160</v>
      </c>
      <c r="G548" t="s">
        <v>161</v>
      </c>
      <c r="H548">
        <v>173</v>
      </c>
      <c r="I548">
        <v>18</v>
      </c>
      <c r="J548">
        <v>5</v>
      </c>
      <c r="K548">
        <v>19</v>
      </c>
      <c r="L548">
        <v>25</v>
      </c>
      <c r="M548">
        <v>109</v>
      </c>
      <c r="N548">
        <v>0</v>
      </c>
      <c r="O548">
        <v>0</v>
      </c>
      <c r="P548">
        <v>0</v>
      </c>
      <c r="Q548">
        <v>1</v>
      </c>
      <c r="R548">
        <v>6</v>
      </c>
      <c r="S548">
        <v>0</v>
      </c>
      <c r="T548">
        <v>8</v>
      </c>
      <c r="U548">
        <v>6</v>
      </c>
      <c r="V548">
        <v>0</v>
      </c>
      <c r="W548">
        <v>0</v>
      </c>
      <c r="X548">
        <v>0</v>
      </c>
      <c r="Y548">
        <v>109</v>
      </c>
      <c r="Z548">
        <v>0</v>
      </c>
      <c r="AA548">
        <v>0</v>
      </c>
      <c r="AB548">
        <v>3</v>
      </c>
      <c r="AC548">
        <v>0</v>
      </c>
      <c r="AD548">
        <v>0</v>
      </c>
      <c r="AE548">
        <v>0</v>
      </c>
      <c r="AF548">
        <v>0</v>
      </c>
      <c r="AG548">
        <v>23</v>
      </c>
      <c r="AH548">
        <v>1</v>
      </c>
      <c r="AI548">
        <v>4</v>
      </c>
      <c r="AJ548">
        <v>7</v>
      </c>
      <c r="AK548">
        <v>3</v>
      </c>
      <c r="AL548">
        <v>6</v>
      </c>
      <c r="AM548">
        <v>0</v>
      </c>
      <c r="AQ548">
        <v>526</v>
      </c>
      <c r="AR548">
        <v>66.66</v>
      </c>
      <c r="AS548">
        <v>35063.160000000003</v>
      </c>
    </row>
    <row r="549" spans="1:45" hidden="1">
      <c r="A549" t="s">
        <v>11</v>
      </c>
      <c r="B549" t="s">
        <v>739</v>
      </c>
      <c r="C549" t="s">
        <v>666</v>
      </c>
      <c r="D549" t="s">
        <v>378</v>
      </c>
      <c r="E549" t="s">
        <v>138</v>
      </c>
      <c r="F549" t="s">
        <v>379</v>
      </c>
      <c r="G549" t="s">
        <v>380</v>
      </c>
      <c r="I549">
        <v>0</v>
      </c>
      <c r="J549">
        <v>0</v>
      </c>
      <c r="K549">
        <v>0</v>
      </c>
      <c r="L549">
        <v>0</v>
      </c>
      <c r="M549">
        <v>2</v>
      </c>
      <c r="N549">
        <v>0</v>
      </c>
      <c r="O549">
        <v>0</v>
      </c>
      <c r="P549">
        <v>0</v>
      </c>
      <c r="Q549">
        <v>0</v>
      </c>
      <c r="R549">
        <v>0</v>
      </c>
      <c r="S549">
        <v>0</v>
      </c>
      <c r="T549">
        <v>0</v>
      </c>
      <c r="U549">
        <v>0</v>
      </c>
      <c r="W549">
        <v>0</v>
      </c>
      <c r="X549">
        <v>0</v>
      </c>
      <c r="Y549">
        <v>0</v>
      </c>
      <c r="Z549">
        <v>0</v>
      </c>
      <c r="AA549">
        <v>0</v>
      </c>
      <c r="AB549">
        <v>0</v>
      </c>
      <c r="AC549">
        <v>0</v>
      </c>
      <c r="AD549">
        <v>0</v>
      </c>
      <c r="AE549">
        <v>0</v>
      </c>
      <c r="AF549">
        <v>0</v>
      </c>
      <c r="AG549">
        <v>0</v>
      </c>
      <c r="AH549">
        <v>0</v>
      </c>
      <c r="AI549">
        <v>0</v>
      </c>
      <c r="AJ549">
        <v>0</v>
      </c>
      <c r="AK549">
        <v>0</v>
      </c>
      <c r="AL549">
        <v>0</v>
      </c>
      <c r="AM549">
        <v>0</v>
      </c>
      <c r="AQ549">
        <v>2</v>
      </c>
      <c r="AR549">
        <v>389.86</v>
      </c>
      <c r="AS549">
        <v>779.72</v>
      </c>
    </row>
    <row r="550" spans="1:45" hidden="1">
      <c r="A550" t="s">
        <v>11</v>
      </c>
      <c r="B550" t="s">
        <v>739</v>
      </c>
      <c r="C550" t="s">
        <v>667</v>
      </c>
      <c r="D550" t="s">
        <v>281</v>
      </c>
      <c r="E550" t="s">
        <v>138</v>
      </c>
      <c r="F550" t="s">
        <v>384</v>
      </c>
      <c r="G550" t="s">
        <v>165</v>
      </c>
      <c r="H550">
        <v>13</v>
      </c>
      <c r="I550">
        <v>7</v>
      </c>
      <c r="J550">
        <v>7</v>
      </c>
      <c r="K550">
        <v>9</v>
      </c>
      <c r="L550">
        <v>16</v>
      </c>
      <c r="M550">
        <v>25</v>
      </c>
      <c r="N550">
        <v>0</v>
      </c>
      <c r="O550">
        <v>0</v>
      </c>
      <c r="P550">
        <v>0</v>
      </c>
      <c r="Q550">
        <v>0</v>
      </c>
      <c r="R550">
        <v>0</v>
      </c>
      <c r="S550">
        <v>0</v>
      </c>
      <c r="T550">
        <v>0</v>
      </c>
      <c r="U550">
        <v>0</v>
      </c>
      <c r="V550">
        <v>0</v>
      </c>
      <c r="W550">
        <v>0</v>
      </c>
      <c r="X550">
        <v>0</v>
      </c>
      <c r="Y550">
        <v>2</v>
      </c>
      <c r="Z550">
        <v>0</v>
      </c>
      <c r="AA550">
        <v>0</v>
      </c>
      <c r="AB550">
        <v>0</v>
      </c>
      <c r="AC550">
        <v>0</v>
      </c>
      <c r="AD550">
        <v>1</v>
      </c>
      <c r="AE550">
        <v>0</v>
      </c>
      <c r="AF550">
        <v>0</v>
      </c>
      <c r="AG550">
        <v>0</v>
      </c>
      <c r="AH550">
        <v>0</v>
      </c>
      <c r="AI550">
        <v>0</v>
      </c>
      <c r="AJ550">
        <v>1</v>
      </c>
      <c r="AK550">
        <v>0</v>
      </c>
      <c r="AL550">
        <v>0</v>
      </c>
      <c r="AM550">
        <v>1</v>
      </c>
      <c r="AQ550">
        <v>82</v>
      </c>
      <c r="AR550">
        <v>2227.0500000000002</v>
      </c>
      <c r="AS550">
        <v>182618.1</v>
      </c>
    </row>
    <row r="551" spans="1:45" hidden="1">
      <c r="A551" t="s">
        <v>11</v>
      </c>
      <c r="B551" t="s">
        <v>739</v>
      </c>
      <c r="C551" t="s">
        <v>162</v>
      </c>
      <c r="D551" t="s">
        <v>281</v>
      </c>
      <c r="E551" t="s">
        <v>138</v>
      </c>
      <c r="F551" t="s">
        <v>164</v>
      </c>
      <c r="G551" t="s">
        <v>165</v>
      </c>
      <c r="H551">
        <v>2</v>
      </c>
      <c r="I551">
        <v>1</v>
      </c>
      <c r="J551">
        <v>0</v>
      </c>
      <c r="K551">
        <v>2</v>
      </c>
      <c r="L551">
        <v>6</v>
      </c>
      <c r="M551">
        <v>5</v>
      </c>
      <c r="N551">
        <v>0</v>
      </c>
      <c r="O551">
        <v>0</v>
      </c>
      <c r="P551">
        <v>0</v>
      </c>
      <c r="Q551">
        <v>0</v>
      </c>
      <c r="R551">
        <v>0</v>
      </c>
      <c r="S551">
        <v>0</v>
      </c>
      <c r="T551">
        <v>0</v>
      </c>
      <c r="U551">
        <v>0</v>
      </c>
      <c r="V551">
        <v>0</v>
      </c>
      <c r="W551">
        <v>0</v>
      </c>
      <c r="X551">
        <v>0</v>
      </c>
      <c r="Y551">
        <v>0</v>
      </c>
      <c r="Z551">
        <v>0</v>
      </c>
      <c r="AA551">
        <v>0</v>
      </c>
      <c r="AB551">
        <v>0</v>
      </c>
      <c r="AC551">
        <v>0</v>
      </c>
      <c r="AD551">
        <v>0</v>
      </c>
      <c r="AE551">
        <v>0</v>
      </c>
      <c r="AF551">
        <v>0</v>
      </c>
      <c r="AG551">
        <v>0</v>
      </c>
      <c r="AH551">
        <v>0</v>
      </c>
      <c r="AI551">
        <v>0</v>
      </c>
      <c r="AJ551">
        <v>0</v>
      </c>
      <c r="AK551">
        <v>0</v>
      </c>
      <c r="AL551">
        <v>0</v>
      </c>
      <c r="AM551">
        <v>0</v>
      </c>
      <c r="AQ551">
        <v>16</v>
      </c>
      <c r="AR551">
        <v>4242</v>
      </c>
      <c r="AS551">
        <v>67872</v>
      </c>
    </row>
    <row r="552" spans="1:45" hidden="1">
      <c r="A552" t="s">
        <v>11</v>
      </c>
      <c r="B552" t="s">
        <v>739</v>
      </c>
      <c r="C552" t="s">
        <v>668</v>
      </c>
      <c r="D552" t="s">
        <v>381</v>
      </c>
      <c r="E552" t="s">
        <v>138</v>
      </c>
      <c r="F552" t="s">
        <v>382</v>
      </c>
      <c r="G552" t="s">
        <v>383</v>
      </c>
      <c r="I552">
        <v>0</v>
      </c>
      <c r="J552">
        <v>0</v>
      </c>
      <c r="K552">
        <v>0</v>
      </c>
      <c r="L552">
        <v>16</v>
      </c>
      <c r="M552">
        <v>120</v>
      </c>
      <c r="N552">
        <v>0</v>
      </c>
      <c r="O552">
        <v>0</v>
      </c>
      <c r="P552">
        <v>0</v>
      </c>
      <c r="Q552">
        <v>0</v>
      </c>
      <c r="R552">
        <v>0</v>
      </c>
      <c r="S552">
        <v>0</v>
      </c>
      <c r="T552">
        <v>0</v>
      </c>
      <c r="U552">
        <v>0</v>
      </c>
      <c r="V552">
        <v>0</v>
      </c>
      <c r="W552">
        <v>0</v>
      </c>
      <c r="X552">
        <v>0</v>
      </c>
      <c r="Y552">
        <v>0</v>
      </c>
      <c r="Z552">
        <v>0</v>
      </c>
      <c r="AA552">
        <v>0</v>
      </c>
      <c r="AB552">
        <v>0</v>
      </c>
      <c r="AC552">
        <v>0</v>
      </c>
      <c r="AD552">
        <v>0</v>
      </c>
      <c r="AE552">
        <v>0</v>
      </c>
      <c r="AF552">
        <v>0</v>
      </c>
      <c r="AG552">
        <v>0</v>
      </c>
      <c r="AH552">
        <v>0</v>
      </c>
      <c r="AI552">
        <v>0</v>
      </c>
      <c r="AJ552">
        <v>0</v>
      </c>
      <c r="AK552">
        <v>0</v>
      </c>
      <c r="AL552">
        <v>0</v>
      </c>
      <c r="AM552">
        <v>0</v>
      </c>
      <c r="AQ552">
        <v>136</v>
      </c>
      <c r="AR552">
        <v>39.39</v>
      </c>
      <c r="AS552">
        <v>5357.04</v>
      </c>
    </row>
    <row r="553" spans="1:45" hidden="1">
      <c r="A553" t="s">
        <v>11</v>
      </c>
      <c r="B553" t="s">
        <v>739</v>
      </c>
      <c r="C553" t="s">
        <v>166</v>
      </c>
      <c r="D553" t="s">
        <v>282</v>
      </c>
      <c r="E553" t="s">
        <v>138</v>
      </c>
      <c r="F553" t="s">
        <v>168</v>
      </c>
      <c r="G553" t="s">
        <v>169</v>
      </c>
      <c r="H553">
        <v>11298</v>
      </c>
      <c r="I553">
        <v>11041</v>
      </c>
      <c r="J553">
        <v>3905</v>
      </c>
      <c r="K553">
        <v>3575</v>
      </c>
      <c r="L553">
        <v>17180</v>
      </c>
      <c r="M553">
        <v>52677</v>
      </c>
      <c r="N553">
        <v>0</v>
      </c>
      <c r="O553">
        <v>0</v>
      </c>
      <c r="P553">
        <v>0</v>
      </c>
      <c r="Q553">
        <v>0</v>
      </c>
      <c r="R553">
        <v>0</v>
      </c>
      <c r="S553">
        <v>0</v>
      </c>
      <c r="T553">
        <v>0</v>
      </c>
      <c r="U553">
        <v>0</v>
      </c>
      <c r="V553">
        <v>0</v>
      </c>
      <c r="W553">
        <v>0</v>
      </c>
      <c r="X553">
        <v>0</v>
      </c>
      <c r="Y553">
        <v>3840</v>
      </c>
      <c r="Z553">
        <v>0</v>
      </c>
      <c r="AA553">
        <v>0</v>
      </c>
      <c r="AB553">
        <v>0</v>
      </c>
      <c r="AC553">
        <v>0</v>
      </c>
      <c r="AD553">
        <v>534</v>
      </c>
      <c r="AE553">
        <v>0</v>
      </c>
      <c r="AF553">
        <v>0</v>
      </c>
      <c r="AG553">
        <v>0</v>
      </c>
      <c r="AH553">
        <v>0</v>
      </c>
      <c r="AI553">
        <v>0</v>
      </c>
      <c r="AJ553">
        <v>255</v>
      </c>
      <c r="AK553">
        <v>0</v>
      </c>
      <c r="AL553">
        <v>0</v>
      </c>
      <c r="AM553">
        <v>1100</v>
      </c>
      <c r="AQ553">
        <v>105405</v>
      </c>
      <c r="AR553">
        <v>1.111</v>
      </c>
      <c r="AS553">
        <v>117104.955</v>
      </c>
    </row>
    <row r="554" spans="1:45" hidden="1">
      <c r="A554" t="s">
        <v>11</v>
      </c>
      <c r="B554" t="s">
        <v>739</v>
      </c>
      <c r="C554" t="s">
        <v>669</v>
      </c>
      <c r="D554" t="s">
        <v>385</v>
      </c>
      <c r="E554" t="s">
        <v>138</v>
      </c>
      <c r="F554" t="s">
        <v>386</v>
      </c>
      <c r="G554" t="s">
        <v>387</v>
      </c>
      <c r="I554">
        <v>0</v>
      </c>
      <c r="J554">
        <v>0</v>
      </c>
      <c r="K554">
        <v>0</v>
      </c>
      <c r="L554">
        <v>0</v>
      </c>
      <c r="M554">
        <v>2</v>
      </c>
      <c r="N554">
        <v>0</v>
      </c>
      <c r="O554">
        <v>0</v>
      </c>
      <c r="P554">
        <v>0</v>
      </c>
      <c r="Q554">
        <v>0</v>
      </c>
      <c r="R554">
        <v>0</v>
      </c>
      <c r="S554">
        <v>0</v>
      </c>
      <c r="T554">
        <v>0</v>
      </c>
      <c r="U554">
        <v>0</v>
      </c>
      <c r="V554">
        <v>0</v>
      </c>
      <c r="W554">
        <v>0</v>
      </c>
      <c r="X554">
        <v>0</v>
      </c>
      <c r="Y554">
        <v>0</v>
      </c>
      <c r="Z554">
        <v>0</v>
      </c>
      <c r="AA554">
        <v>0</v>
      </c>
      <c r="AB554">
        <v>0</v>
      </c>
      <c r="AC554">
        <v>0</v>
      </c>
      <c r="AD554">
        <v>0</v>
      </c>
      <c r="AE554">
        <v>0</v>
      </c>
      <c r="AF554">
        <v>0</v>
      </c>
      <c r="AG554">
        <v>0</v>
      </c>
      <c r="AH554">
        <v>0</v>
      </c>
      <c r="AI554">
        <v>0</v>
      </c>
      <c r="AJ554">
        <v>0</v>
      </c>
      <c r="AK554">
        <v>0</v>
      </c>
      <c r="AL554">
        <v>0</v>
      </c>
      <c r="AM554">
        <v>0</v>
      </c>
      <c r="AQ554">
        <v>2</v>
      </c>
      <c r="AR554">
        <v>22270.5</v>
      </c>
      <c r="AS554">
        <v>44541</v>
      </c>
    </row>
    <row r="555" spans="1:45" hidden="1">
      <c r="A555" t="s">
        <v>11</v>
      </c>
      <c r="B555" t="s">
        <v>739</v>
      </c>
      <c r="C555" t="s">
        <v>670</v>
      </c>
      <c r="D555" t="s">
        <v>385</v>
      </c>
      <c r="E555" t="s">
        <v>138</v>
      </c>
      <c r="F555" t="s">
        <v>388</v>
      </c>
      <c r="G555" t="s">
        <v>389</v>
      </c>
      <c r="H555">
        <v>450</v>
      </c>
      <c r="I555">
        <v>450</v>
      </c>
      <c r="J555">
        <v>1000</v>
      </c>
      <c r="K555">
        <v>300</v>
      </c>
      <c r="L555">
        <v>450</v>
      </c>
      <c r="M555">
        <v>1500</v>
      </c>
      <c r="N555">
        <v>35</v>
      </c>
      <c r="O555">
        <v>35</v>
      </c>
      <c r="P555">
        <v>35</v>
      </c>
      <c r="Q555">
        <v>35</v>
      </c>
      <c r="R555">
        <v>35</v>
      </c>
      <c r="S555">
        <v>35</v>
      </c>
      <c r="T555">
        <v>35</v>
      </c>
      <c r="U555">
        <v>35</v>
      </c>
      <c r="V555">
        <v>35</v>
      </c>
      <c r="W555">
        <v>35</v>
      </c>
      <c r="X555">
        <v>35</v>
      </c>
      <c r="Y555">
        <v>35</v>
      </c>
      <c r="Z555">
        <v>35</v>
      </c>
      <c r="AA555">
        <v>35</v>
      </c>
      <c r="AB555">
        <v>35</v>
      </c>
      <c r="AC555">
        <v>35</v>
      </c>
      <c r="AD555">
        <v>35</v>
      </c>
      <c r="AE555">
        <v>35</v>
      </c>
      <c r="AF555">
        <v>35</v>
      </c>
      <c r="AG555">
        <v>35</v>
      </c>
      <c r="AH555">
        <v>35</v>
      </c>
      <c r="AI555">
        <v>35</v>
      </c>
      <c r="AJ555">
        <v>35</v>
      </c>
      <c r="AK555">
        <v>35</v>
      </c>
      <c r="AL555">
        <v>35</v>
      </c>
      <c r="AM555">
        <v>35</v>
      </c>
      <c r="AQ555">
        <v>5060</v>
      </c>
      <c r="AR555">
        <v>0.22220000000000001</v>
      </c>
      <c r="AS555">
        <v>1124.3320000000001</v>
      </c>
    </row>
    <row r="556" spans="1:45" hidden="1">
      <c r="A556" t="s">
        <v>11</v>
      </c>
      <c r="B556" t="s">
        <v>739</v>
      </c>
      <c r="C556" t="s">
        <v>671</v>
      </c>
      <c r="D556" t="s">
        <v>393</v>
      </c>
      <c r="E556" t="s">
        <v>138</v>
      </c>
      <c r="F556" t="s">
        <v>394</v>
      </c>
      <c r="G556" t="s">
        <v>395</v>
      </c>
      <c r="I556">
        <v>0</v>
      </c>
      <c r="J556">
        <v>0</v>
      </c>
      <c r="K556">
        <v>0</v>
      </c>
      <c r="L556">
        <v>0</v>
      </c>
      <c r="M556">
        <v>0</v>
      </c>
      <c r="N556">
        <v>0</v>
      </c>
      <c r="O556">
        <v>0</v>
      </c>
      <c r="P556">
        <v>0</v>
      </c>
      <c r="Q556">
        <v>0</v>
      </c>
      <c r="R556">
        <v>0</v>
      </c>
      <c r="S556">
        <v>0</v>
      </c>
      <c r="T556">
        <v>0</v>
      </c>
      <c r="U556">
        <v>0</v>
      </c>
      <c r="V556">
        <v>0</v>
      </c>
      <c r="W556">
        <v>0</v>
      </c>
      <c r="X556">
        <v>0</v>
      </c>
      <c r="Y556">
        <v>0</v>
      </c>
      <c r="AG556">
        <v>0</v>
      </c>
      <c r="AH556">
        <v>0</v>
      </c>
      <c r="AI556">
        <v>0</v>
      </c>
      <c r="AL556">
        <v>0</v>
      </c>
      <c r="AM556">
        <v>0</v>
      </c>
      <c r="AQ556">
        <v>0</v>
      </c>
      <c r="AR556">
        <v>99.99</v>
      </c>
      <c r="AS556">
        <v>0</v>
      </c>
    </row>
    <row r="557" spans="1:45" hidden="1">
      <c r="A557" t="s">
        <v>11</v>
      </c>
      <c r="B557" t="s">
        <v>739</v>
      </c>
      <c r="C557" t="s">
        <v>672</v>
      </c>
      <c r="D557" t="s">
        <v>393</v>
      </c>
      <c r="E557" t="s">
        <v>138</v>
      </c>
      <c r="F557" t="s">
        <v>396</v>
      </c>
      <c r="G557" t="s">
        <v>395</v>
      </c>
      <c r="I557">
        <v>0</v>
      </c>
      <c r="J557">
        <v>0</v>
      </c>
      <c r="K557">
        <v>0</v>
      </c>
      <c r="L557">
        <v>0</v>
      </c>
      <c r="M557">
        <v>0</v>
      </c>
      <c r="N557">
        <v>0</v>
      </c>
      <c r="O557">
        <v>0</v>
      </c>
      <c r="Q557">
        <v>0</v>
      </c>
      <c r="R557">
        <v>0</v>
      </c>
      <c r="S557">
        <v>0</v>
      </c>
      <c r="T557">
        <v>0</v>
      </c>
      <c r="U557">
        <v>0</v>
      </c>
      <c r="V557">
        <v>0</v>
      </c>
      <c r="W557">
        <v>0</v>
      </c>
      <c r="X557">
        <v>0</v>
      </c>
      <c r="Y557">
        <v>0</v>
      </c>
      <c r="AB557">
        <v>0</v>
      </c>
      <c r="AE557">
        <v>0</v>
      </c>
      <c r="AG557">
        <v>0</v>
      </c>
      <c r="AH557">
        <v>0</v>
      </c>
      <c r="AI557">
        <v>0</v>
      </c>
      <c r="AL557">
        <v>0</v>
      </c>
      <c r="AM557">
        <v>0</v>
      </c>
      <c r="AQ557">
        <v>0</v>
      </c>
      <c r="AR557">
        <v>99.99</v>
      </c>
      <c r="AS557">
        <v>0</v>
      </c>
    </row>
    <row r="558" spans="1:45" hidden="1">
      <c r="A558" t="s">
        <v>11</v>
      </c>
      <c r="B558" t="s">
        <v>739</v>
      </c>
      <c r="C558" t="s">
        <v>673</v>
      </c>
      <c r="D558" t="s">
        <v>393</v>
      </c>
      <c r="E558" t="s">
        <v>138</v>
      </c>
      <c r="F558" t="s">
        <v>397</v>
      </c>
      <c r="G558" t="s">
        <v>395</v>
      </c>
      <c r="I558">
        <v>0</v>
      </c>
      <c r="J558">
        <v>0</v>
      </c>
      <c r="K558">
        <v>0</v>
      </c>
      <c r="L558">
        <v>0</v>
      </c>
      <c r="M558">
        <v>0</v>
      </c>
      <c r="N558">
        <v>0</v>
      </c>
      <c r="O558">
        <v>0</v>
      </c>
      <c r="Q558">
        <v>0</v>
      </c>
      <c r="R558">
        <v>0</v>
      </c>
      <c r="S558">
        <v>0</v>
      </c>
      <c r="T558">
        <v>0</v>
      </c>
      <c r="U558">
        <v>0</v>
      </c>
      <c r="V558">
        <v>0</v>
      </c>
      <c r="W558">
        <v>0</v>
      </c>
      <c r="X558">
        <v>0</v>
      </c>
      <c r="Y558">
        <v>0</v>
      </c>
      <c r="AG558">
        <v>0</v>
      </c>
      <c r="AH558">
        <v>0</v>
      </c>
      <c r="AI558">
        <v>0</v>
      </c>
      <c r="AL558">
        <v>0</v>
      </c>
      <c r="AM558">
        <v>0</v>
      </c>
      <c r="AQ558">
        <v>0</v>
      </c>
      <c r="AR558">
        <v>66.66</v>
      </c>
      <c r="AS558">
        <v>0</v>
      </c>
    </row>
    <row r="559" spans="1:45" hidden="1">
      <c r="A559" t="s">
        <v>11</v>
      </c>
      <c r="B559" t="s">
        <v>739</v>
      </c>
      <c r="C559" t="s">
        <v>674</v>
      </c>
      <c r="D559" t="s">
        <v>287</v>
      </c>
      <c r="E559" t="s">
        <v>138</v>
      </c>
      <c r="F559" t="s">
        <v>402</v>
      </c>
      <c r="G559" t="s">
        <v>403</v>
      </c>
      <c r="I559">
        <v>0</v>
      </c>
      <c r="J559">
        <v>0</v>
      </c>
      <c r="K559">
        <v>0</v>
      </c>
      <c r="L559">
        <v>0</v>
      </c>
      <c r="M559">
        <v>0</v>
      </c>
      <c r="N559">
        <v>0</v>
      </c>
      <c r="O559">
        <v>0</v>
      </c>
      <c r="P559">
        <v>0</v>
      </c>
      <c r="Q559">
        <v>0</v>
      </c>
      <c r="R559">
        <v>0</v>
      </c>
      <c r="S559">
        <v>0</v>
      </c>
      <c r="T559">
        <v>0</v>
      </c>
      <c r="U559">
        <v>0</v>
      </c>
      <c r="V559">
        <v>0</v>
      </c>
      <c r="W559">
        <v>0</v>
      </c>
      <c r="X559">
        <v>0</v>
      </c>
      <c r="Y559">
        <v>0</v>
      </c>
      <c r="AA559">
        <v>0</v>
      </c>
      <c r="AD559">
        <v>0</v>
      </c>
      <c r="AE559">
        <v>0</v>
      </c>
      <c r="AF559">
        <v>0</v>
      </c>
      <c r="AG559">
        <v>0</v>
      </c>
      <c r="AH559">
        <v>0</v>
      </c>
      <c r="AI559">
        <v>0</v>
      </c>
      <c r="AJ559">
        <v>0</v>
      </c>
      <c r="AL559">
        <v>0</v>
      </c>
      <c r="AM559">
        <v>0</v>
      </c>
      <c r="AQ559">
        <v>0</v>
      </c>
      <c r="AR559">
        <v>318150</v>
      </c>
      <c r="AS559">
        <v>0</v>
      </c>
    </row>
    <row r="560" spans="1:45" hidden="1">
      <c r="A560" t="s">
        <v>11</v>
      </c>
      <c r="B560" t="s">
        <v>739</v>
      </c>
      <c r="C560" t="s">
        <v>675</v>
      </c>
      <c r="D560" t="s">
        <v>390</v>
      </c>
      <c r="E560" t="s">
        <v>138</v>
      </c>
      <c r="F560" t="s">
        <v>391</v>
      </c>
      <c r="G560" t="s">
        <v>392</v>
      </c>
      <c r="I560">
        <v>0</v>
      </c>
      <c r="J560">
        <v>0</v>
      </c>
      <c r="K560">
        <v>0</v>
      </c>
      <c r="L560">
        <v>0</v>
      </c>
      <c r="M560">
        <v>0</v>
      </c>
      <c r="N560">
        <v>0</v>
      </c>
      <c r="O560">
        <v>0</v>
      </c>
      <c r="P560">
        <v>0</v>
      </c>
      <c r="Q560">
        <v>0</v>
      </c>
      <c r="R560">
        <v>0</v>
      </c>
      <c r="S560">
        <v>0</v>
      </c>
      <c r="T560">
        <v>0</v>
      </c>
      <c r="U560">
        <v>0</v>
      </c>
      <c r="V560">
        <v>0</v>
      </c>
      <c r="W560">
        <v>0</v>
      </c>
      <c r="X560">
        <v>0</v>
      </c>
      <c r="Y560">
        <v>0</v>
      </c>
      <c r="AG560">
        <v>0</v>
      </c>
      <c r="AH560">
        <v>0</v>
      </c>
      <c r="AI560">
        <v>0</v>
      </c>
      <c r="AL560">
        <v>0</v>
      </c>
      <c r="AM560">
        <v>0</v>
      </c>
      <c r="AQ560">
        <v>0</v>
      </c>
      <c r="AR560">
        <v>1336.23</v>
      </c>
      <c r="AS560">
        <v>0</v>
      </c>
    </row>
    <row r="561" spans="1:45" hidden="1">
      <c r="A561" t="s">
        <v>11</v>
      </c>
      <c r="B561" t="s">
        <v>739</v>
      </c>
      <c r="C561" t="s">
        <v>676</v>
      </c>
      <c r="D561" t="s">
        <v>398</v>
      </c>
      <c r="E561" t="s">
        <v>138</v>
      </c>
      <c r="F561" t="s">
        <v>399</v>
      </c>
      <c r="G561" t="s">
        <v>400</v>
      </c>
      <c r="I561">
        <v>0</v>
      </c>
      <c r="J561">
        <v>0</v>
      </c>
      <c r="K561">
        <v>0</v>
      </c>
      <c r="L561">
        <v>0</v>
      </c>
      <c r="M561">
        <v>0</v>
      </c>
      <c r="N561">
        <v>0</v>
      </c>
      <c r="O561">
        <v>0</v>
      </c>
      <c r="P561">
        <v>0</v>
      </c>
      <c r="Q561">
        <v>0</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Q561">
        <v>0</v>
      </c>
      <c r="AR561">
        <v>14475.825000000001</v>
      </c>
      <c r="AS561">
        <v>0</v>
      </c>
    </row>
    <row r="562" spans="1:45" hidden="1">
      <c r="A562" t="s">
        <v>11</v>
      </c>
      <c r="B562" t="s">
        <v>739</v>
      </c>
      <c r="C562" t="s">
        <v>170</v>
      </c>
      <c r="D562" t="s">
        <v>171</v>
      </c>
      <c r="E562" t="s">
        <v>172</v>
      </c>
      <c r="F562" t="s">
        <v>173</v>
      </c>
      <c r="G562" t="s">
        <v>152</v>
      </c>
      <c r="H562">
        <v>20888</v>
      </c>
      <c r="I562">
        <v>11041</v>
      </c>
      <c r="J562">
        <v>12520</v>
      </c>
      <c r="K562">
        <v>12723</v>
      </c>
      <c r="L562">
        <v>17180</v>
      </c>
      <c r="M562">
        <v>54927</v>
      </c>
      <c r="N562">
        <v>481</v>
      </c>
      <c r="O562">
        <v>177</v>
      </c>
      <c r="P562">
        <v>1661</v>
      </c>
      <c r="Q562">
        <v>230</v>
      </c>
      <c r="R562">
        <v>1172</v>
      </c>
      <c r="S562">
        <v>453</v>
      </c>
      <c r="T562">
        <v>1103</v>
      </c>
      <c r="U562">
        <v>2054</v>
      </c>
      <c r="V562">
        <v>567</v>
      </c>
      <c r="W562">
        <v>120</v>
      </c>
      <c r="X562">
        <v>854</v>
      </c>
      <c r="Y562">
        <v>3840</v>
      </c>
      <c r="Z562">
        <v>1045</v>
      </c>
      <c r="AA562">
        <v>265</v>
      </c>
      <c r="AB562">
        <v>758</v>
      </c>
      <c r="AC562">
        <v>385</v>
      </c>
      <c r="AD562">
        <v>1173</v>
      </c>
      <c r="AE562">
        <v>1345</v>
      </c>
      <c r="AF562">
        <v>253</v>
      </c>
      <c r="AG562">
        <v>1875</v>
      </c>
      <c r="AH562">
        <v>1371</v>
      </c>
      <c r="AI562">
        <v>100</v>
      </c>
      <c r="AJ562">
        <v>1574</v>
      </c>
      <c r="AK562">
        <v>70</v>
      </c>
      <c r="AL562">
        <v>73</v>
      </c>
      <c r="AM562">
        <v>1100</v>
      </c>
      <c r="AQ562">
        <v>153378</v>
      </c>
      <c r="AR562">
        <v>1.2726</v>
      </c>
      <c r="AS562">
        <v>195188.84280000001</v>
      </c>
    </row>
    <row r="563" spans="1:45" hidden="1">
      <c r="A563" t="s">
        <v>11</v>
      </c>
      <c r="B563" t="s">
        <v>739</v>
      </c>
      <c r="C563" t="s">
        <v>677</v>
      </c>
      <c r="D563" t="s">
        <v>405</v>
      </c>
      <c r="E563" t="s">
        <v>172</v>
      </c>
      <c r="F563" t="s">
        <v>406</v>
      </c>
      <c r="G563" t="s">
        <v>407</v>
      </c>
      <c r="H563">
        <v>35</v>
      </c>
      <c r="I563">
        <v>20</v>
      </c>
      <c r="J563">
        <v>92</v>
      </c>
      <c r="K563">
        <v>15</v>
      </c>
      <c r="L563">
        <v>197</v>
      </c>
      <c r="M563">
        <v>140</v>
      </c>
      <c r="N563">
        <v>3</v>
      </c>
      <c r="O563">
        <v>0</v>
      </c>
      <c r="P563">
        <v>0</v>
      </c>
      <c r="Q563">
        <v>1</v>
      </c>
      <c r="R563">
        <v>7</v>
      </c>
      <c r="S563">
        <v>1</v>
      </c>
      <c r="T563">
        <v>5</v>
      </c>
      <c r="U563">
        <v>15</v>
      </c>
      <c r="V563">
        <v>2</v>
      </c>
      <c r="W563">
        <v>0</v>
      </c>
      <c r="X563">
        <v>6</v>
      </c>
      <c r="Y563">
        <v>0</v>
      </c>
      <c r="Z563">
        <v>2</v>
      </c>
      <c r="AA563">
        <v>12</v>
      </c>
      <c r="AB563">
        <v>10</v>
      </c>
      <c r="AC563">
        <v>3</v>
      </c>
      <c r="AD563">
        <v>5</v>
      </c>
      <c r="AE563">
        <v>22</v>
      </c>
      <c r="AF563">
        <v>6</v>
      </c>
      <c r="AG563">
        <v>6</v>
      </c>
      <c r="AH563">
        <v>12</v>
      </c>
      <c r="AI563">
        <v>0</v>
      </c>
      <c r="AJ563">
        <v>8</v>
      </c>
      <c r="AK563">
        <v>1</v>
      </c>
      <c r="AL563">
        <v>0</v>
      </c>
      <c r="AM563">
        <v>32</v>
      </c>
      <c r="AQ563">
        <v>658</v>
      </c>
      <c r="AR563">
        <v>47.47</v>
      </c>
      <c r="AS563">
        <v>31235.26</v>
      </c>
    </row>
    <row r="564" spans="1:45" hidden="1">
      <c r="A564" t="s">
        <v>11</v>
      </c>
      <c r="B564" t="s">
        <v>739</v>
      </c>
      <c r="C564" t="s">
        <v>678</v>
      </c>
      <c r="D564" t="s">
        <v>408</v>
      </c>
      <c r="E564" t="s">
        <v>172</v>
      </c>
      <c r="F564" t="s">
        <v>409</v>
      </c>
      <c r="G564" t="s">
        <v>410</v>
      </c>
      <c r="H564">
        <v>400</v>
      </c>
      <c r="I564">
        <v>150</v>
      </c>
      <c r="J564">
        <v>156</v>
      </c>
      <c r="K564">
        <v>92</v>
      </c>
      <c r="L564">
        <v>582</v>
      </c>
      <c r="M564">
        <v>400</v>
      </c>
      <c r="N564">
        <v>0</v>
      </c>
      <c r="O564">
        <v>0</v>
      </c>
      <c r="P564">
        <v>0</v>
      </c>
      <c r="Q564">
        <v>5</v>
      </c>
      <c r="R564">
        <v>10</v>
      </c>
      <c r="S564">
        <v>5</v>
      </c>
      <c r="T564">
        <v>0</v>
      </c>
      <c r="U564">
        <v>10</v>
      </c>
      <c r="V564">
        <v>0</v>
      </c>
      <c r="W564">
        <v>0</v>
      </c>
      <c r="X564">
        <v>0</v>
      </c>
      <c r="Y564">
        <v>0</v>
      </c>
      <c r="Z564">
        <v>5</v>
      </c>
      <c r="AA564">
        <v>3</v>
      </c>
      <c r="AB564">
        <v>0</v>
      </c>
      <c r="AC564">
        <v>0</v>
      </c>
      <c r="AD564">
        <v>0</v>
      </c>
      <c r="AE564">
        <v>20</v>
      </c>
      <c r="AF564">
        <v>2</v>
      </c>
      <c r="AG564">
        <v>0</v>
      </c>
      <c r="AH564">
        <v>0</v>
      </c>
      <c r="AI564">
        <v>0</v>
      </c>
      <c r="AJ564">
        <v>0</v>
      </c>
      <c r="AK564">
        <v>0</v>
      </c>
      <c r="AL564">
        <v>0</v>
      </c>
      <c r="AM564">
        <v>50</v>
      </c>
      <c r="AQ564">
        <v>1890</v>
      </c>
      <c r="AR564">
        <v>1.0605</v>
      </c>
      <c r="AS564">
        <v>2004.345</v>
      </c>
    </row>
    <row r="565" spans="1:45" hidden="1">
      <c r="A565" t="s">
        <v>11</v>
      </c>
      <c r="B565" t="s">
        <v>739</v>
      </c>
      <c r="C565" t="s">
        <v>679</v>
      </c>
      <c r="D565" t="s">
        <v>411</v>
      </c>
      <c r="E565" t="s">
        <v>172</v>
      </c>
      <c r="F565" t="s">
        <v>412</v>
      </c>
      <c r="G565" t="s">
        <v>413</v>
      </c>
      <c r="H565">
        <v>184</v>
      </c>
      <c r="I565">
        <v>20</v>
      </c>
      <c r="J565">
        <v>125</v>
      </c>
      <c r="K565">
        <v>123</v>
      </c>
      <c r="L565">
        <v>121</v>
      </c>
      <c r="M565">
        <v>247</v>
      </c>
      <c r="N565">
        <v>0</v>
      </c>
      <c r="O565">
        <v>0</v>
      </c>
      <c r="P565">
        <v>0</v>
      </c>
      <c r="Q565">
        <v>0</v>
      </c>
      <c r="R565">
        <v>0</v>
      </c>
      <c r="S565">
        <v>0</v>
      </c>
      <c r="T565">
        <v>0</v>
      </c>
      <c r="U565">
        <v>0</v>
      </c>
      <c r="V565">
        <v>0</v>
      </c>
      <c r="W565">
        <v>0</v>
      </c>
      <c r="X565">
        <v>0</v>
      </c>
      <c r="Y565">
        <v>0</v>
      </c>
      <c r="Z565">
        <v>0</v>
      </c>
      <c r="AA565">
        <v>0</v>
      </c>
      <c r="AB565">
        <v>0</v>
      </c>
      <c r="AC565">
        <v>0</v>
      </c>
      <c r="AD565">
        <v>10</v>
      </c>
      <c r="AE565">
        <v>0</v>
      </c>
      <c r="AF565">
        <v>0</v>
      </c>
      <c r="AG565">
        <v>0</v>
      </c>
      <c r="AH565">
        <v>0</v>
      </c>
      <c r="AI565">
        <v>0</v>
      </c>
      <c r="AJ565">
        <v>0</v>
      </c>
      <c r="AK565">
        <v>0</v>
      </c>
      <c r="AL565">
        <v>0</v>
      </c>
      <c r="AM565">
        <v>0</v>
      </c>
      <c r="AQ565">
        <v>830</v>
      </c>
      <c r="AR565">
        <v>37.1175</v>
      </c>
      <c r="AS565">
        <v>30807.525000000001</v>
      </c>
    </row>
    <row r="566" spans="1:45" hidden="1">
      <c r="A566" t="s">
        <v>11</v>
      </c>
      <c r="B566" t="s">
        <v>739</v>
      </c>
      <c r="C566" t="s">
        <v>680</v>
      </c>
      <c r="D566" t="s">
        <v>414</v>
      </c>
      <c r="E566" t="s">
        <v>172</v>
      </c>
      <c r="F566" t="s">
        <v>415</v>
      </c>
      <c r="G566" t="s">
        <v>224</v>
      </c>
      <c r="H566">
        <v>5</v>
      </c>
      <c r="I566">
        <v>1</v>
      </c>
      <c r="J566">
        <v>1</v>
      </c>
      <c r="K566">
        <v>1</v>
      </c>
      <c r="L566">
        <v>3</v>
      </c>
      <c r="M566">
        <v>2</v>
      </c>
      <c r="N566">
        <v>0</v>
      </c>
      <c r="O566">
        <v>0</v>
      </c>
      <c r="P566">
        <v>0</v>
      </c>
      <c r="Q566">
        <v>0</v>
      </c>
      <c r="R566">
        <v>0</v>
      </c>
      <c r="S566">
        <v>0</v>
      </c>
      <c r="T566">
        <v>0</v>
      </c>
      <c r="U566">
        <v>0</v>
      </c>
      <c r="V566">
        <v>0</v>
      </c>
      <c r="W566">
        <v>0</v>
      </c>
      <c r="X566">
        <v>0</v>
      </c>
      <c r="Y566">
        <v>0</v>
      </c>
      <c r="Z566">
        <v>0</v>
      </c>
      <c r="AA566">
        <v>0</v>
      </c>
      <c r="AB566">
        <v>0</v>
      </c>
      <c r="AC566">
        <v>0</v>
      </c>
      <c r="AD566">
        <v>0</v>
      </c>
      <c r="AE566">
        <v>2</v>
      </c>
      <c r="AF566">
        <v>0</v>
      </c>
      <c r="AG566">
        <v>0</v>
      </c>
      <c r="AH566">
        <v>0</v>
      </c>
      <c r="AI566">
        <v>0</v>
      </c>
      <c r="AJ566">
        <v>0</v>
      </c>
      <c r="AK566">
        <v>0</v>
      </c>
      <c r="AL566">
        <v>0</v>
      </c>
      <c r="AM566">
        <v>0</v>
      </c>
      <c r="AQ566">
        <v>15</v>
      </c>
      <c r="AR566">
        <v>42.42</v>
      </c>
      <c r="AS566">
        <v>636.29999999999995</v>
      </c>
    </row>
    <row r="567" spans="1:45" hidden="1">
      <c r="A567" t="s">
        <v>11</v>
      </c>
      <c r="B567" t="s">
        <v>739</v>
      </c>
      <c r="C567" t="s">
        <v>681</v>
      </c>
      <c r="D567" t="s">
        <v>416</v>
      </c>
      <c r="E567" t="s">
        <v>172</v>
      </c>
      <c r="F567" t="s">
        <v>417</v>
      </c>
      <c r="G567" t="s">
        <v>418</v>
      </c>
      <c r="H567">
        <v>1697</v>
      </c>
      <c r="I567">
        <v>0</v>
      </c>
      <c r="J567">
        <v>0</v>
      </c>
      <c r="K567">
        <v>0</v>
      </c>
      <c r="L567">
        <v>500</v>
      </c>
      <c r="M567">
        <v>3000</v>
      </c>
      <c r="N567">
        <v>482</v>
      </c>
      <c r="O567">
        <v>0</v>
      </c>
      <c r="P567">
        <v>1661</v>
      </c>
      <c r="Q567">
        <v>0</v>
      </c>
      <c r="R567">
        <v>1173</v>
      </c>
      <c r="S567">
        <v>0</v>
      </c>
      <c r="T567">
        <v>1103</v>
      </c>
      <c r="U567">
        <v>2054</v>
      </c>
      <c r="V567">
        <v>567</v>
      </c>
      <c r="W567">
        <v>0</v>
      </c>
      <c r="X567">
        <v>854</v>
      </c>
      <c r="Y567">
        <v>3840</v>
      </c>
      <c r="Z567">
        <v>0</v>
      </c>
      <c r="AA567">
        <v>0</v>
      </c>
      <c r="AB567">
        <v>758</v>
      </c>
      <c r="AC567">
        <v>0</v>
      </c>
      <c r="AD567">
        <v>0</v>
      </c>
      <c r="AE567">
        <v>0</v>
      </c>
      <c r="AF567">
        <v>0</v>
      </c>
      <c r="AG567">
        <v>1875</v>
      </c>
      <c r="AH567">
        <v>1371</v>
      </c>
      <c r="AI567">
        <v>0</v>
      </c>
      <c r="AJ567">
        <v>0</v>
      </c>
      <c r="AK567">
        <v>70</v>
      </c>
      <c r="AL567">
        <v>0</v>
      </c>
      <c r="AM567">
        <v>1100</v>
      </c>
      <c r="AQ567">
        <v>22105</v>
      </c>
      <c r="AR567">
        <v>0.32319999999999999</v>
      </c>
      <c r="AS567">
        <v>7144.3360000000002</v>
      </c>
    </row>
    <row r="568" spans="1:45" hidden="1">
      <c r="A568" t="s">
        <v>11</v>
      </c>
      <c r="B568" t="s">
        <v>739</v>
      </c>
      <c r="C568" t="s">
        <v>682</v>
      </c>
      <c r="D568" t="s">
        <v>419</v>
      </c>
      <c r="E568" t="s">
        <v>172</v>
      </c>
      <c r="F568" t="s">
        <v>420</v>
      </c>
      <c r="G568" t="s">
        <v>421</v>
      </c>
      <c r="H568">
        <v>2</v>
      </c>
      <c r="I568">
        <v>2</v>
      </c>
      <c r="J568">
        <v>2</v>
      </c>
      <c r="K568">
        <v>2</v>
      </c>
      <c r="L568">
        <v>1</v>
      </c>
      <c r="M568">
        <v>3</v>
      </c>
      <c r="N568">
        <v>0</v>
      </c>
      <c r="O568">
        <v>0</v>
      </c>
      <c r="P568">
        <v>1</v>
      </c>
      <c r="Q568">
        <v>1</v>
      </c>
      <c r="R568">
        <v>1</v>
      </c>
      <c r="S568">
        <v>1</v>
      </c>
      <c r="T568">
        <v>0</v>
      </c>
      <c r="U568">
        <v>1</v>
      </c>
      <c r="V568">
        <v>1</v>
      </c>
      <c r="W568">
        <v>0</v>
      </c>
      <c r="X568">
        <v>0</v>
      </c>
      <c r="Y568">
        <v>0</v>
      </c>
      <c r="Z568">
        <v>1</v>
      </c>
      <c r="AA568">
        <v>0</v>
      </c>
      <c r="AB568">
        <v>1</v>
      </c>
      <c r="AC568">
        <v>1</v>
      </c>
      <c r="AD568">
        <v>0</v>
      </c>
      <c r="AE568">
        <v>1</v>
      </c>
      <c r="AF568">
        <v>0</v>
      </c>
      <c r="AG568">
        <v>0</v>
      </c>
      <c r="AH568">
        <v>0</v>
      </c>
      <c r="AI568">
        <v>1</v>
      </c>
      <c r="AJ568">
        <v>1</v>
      </c>
      <c r="AK568">
        <v>0</v>
      </c>
      <c r="AL568">
        <v>0</v>
      </c>
      <c r="AM568">
        <v>1</v>
      </c>
      <c r="AQ568">
        <v>25</v>
      </c>
      <c r="AR568">
        <v>42.42</v>
      </c>
      <c r="AS568">
        <v>1060.5</v>
      </c>
    </row>
    <row r="569" spans="1:45" hidden="1">
      <c r="A569" t="s">
        <v>11</v>
      </c>
      <c r="B569" t="s">
        <v>739</v>
      </c>
      <c r="C569" t="s">
        <v>683</v>
      </c>
      <c r="D569" t="s">
        <v>422</v>
      </c>
      <c r="E569" t="s">
        <v>172</v>
      </c>
      <c r="F569" t="s">
        <v>423</v>
      </c>
      <c r="G569" t="s">
        <v>407</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c r="AE569">
        <v>0</v>
      </c>
      <c r="AF569">
        <v>0</v>
      </c>
      <c r="AG569">
        <v>0</v>
      </c>
      <c r="AH569">
        <v>0</v>
      </c>
      <c r="AI569">
        <v>0</v>
      </c>
      <c r="AJ569">
        <v>0</v>
      </c>
      <c r="AK569">
        <v>0</v>
      </c>
      <c r="AL569">
        <v>0</v>
      </c>
      <c r="AM569">
        <v>0</v>
      </c>
      <c r="AQ569">
        <v>0</v>
      </c>
      <c r="AR569">
        <v>47.47</v>
      </c>
      <c r="AS569">
        <v>0</v>
      </c>
    </row>
    <row r="570" spans="1:45" hidden="1">
      <c r="A570" t="s">
        <v>11</v>
      </c>
      <c r="B570" t="s">
        <v>739</v>
      </c>
      <c r="C570" t="s">
        <v>684</v>
      </c>
      <c r="D570" t="s">
        <v>427</v>
      </c>
      <c r="E570" t="s">
        <v>172</v>
      </c>
      <c r="F570" t="s">
        <v>428</v>
      </c>
      <c r="G570" t="s">
        <v>429</v>
      </c>
      <c r="H570">
        <v>3</v>
      </c>
      <c r="I570">
        <v>2</v>
      </c>
      <c r="J570">
        <v>2</v>
      </c>
      <c r="K570">
        <v>3</v>
      </c>
      <c r="L570">
        <v>3</v>
      </c>
      <c r="M570">
        <v>8</v>
      </c>
      <c r="N570">
        <v>0</v>
      </c>
      <c r="O570">
        <v>0</v>
      </c>
      <c r="P570">
        <v>0</v>
      </c>
      <c r="Q570">
        <v>0</v>
      </c>
      <c r="R570">
        <v>0</v>
      </c>
      <c r="S570">
        <v>0</v>
      </c>
      <c r="T570">
        <v>0</v>
      </c>
      <c r="U570">
        <v>0</v>
      </c>
      <c r="V570">
        <v>0</v>
      </c>
      <c r="W570">
        <v>0</v>
      </c>
      <c r="X570">
        <v>0</v>
      </c>
      <c r="Y570">
        <v>0</v>
      </c>
      <c r="Z570">
        <v>0</v>
      </c>
      <c r="AA570">
        <v>0</v>
      </c>
      <c r="AB570">
        <v>0</v>
      </c>
      <c r="AC570">
        <v>0</v>
      </c>
      <c r="AD570">
        <v>0</v>
      </c>
      <c r="AE570">
        <v>0</v>
      </c>
      <c r="AF570">
        <v>0</v>
      </c>
      <c r="AG570">
        <v>0</v>
      </c>
      <c r="AH570">
        <v>0</v>
      </c>
      <c r="AI570">
        <v>0</v>
      </c>
      <c r="AJ570">
        <v>0</v>
      </c>
      <c r="AK570">
        <v>0</v>
      </c>
      <c r="AL570">
        <v>0</v>
      </c>
      <c r="AM570">
        <v>0</v>
      </c>
      <c r="AQ570">
        <v>21</v>
      </c>
      <c r="AR570">
        <v>636.29999999999995</v>
      </c>
      <c r="AS570">
        <v>13362.3</v>
      </c>
    </row>
    <row r="571" spans="1:45" hidden="1">
      <c r="A571" t="s">
        <v>11</v>
      </c>
      <c r="B571" t="s">
        <v>739</v>
      </c>
      <c r="C571" t="s">
        <v>174</v>
      </c>
      <c r="D571" t="s">
        <v>175</v>
      </c>
      <c r="E571" t="s">
        <v>172</v>
      </c>
      <c r="F571" t="s">
        <v>176</v>
      </c>
      <c r="G571" t="s">
        <v>177</v>
      </c>
      <c r="H571">
        <v>5</v>
      </c>
      <c r="I571">
        <v>2</v>
      </c>
      <c r="J571">
        <v>3</v>
      </c>
      <c r="K571">
        <v>4</v>
      </c>
      <c r="L571">
        <v>4</v>
      </c>
      <c r="M571">
        <v>12</v>
      </c>
      <c r="N571">
        <v>0</v>
      </c>
      <c r="O571">
        <v>0</v>
      </c>
      <c r="P571">
        <v>0</v>
      </c>
      <c r="Q571">
        <v>0</v>
      </c>
      <c r="R571">
        <v>0</v>
      </c>
      <c r="S571">
        <v>0</v>
      </c>
      <c r="T571">
        <v>0</v>
      </c>
      <c r="U571">
        <v>0</v>
      </c>
      <c r="V571">
        <v>0</v>
      </c>
      <c r="W571">
        <v>0</v>
      </c>
      <c r="X571">
        <v>0</v>
      </c>
      <c r="Y571">
        <v>0</v>
      </c>
      <c r="Z571">
        <v>0</v>
      </c>
      <c r="AA571">
        <v>0</v>
      </c>
      <c r="AB571">
        <v>0</v>
      </c>
      <c r="AC571">
        <v>0</v>
      </c>
      <c r="AD571">
        <v>0</v>
      </c>
      <c r="AE571">
        <v>0</v>
      </c>
      <c r="AF571">
        <v>0</v>
      </c>
      <c r="AG571">
        <v>0</v>
      </c>
      <c r="AH571">
        <v>0</v>
      </c>
      <c r="AI571">
        <v>0</v>
      </c>
      <c r="AJ571">
        <v>0</v>
      </c>
      <c r="AK571">
        <v>0</v>
      </c>
      <c r="AL571">
        <v>0</v>
      </c>
      <c r="AM571">
        <v>0</v>
      </c>
      <c r="AQ571">
        <v>30</v>
      </c>
      <c r="AR571">
        <v>424.2</v>
      </c>
      <c r="AS571">
        <v>12726</v>
      </c>
    </row>
    <row r="572" spans="1:45" hidden="1">
      <c r="A572" t="s">
        <v>11</v>
      </c>
      <c r="B572" t="s">
        <v>739</v>
      </c>
      <c r="C572" t="s">
        <v>685</v>
      </c>
      <c r="D572" t="s">
        <v>430</v>
      </c>
      <c r="E572" t="s">
        <v>172</v>
      </c>
      <c r="F572" t="s">
        <v>433</v>
      </c>
      <c r="G572" t="s">
        <v>432</v>
      </c>
      <c r="H572">
        <v>1</v>
      </c>
      <c r="I572">
        <v>2</v>
      </c>
      <c r="J572">
        <v>1</v>
      </c>
      <c r="K572">
        <v>1</v>
      </c>
      <c r="L572">
        <v>0</v>
      </c>
      <c r="M572">
        <v>0</v>
      </c>
      <c r="N572">
        <v>0</v>
      </c>
      <c r="O572">
        <v>0</v>
      </c>
      <c r="P572">
        <v>0</v>
      </c>
      <c r="Q572">
        <v>0</v>
      </c>
      <c r="R572">
        <v>0</v>
      </c>
      <c r="S572">
        <v>0</v>
      </c>
      <c r="T572">
        <v>0</v>
      </c>
      <c r="U572">
        <v>0</v>
      </c>
      <c r="V572">
        <v>0</v>
      </c>
      <c r="W572">
        <v>0</v>
      </c>
      <c r="X572">
        <v>0</v>
      </c>
      <c r="Y572">
        <v>0</v>
      </c>
      <c r="Z572">
        <v>0</v>
      </c>
      <c r="AA572">
        <v>0</v>
      </c>
      <c r="AB572">
        <v>0</v>
      </c>
      <c r="AC572">
        <v>0</v>
      </c>
      <c r="AD572">
        <v>0</v>
      </c>
      <c r="AE572">
        <v>0</v>
      </c>
      <c r="AF572">
        <v>0</v>
      </c>
      <c r="AG572">
        <v>0</v>
      </c>
      <c r="AH572">
        <v>0</v>
      </c>
      <c r="AI572">
        <v>0</v>
      </c>
      <c r="AJ572">
        <v>0</v>
      </c>
      <c r="AK572">
        <v>0</v>
      </c>
      <c r="AL572">
        <v>0</v>
      </c>
      <c r="AM572">
        <v>0</v>
      </c>
      <c r="AQ572">
        <v>5</v>
      </c>
      <c r="AR572">
        <v>1908.9</v>
      </c>
      <c r="AS572">
        <v>9544.5</v>
      </c>
    </row>
    <row r="573" spans="1:45" hidden="1">
      <c r="A573" t="s">
        <v>11</v>
      </c>
      <c r="B573" t="s">
        <v>739</v>
      </c>
      <c r="C573" t="s">
        <v>686</v>
      </c>
      <c r="D573" t="s">
        <v>430</v>
      </c>
      <c r="E573" t="s">
        <v>172</v>
      </c>
      <c r="F573" t="s">
        <v>431</v>
      </c>
      <c r="G573" t="s">
        <v>432</v>
      </c>
      <c r="I573">
        <v>0</v>
      </c>
      <c r="J573">
        <v>0</v>
      </c>
      <c r="K573">
        <v>0</v>
      </c>
      <c r="L573">
        <v>2</v>
      </c>
      <c r="M573">
        <v>1</v>
      </c>
      <c r="N573">
        <v>0</v>
      </c>
      <c r="O573">
        <v>0</v>
      </c>
      <c r="P573">
        <v>0</v>
      </c>
      <c r="Q573">
        <v>0</v>
      </c>
      <c r="R573">
        <v>0</v>
      </c>
      <c r="S573">
        <v>0</v>
      </c>
      <c r="T573">
        <v>0</v>
      </c>
      <c r="U573">
        <v>0</v>
      </c>
      <c r="V573">
        <v>0</v>
      </c>
      <c r="W573">
        <v>0</v>
      </c>
      <c r="X573">
        <v>0</v>
      </c>
      <c r="Y573">
        <v>0</v>
      </c>
      <c r="Z573">
        <v>0</v>
      </c>
      <c r="AA573">
        <v>0</v>
      </c>
      <c r="AB573">
        <v>0</v>
      </c>
      <c r="AC573">
        <v>0</v>
      </c>
      <c r="AD573">
        <v>0</v>
      </c>
      <c r="AE573">
        <v>0</v>
      </c>
      <c r="AF573">
        <v>0</v>
      </c>
      <c r="AG573">
        <v>0</v>
      </c>
      <c r="AH573">
        <v>0</v>
      </c>
      <c r="AI573">
        <v>0</v>
      </c>
      <c r="AJ573">
        <v>0</v>
      </c>
      <c r="AK573">
        <v>0</v>
      </c>
      <c r="AL573">
        <v>0</v>
      </c>
      <c r="AM573">
        <v>0</v>
      </c>
      <c r="AQ573">
        <v>3</v>
      </c>
      <c r="AR573">
        <v>2121</v>
      </c>
      <c r="AS573">
        <v>6363</v>
      </c>
    </row>
    <row r="574" spans="1:45" hidden="1">
      <c r="A574" t="s">
        <v>11</v>
      </c>
      <c r="B574" t="s">
        <v>739</v>
      </c>
      <c r="C574" t="s">
        <v>687</v>
      </c>
      <c r="D574" t="s">
        <v>430</v>
      </c>
      <c r="E574" t="s">
        <v>172</v>
      </c>
      <c r="F574" t="s">
        <v>438</v>
      </c>
      <c r="G574" t="s">
        <v>432</v>
      </c>
      <c r="I574">
        <v>0</v>
      </c>
      <c r="J574">
        <v>0</v>
      </c>
      <c r="K574">
        <v>0</v>
      </c>
      <c r="L574">
        <v>0</v>
      </c>
      <c r="M574">
        <v>1</v>
      </c>
      <c r="N574">
        <v>0</v>
      </c>
      <c r="O574">
        <v>0</v>
      </c>
      <c r="P574">
        <v>0</v>
      </c>
      <c r="Q574">
        <v>0</v>
      </c>
      <c r="R574">
        <v>0</v>
      </c>
      <c r="S574">
        <v>0</v>
      </c>
      <c r="T574">
        <v>0</v>
      </c>
      <c r="U574">
        <v>0</v>
      </c>
      <c r="V574">
        <v>0</v>
      </c>
      <c r="W574">
        <v>0</v>
      </c>
      <c r="X574">
        <v>0</v>
      </c>
      <c r="Y574">
        <v>0</v>
      </c>
      <c r="Z574">
        <v>0</v>
      </c>
      <c r="AA574">
        <v>0</v>
      </c>
      <c r="AB574">
        <v>0</v>
      </c>
      <c r="AC574">
        <v>0</v>
      </c>
      <c r="AD574">
        <v>0</v>
      </c>
      <c r="AE574">
        <v>0</v>
      </c>
      <c r="AF574">
        <v>0</v>
      </c>
      <c r="AG574">
        <v>0</v>
      </c>
      <c r="AH574">
        <v>0</v>
      </c>
      <c r="AI574">
        <v>0</v>
      </c>
      <c r="AJ574">
        <v>0</v>
      </c>
      <c r="AK574">
        <v>0</v>
      </c>
      <c r="AL574">
        <v>0</v>
      </c>
      <c r="AM574">
        <v>0</v>
      </c>
      <c r="AQ574">
        <v>1</v>
      </c>
      <c r="AR574">
        <v>2439.15</v>
      </c>
      <c r="AS574">
        <v>2439.15</v>
      </c>
    </row>
    <row r="575" spans="1:45" hidden="1">
      <c r="A575" t="s">
        <v>11</v>
      </c>
      <c r="B575" t="s">
        <v>739</v>
      </c>
      <c r="C575" t="s">
        <v>688</v>
      </c>
      <c r="D575" t="s">
        <v>430</v>
      </c>
      <c r="E575" t="s">
        <v>172</v>
      </c>
      <c r="F575" t="s">
        <v>434</v>
      </c>
      <c r="G575" t="s">
        <v>432</v>
      </c>
      <c r="I575">
        <v>0</v>
      </c>
      <c r="J575">
        <v>0</v>
      </c>
      <c r="K575">
        <v>0</v>
      </c>
      <c r="L575">
        <v>0</v>
      </c>
      <c r="M575">
        <v>1</v>
      </c>
      <c r="N575">
        <v>0</v>
      </c>
      <c r="O575">
        <v>0</v>
      </c>
      <c r="P575">
        <v>0</v>
      </c>
      <c r="Q575">
        <v>0</v>
      </c>
      <c r="R575">
        <v>0</v>
      </c>
      <c r="S575">
        <v>0</v>
      </c>
      <c r="T575">
        <v>0</v>
      </c>
      <c r="U575">
        <v>0</v>
      </c>
      <c r="V575">
        <v>0</v>
      </c>
      <c r="W575">
        <v>0</v>
      </c>
      <c r="X575">
        <v>0</v>
      </c>
      <c r="Y575">
        <v>0</v>
      </c>
      <c r="Z575">
        <v>0</v>
      </c>
      <c r="AA575">
        <v>0</v>
      </c>
      <c r="AB575">
        <v>0</v>
      </c>
      <c r="AC575">
        <v>0</v>
      </c>
      <c r="AD575">
        <v>0</v>
      </c>
      <c r="AE575">
        <v>0</v>
      </c>
      <c r="AF575">
        <v>0</v>
      </c>
      <c r="AG575">
        <v>0</v>
      </c>
      <c r="AH575">
        <v>0</v>
      </c>
      <c r="AI575">
        <v>0</v>
      </c>
      <c r="AJ575">
        <v>0</v>
      </c>
      <c r="AK575">
        <v>0</v>
      </c>
      <c r="AL575">
        <v>0</v>
      </c>
      <c r="AM575">
        <v>0</v>
      </c>
      <c r="AQ575">
        <v>1</v>
      </c>
      <c r="AR575">
        <v>2651.25</v>
      </c>
      <c r="AS575">
        <v>2651.25</v>
      </c>
    </row>
    <row r="576" spans="1:45" hidden="1">
      <c r="A576" t="s">
        <v>11</v>
      </c>
      <c r="B576" t="s">
        <v>739</v>
      </c>
      <c r="C576" t="s">
        <v>645</v>
      </c>
      <c r="D576" t="s">
        <v>435</v>
      </c>
      <c r="E576" t="s">
        <v>172</v>
      </c>
      <c r="F576" t="s">
        <v>436</v>
      </c>
      <c r="G576" t="s">
        <v>437</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c r="AE576">
        <v>0</v>
      </c>
      <c r="AF576">
        <v>0</v>
      </c>
      <c r="AG576">
        <v>0</v>
      </c>
      <c r="AH576">
        <v>0</v>
      </c>
      <c r="AI576">
        <v>0</v>
      </c>
      <c r="AJ576">
        <v>0</v>
      </c>
      <c r="AK576">
        <v>0</v>
      </c>
      <c r="AL576">
        <v>0</v>
      </c>
      <c r="AM576">
        <v>0</v>
      </c>
      <c r="AQ576">
        <v>0</v>
      </c>
      <c r="AR576">
        <v>0.28000000000000003</v>
      </c>
    </row>
    <row r="577" spans="1:45" hidden="1">
      <c r="A577" t="s">
        <v>11</v>
      </c>
      <c r="B577" t="s">
        <v>739</v>
      </c>
      <c r="C577" t="s">
        <v>689</v>
      </c>
      <c r="D577" t="s">
        <v>439</v>
      </c>
      <c r="E577" t="s">
        <v>172</v>
      </c>
      <c r="F577" t="s">
        <v>690</v>
      </c>
      <c r="G577" t="s">
        <v>441</v>
      </c>
      <c r="H577">
        <v>6</v>
      </c>
      <c r="I577">
        <v>2</v>
      </c>
      <c r="J577">
        <v>4</v>
      </c>
      <c r="K577">
        <v>6</v>
      </c>
      <c r="L577">
        <v>2</v>
      </c>
      <c r="M577">
        <v>0</v>
      </c>
      <c r="N577">
        <v>0</v>
      </c>
      <c r="O577">
        <v>0</v>
      </c>
      <c r="P577">
        <v>0</v>
      </c>
      <c r="Q577">
        <v>0</v>
      </c>
      <c r="R577">
        <v>0</v>
      </c>
      <c r="S577">
        <v>0</v>
      </c>
      <c r="T577">
        <v>0</v>
      </c>
      <c r="U577">
        <v>0</v>
      </c>
      <c r="V577">
        <v>0</v>
      </c>
      <c r="W577">
        <v>0</v>
      </c>
      <c r="X577">
        <v>0</v>
      </c>
      <c r="Y577">
        <v>1</v>
      </c>
      <c r="Z577">
        <v>0</v>
      </c>
      <c r="AA577">
        <v>0</v>
      </c>
      <c r="AB577">
        <v>0</v>
      </c>
      <c r="AC577">
        <v>0</v>
      </c>
      <c r="AD577">
        <v>0</v>
      </c>
      <c r="AE577">
        <v>0</v>
      </c>
      <c r="AF577">
        <v>0</v>
      </c>
      <c r="AG577">
        <v>0</v>
      </c>
      <c r="AH577">
        <v>0</v>
      </c>
      <c r="AI577">
        <v>0</v>
      </c>
      <c r="AJ577">
        <v>1</v>
      </c>
      <c r="AK577">
        <v>0</v>
      </c>
      <c r="AL577">
        <v>0</v>
      </c>
      <c r="AM577">
        <v>1</v>
      </c>
      <c r="AQ577">
        <v>23</v>
      </c>
      <c r="AR577">
        <v>318.14999999999998</v>
      </c>
      <c r="AS577">
        <v>7317.45</v>
      </c>
    </row>
    <row r="578" spans="1:45" hidden="1">
      <c r="A578" t="s">
        <v>11</v>
      </c>
      <c r="B578" t="s">
        <v>739</v>
      </c>
      <c r="C578" t="s">
        <v>691</v>
      </c>
      <c r="D578" t="s">
        <v>439</v>
      </c>
      <c r="E578" t="s">
        <v>172</v>
      </c>
      <c r="F578" t="s">
        <v>442</v>
      </c>
      <c r="G578" t="s">
        <v>441</v>
      </c>
      <c r="H578">
        <v>2</v>
      </c>
      <c r="I578">
        <v>1</v>
      </c>
      <c r="J578">
        <v>2</v>
      </c>
      <c r="K578">
        <v>2</v>
      </c>
      <c r="L578">
        <v>1</v>
      </c>
      <c r="M578">
        <v>11</v>
      </c>
      <c r="N578">
        <v>0</v>
      </c>
      <c r="O578">
        <v>0</v>
      </c>
      <c r="P578">
        <v>0</v>
      </c>
      <c r="Q578">
        <v>0</v>
      </c>
      <c r="R578">
        <v>0</v>
      </c>
      <c r="S578">
        <v>0</v>
      </c>
      <c r="T578">
        <v>0</v>
      </c>
      <c r="U578">
        <v>0</v>
      </c>
      <c r="V578">
        <v>0</v>
      </c>
      <c r="W578">
        <v>0</v>
      </c>
      <c r="X578">
        <v>0</v>
      </c>
      <c r="Y578">
        <v>0</v>
      </c>
      <c r="Z578">
        <v>0</v>
      </c>
      <c r="AA578">
        <v>0</v>
      </c>
      <c r="AB578">
        <v>0</v>
      </c>
      <c r="AC578">
        <v>0</v>
      </c>
      <c r="AD578">
        <v>1</v>
      </c>
      <c r="AE578">
        <v>0</v>
      </c>
      <c r="AF578">
        <v>0</v>
      </c>
      <c r="AG578">
        <v>0</v>
      </c>
      <c r="AH578">
        <v>0</v>
      </c>
      <c r="AI578">
        <v>0</v>
      </c>
      <c r="AJ578">
        <v>0</v>
      </c>
      <c r="AK578">
        <v>0</v>
      </c>
      <c r="AL578">
        <v>0</v>
      </c>
      <c r="AM578">
        <v>0</v>
      </c>
      <c r="AQ578">
        <v>20</v>
      </c>
      <c r="AR578">
        <v>1272.5999999999999</v>
      </c>
      <c r="AS578">
        <v>25452</v>
      </c>
    </row>
    <row r="579" spans="1:45" hidden="1">
      <c r="A579" t="s">
        <v>11</v>
      </c>
      <c r="B579" t="s">
        <v>739</v>
      </c>
      <c r="C579" t="s">
        <v>692</v>
      </c>
      <c r="D579" t="s">
        <v>439</v>
      </c>
      <c r="E579" t="s">
        <v>172</v>
      </c>
      <c r="F579" t="s">
        <v>443</v>
      </c>
      <c r="G579" t="s">
        <v>441</v>
      </c>
      <c r="I579">
        <v>0</v>
      </c>
      <c r="J579">
        <v>0</v>
      </c>
      <c r="K579">
        <v>0</v>
      </c>
      <c r="L579">
        <v>0</v>
      </c>
      <c r="M579">
        <v>0</v>
      </c>
      <c r="N579">
        <v>0</v>
      </c>
      <c r="O579">
        <v>0</v>
      </c>
      <c r="P579">
        <v>0</v>
      </c>
      <c r="Q579">
        <v>0</v>
      </c>
      <c r="R579">
        <v>0</v>
      </c>
      <c r="S579">
        <v>0</v>
      </c>
      <c r="T579">
        <v>0</v>
      </c>
      <c r="U579">
        <v>0</v>
      </c>
      <c r="V579">
        <v>0</v>
      </c>
      <c r="W579">
        <v>0</v>
      </c>
      <c r="X579">
        <v>0</v>
      </c>
      <c r="Y579">
        <v>0</v>
      </c>
      <c r="Z579">
        <v>0</v>
      </c>
      <c r="AA579">
        <v>0</v>
      </c>
      <c r="AB579">
        <v>0</v>
      </c>
      <c r="AC579">
        <v>0</v>
      </c>
      <c r="AD579">
        <v>0</v>
      </c>
      <c r="AE579">
        <v>0</v>
      </c>
      <c r="AF579">
        <v>0</v>
      </c>
      <c r="AG579">
        <v>0</v>
      </c>
      <c r="AH579">
        <v>0</v>
      </c>
      <c r="AI579">
        <v>0</v>
      </c>
      <c r="AJ579">
        <v>0</v>
      </c>
      <c r="AK579">
        <v>0</v>
      </c>
      <c r="AL579">
        <v>0</v>
      </c>
      <c r="AM579">
        <v>0</v>
      </c>
      <c r="AQ579">
        <v>0</v>
      </c>
      <c r="AR579">
        <v>1590.75</v>
      </c>
      <c r="AS579">
        <v>0</v>
      </c>
    </row>
    <row r="580" spans="1:45" hidden="1">
      <c r="A580" t="s">
        <v>11</v>
      </c>
      <c r="B580" t="s">
        <v>739</v>
      </c>
      <c r="C580" t="s">
        <v>693</v>
      </c>
      <c r="D580" t="s">
        <v>439</v>
      </c>
      <c r="E580" t="s">
        <v>172</v>
      </c>
      <c r="F580" t="s">
        <v>440</v>
      </c>
      <c r="G580" t="s">
        <v>441</v>
      </c>
      <c r="I580">
        <v>1</v>
      </c>
      <c r="J580">
        <v>0</v>
      </c>
      <c r="K580">
        <v>0</v>
      </c>
      <c r="L580">
        <v>1</v>
      </c>
      <c r="M580">
        <v>2</v>
      </c>
      <c r="N580">
        <v>0</v>
      </c>
      <c r="O580">
        <v>0</v>
      </c>
      <c r="P580">
        <v>0</v>
      </c>
      <c r="Q580">
        <v>0</v>
      </c>
      <c r="R580">
        <v>0</v>
      </c>
      <c r="S580">
        <v>0</v>
      </c>
      <c r="T580">
        <v>0</v>
      </c>
      <c r="U580">
        <v>0</v>
      </c>
      <c r="V580">
        <v>0</v>
      </c>
      <c r="W580">
        <v>0</v>
      </c>
      <c r="X580">
        <v>0</v>
      </c>
      <c r="Y580">
        <v>0</v>
      </c>
      <c r="Z580">
        <v>0</v>
      </c>
      <c r="AA580">
        <v>0</v>
      </c>
      <c r="AB580">
        <v>0</v>
      </c>
      <c r="AC580">
        <v>0</v>
      </c>
      <c r="AD580">
        <v>0</v>
      </c>
      <c r="AE580">
        <v>0</v>
      </c>
      <c r="AF580">
        <v>0</v>
      </c>
      <c r="AG580">
        <v>0</v>
      </c>
      <c r="AH580">
        <v>0</v>
      </c>
      <c r="AI580">
        <v>0</v>
      </c>
      <c r="AJ580">
        <v>0</v>
      </c>
      <c r="AK580">
        <v>0</v>
      </c>
      <c r="AL580">
        <v>0</v>
      </c>
      <c r="AM580">
        <v>0</v>
      </c>
      <c r="AQ580">
        <v>4</v>
      </c>
      <c r="AR580">
        <v>1590.75</v>
      </c>
      <c r="AS580">
        <v>6363</v>
      </c>
    </row>
    <row r="581" spans="1:45" hidden="1">
      <c r="A581" t="s">
        <v>11</v>
      </c>
      <c r="B581" t="s">
        <v>739</v>
      </c>
      <c r="C581" t="s">
        <v>694</v>
      </c>
      <c r="D581" t="s">
        <v>439</v>
      </c>
      <c r="E581" t="s">
        <v>172</v>
      </c>
      <c r="F581" t="s">
        <v>695</v>
      </c>
      <c r="G581" t="s">
        <v>441</v>
      </c>
      <c r="I581">
        <v>0</v>
      </c>
      <c r="J581">
        <v>0</v>
      </c>
      <c r="K581">
        <v>0</v>
      </c>
      <c r="L581">
        <v>0</v>
      </c>
      <c r="M581">
        <v>1</v>
      </c>
      <c r="N581">
        <v>0</v>
      </c>
      <c r="O581">
        <v>0</v>
      </c>
      <c r="P581">
        <v>0</v>
      </c>
      <c r="Q581">
        <v>0</v>
      </c>
      <c r="R581">
        <v>0</v>
      </c>
      <c r="S581">
        <v>0</v>
      </c>
      <c r="T581">
        <v>0</v>
      </c>
      <c r="U581">
        <v>0</v>
      </c>
      <c r="V581">
        <v>0</v>
      </c>
      <c r="W581">
        <v>0</v>
      </c>
      <c r="X581">
        <v>0</v>
      </c>
      <c r="Y581">
        <v>0</v>
      </c>
      <c r="Z581">
        <v>0</v>
      </c>
      <c r="AA581">
        <v>0</v>
      </c>
      <c r="AB581">
        <v>0</v>
      </c>
      <c r="AC581">
        <v>0</v>
      </c>
      <c r="AD581">
        <v>0</v>
      </c>
      <c r="AE581">
        <v>0</v>
      </c>
      <c r="AF581">
        <v>0</v>
      </c>
      <c r="AG581">
        <v>0</v>
      </c>
      <c r="AH581">
        <v>0</v>
      </c>
      <c r="AI581">
        <v>0</v>
      </c>
      <c r="AJ581">
        <v>0</v>
      </c>
      <c r="AK581">
        <v>0</v>
      </c>
      <c r="AL581">
        <v>0</v>
      </c>
      <c r="AM581">
        <v>0</v>
      </c>
      <c r="AQ581">
        <v>1</v>
      </c>
      <c r="AR581">
        <v>1802.85</v>
      </c>
      <c r="AS581">
        <v>1802.85</v>
      </c>
    </row>
    <row r="582" spans="1:45" hidden="1">
      <c r="A582" t="s">
        <v>11</v>
      </c>
      <c r="B582" t="s">
        <v>739</v>
      </c>
      <c r="C582" t="s">
        <v>696</v>
      </c>
      <c r="D582" t="s">
        <v>446</v>
      </c>
      <c r="E582" t="s">
        <v>172</v>
      </c>
      <c r="F582" t="s">
        <v>447</v>
      </c>
      <c r="G582" t="s">
        <v>448</v>
      </c>
      <c r="I582">
        <v>0</v>
      </c>
      <c r="J582">
        <v>0</v>
      </c>
      <c r="K582">
        <v>0</v>
      </c>
      <c r="L582">
        <v>0</v>
      </c>
      <c r="M582">
        <v>19.899999999999999</v>
      </c>
      <c r="N582">
        <v>0</v>
      </c>
      <c r="O582">
        <v>0</v>
      </c>
      <c r="P582">
        <v>18.105</v>
      </c>
      <c r="Q582">
        <v>0</v>
      </c>
      <c r="R582">
        <v>0</v>
      </c>
      <c r="S582">
        <v>0</v>
      </c>
      <c r="U582">
        <v>0</v>
      </c>
      <c r="V582">
        <v>0</v>
      </c>
      <c r="W582">
        <v>0</v>
      </c>
      <c r="X582">
        <v>0</v>
      </c>
      <c r="Y582">
        <v>60.03</v>
      </c>
      <c r="Z582">
        <v>0</v>
      </c>
      <c r="AA582">
        <v>0</v>
      </c>
      <c r="AB582">
        <v>0</v>
      </c>
      <c r="AC582">
        <v>0</v>
      </c>
      <c r="AD582">
        <v>0</v>
      </c>
      <c r="AE582">
        <v>0</v>
      </c>
      <c r="AF582">
        <v>0</v>
      </c>
      <c r="AG582">
        <v>0</v>
      </c>
      <c r="AH582">
        <v>0</v>
      </c>
      <c r="AI582">
        <v>0</v>
      </c>
      <c r="AJ582">
        <v>0</v>
      </c>
      <c r="AK582">
        <v>0</v>
      </c>
      <c r="AL582">
        <v>0</v>
      </c>
      <c r="AM582">
        <v>15.12</v>
      </c>
      <c r="AQ582">
        <v>113.155</v>
      </c>
      <c r="AR582">
        <v>10.605</v>
      </c>
      <c r="AS582">
        <v>1200.008775</v>
      </c>
    </row>
    <row r="583" spans="1:45" hidden="1">
      <c r="A583" t="s">
        <v>11</v>
      </c>
      <c r="B583" t="s">
        <v>739</v>
      </c>
      <c r="C583" t="s">
        <v>178</v>
      </c>
      <c r="D583" t="s">
        <v>179</v>
      </c>
      <c r="E583" t="s">
        <v>172</v>
      </c>
      <c r="F583" t="s">
        <v>180</v>
      </c>
      <c r="G583" t="s">
        <v>181</v>
      </c>
      <c r="H583">
        <v>120</v>
      </c>
      <c r="I583">
        <v>98</v>
      </c>
      <c r="J583">
        <v>138</v>
      </c>
      <c r="K583">
        <v>91</v>
      </c>
      <c r="L583">
        <v>126</v>
      </c>
      <c r="M583">
        <v>320</v>
      </c>
      <c r="N583">
        <v>2</v>
      </c>
      <c r="O583">
        <v>1</v>
      </c>
      <c r="P583">
        <v>2</v>
      </c>
      <c r="Q583">
        <v>1</v>
      </c>
      <c r="R583">
        <v>3</v>
      </c>
      <c r="S583">
        <v>9</v>
      </c>
      <c r="T583">
        <v>6</v>
      </c>
      <c r="U583">
        <v>6</v>
      </c>
      <c r="V583">
        <v>0</v>
      </c>
      <c r="W583">
        <v>2</v>
      </c>
      <c r="X583">
        <v>2</v>
      </c>
      <c r="Y583">
        <v>41</v>
      </c>
      <c r="Z583">
        <v>16</v>
      </c>
      <c r="AA583">
        <v>0</v>
      </c>
      <c r="AB583">
        <v>0</v>
      </c>
      <c r="AC583">
        <v>0</v>
      </c>
      <c r="AD583">
        <v>12</v>
      </c>
      <c r="AE583">
        <v>0</v>
      </c>
      <c r="AF583">
        <v>0</v>
      </c>
      <c r="AG583">
        <v>10</v>
      </c>
      <c r="AH583">
        <v>6</v>
      </c>
      <c r="AI583">
        <v>2</v>
      </c>
      <c r="AJ583">
        <v>4</v>
      </c>
      <c r="AK583">
        <v>0</v>
      </c>
      <c r="AL583">
        <v>0</v>
      </c>
      <c r="AM583">
        <v>7</v>
      </c>
      <c r="AQ583">
        <v>1025</v>
      </c>
      <c r="AR583">
        <v>106.05</v>
      </c>
      <c r="AS583">
        <v>108701.25</v>
      </c>
    </row>
    <row r="584" spans="1:45" hidden="1">
      <c r="A584" t="s">
        <v>11</v>
      </c>
      <c r="B584" t="s">
        <v>739</v>
      </c>
      <c r="C584" t="s">
        <v>182</v>
      </c>
      <c r="D584" t="s">
        <v>179</v>
      </c>
      <c r="E584" t="s">
        <v>172</v>
      </c>
      <c r="F584" t="s">
        <v>183</v>
      </c>
      <c r="G584" t="s">
        <v>152</v>
      </c>
      <c r="H584">
        <v>20888</v>
      </c>
      <c r="I584">
        <v>13445</v>
      </c>
      <c r="J584">
        <v>12520</v>
      </c>
      <c r="K584">
        <v>12723</v>
      </c>
      <c r="L584">
        <v>17180</v>
      </c>
      <c r="M584">
        <v>54927</v>
      </c>
      <c r="N584">
        <v>481</v>
      </c>
      <c r="O584">
        <v>177</v>
      </c>
      <c r="P584">
        <v>1661</v>
      </c>
      <c r="Q584">
        <v>230</v>
      </c>
      <c r="R584">
        <v>1172</v>
      </c>
      <c r="S584">
        <v>453</v>
      </c>
      <c r="T584">
        <v>1103</v>
      </c>
      <c r="U584">
        <v>2054</v>
      </c>
      <c r="V584">
        <v>567</v>
      </c>
      <c r="W584">
        <v>120</v>
      </c>
      <c r="X584">
        <v>854</v>
      </c>
      <c r="Y584">
        <v>3840</v>
      </c>
      <c r="Z584">
        <v>1045</v>
      </c>
      <c r="AA584">
        <v>265</v>
      </c>
      <c r="AB584">
        <v>758</v>
      </c>
      <c r="AC584">
        <v>385</v>
      </c>
      <c r="AD584">
        <v>1173</v>
      </c>
      <c r="AE584">
        <v>1345</v>
      </c>
      <c r="AF584">
        <v>253</v>
      </c>
      <c r="AG584">
        <v>1875</v>
      </c>
      <c r="AH584">
        <v>1371</v>
      </c>
      <c r="AI584">
        <v>100</v>
      </c>
      <c r="AJ584">
        <v>1574</v>
      </c>
      <c r="AK584">
        <v>70</v>
      </c>
      <c r="AL584">
        <v>73</v>
      </c>
      <c r="AM584">
        <v>1100</v>
      </c>
      <c r="AQ584">
        <v>155782</v>
      </c>
      <c r="AR584">
        <v>0.1515</v>
      </c>
      <c r="AS584">
        <v>23600.973000000002</v>
      </c>
    </row>
    <row r="585" spans="1:45" hidden="1">
      <c r="A585" t="s">
        <v>11</v>
      </c>
      <c r="B585" t="s">
        <v>739</v>
      </c>
      <c r="C585" t="s">
        <v>697</v>
      </c>
      <c r="D585" t="s">
        <v>449</v>
      </c>
      <c r="E585" t="s">
        <v>172</v>
      </c>
      <c r="F585" t="s">
        <v>450</v>
      </c>
      <c r="G585" t="s">
        <v>451</v>
      </c>
      <c r="I585">
        <v>0</v>
      </c>
      <c r="J585">
        <v>1</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c r="AE585">
        <v>0</v>
      </c>
      <c r="AF585">
        <v>0</v>
      </c>
      <c r="AG585">
        <v>0</v>
      </c>
      <c r="AH585">
        <v>0</v>
      </c>
      <c r="AI585">
        <v>0</v>
      </c>
      <c r="AJ585">
        <v>0</v>
      </c>
      <c r="AK585">
        <v>0</v>
      </c>
      <c r="AL585">
        <v>0</v>
      </c>
      <c r="AM585">
        <v>0</v>
      </c>
      <c r="AQ585">
        <v>1</v>
      </c>
      <c r="AR585">
        <v>1908.9</v>
      </c>
      <c r="AS585">
        <v>1908.9</v>
      </c>
    </row>
    <row r="586" spans="1:45" hidden="1">
      <c r="A586" t="s">
        <v>11</v>
      </c>
      <c r="B586" t="s">
        <v>739</v>
      </c>
      <c r="C586" t="s">
        <v>698</v>
      </c>
      <c r="D586" t="s">
        <v>424</v>
      </c>
      <c r="E586" t="s">
        <v>172</v>
      </c>
      <c r="F586" t="s">
        <v>425</v>
      </c>
      <c r="G586" t="s">
        <v>426</v>
      </c>
      <c r="H586">
        <v>5</v>
      </c>
      <c r="I586">
        <v>4</v>
      </c>
      <c r="J586">
        <v>11</v>
      </c>
      <c r="K586">
        <v>2</v>
      </c>
      <c r="L586">
        <v>5</v>
      </c>
      <c r="M586">
        <v>20</v>
      </c>
      <c r="N586">
        <v>0</v>
      </c>
      <c r="O586">
        <v>0</v>
      </c>
      <c r="P586">
        <v>0</v>
      </c>
      <c r="Q586">
        <v>0</v>
      </c>
      <c r="R586">
        <v>0</v>
      </c>
      <c r="S586">
        <v>0</v>
      </c>
      <c r="T586">
        <v>0</v>
      </c>
      <c r="U586">
        <v>0</v>
      </c>
      <c r="V586">
        <v>0</v>
      </c>
      <c r="W586">
        <v>0</v>
      </c>
      <c r="X586">
        <v>0</v>
      </c>
      <c r="Y586">
        <v>1</v>
      </c>
      <c r="Z586">
        <v>0</v>
      </c>
      <c r="AA586">
        <v>0</v>
      </c>
      <c r="AB586">
        <v>1</v>
      </c>
      <c r="AC586">
        <v>1</v>
      </c>
      <c r="AD586">
        <v>0</v>
      </c>
      <c r="AE586">
        <v>0</v>
      </c>
      <c r="AF586">
        <v>0</v>
      </c>
      <c r="AG586">
        <v>0</v>
      </c>
      <c r="AH586">
        <v>1</v>
      </c>
      <c r="AI586">
        <v>0</v>
      </c>
      <c r="AJ586">
        <v>0</v>
      </c>
      <c r="AK586">
        <v>0</v>
      </c>
      <c r="AL586">
        <v>0</v>
      </c>
      <c r="AM586">
        <v>2</v>
      </c>
      <c r="AQ586">
        <v>53</v>
      </c>
      <c r="AR586">
        <v>132.5625</v>
      </c>
      <c r="AS586">
        <v>7025.8125</v>
      </c>
    </row>
    <row r="587" spans="1:45" hidden="1">
      <c r="A587" t="s">
        <v>11</v>
      </c>
      <c r="B587" t="s">
        <v>739</v>
      </c>
      <c r="C587" t="s">
        <v>699</v>
      </c>
      <c r="D587" t="s">
        <v>287</v>
      </c>
      <c r="E587" t="s">
        <v>172</v>
      </c>
      <c r="F587" t="s">
        <v>452</v>
      </c>
      <c r="G587" t="s">
        <v>453</v>
      </c>
      <c r="J587">
        <v>0</v>
      </c>
      <c r="K587">
        <v>0</v>
      </c>
      <c r="L587">
        <v>0</v>
      </c>
      <c r="M587">
        <v>0</v>
      </c>
      <c r="N587">
        <v>0</v>
      </c>
      <c r="O587">
        <v>0</v>
      </c>
      <c r="P587">
        <v>0</v>
      </c>
      <c r="Q587">
        <v>0</v>
      </c>
      <c r="R587">
        <v>0</v>
      </c>
      <c r="S587">
        <v>0</v>
      </c>
      <c r="U587">
        <v>0</v>
      </c>
      <c r="V587">
        <v>0</v>
      </c>
      <c r="W587">
        <v>0</v>
      </c>
      <c r="X587">
        <v>0</v>
      </c>
      <c r="Y587">
        <v>0</v>
      </c>
      <c r="Z587">
        <v>0</v>
      </c>
      <c r="AA587">
        <v>0</v>
      </c>
      <c r="AB587">
        <v>0</v>
      </c>
      <c r="AC587">
        <v>0</v>
      </c>
      <c r="AD587">
        <v>0</v>
      </c>
      <c r="AE587">
        <v>0</v>
      </c>
      <c r="AF587">
        <v>0</v>
      </c>
      <c r="AG587">
        <v>0</v>
      </c>
      <c r="AH587">
        <v>0</v>
      </c>
      <c r="AI587">
        <v>0</v>
      </c>
      <c r="AJ587">
        <v>0</v>
      </c>
      <c r="AK587">
        <v>0</v>
      </c>
      <c r="AL587">
        <v>0</v>
      </c>
      <c r="AM587">
        <v>0</v>
      </c>
      <c r="AQ587">
        <v>0</v>
      </c>
      <c r="AR587">
        <v>3181.5</v>
      </c>
      <c r="AS587">
        <v>0</v>
      </c>
    </row>
    <row r="588" spans="1:45" hidden="1">
      <c r="A588" t="s">
        <v>11</v>
      </c>
      <c r="B588" t="s">
        <v>739</v>
      </c>
      <c r="C588" t="s">
        <v>700</v>
      </c>
      <c r="D588" t="s">
        <v>287</v>
      </c>
      <c r="E588" t="s">
        <v>172</v>
      </c>
      <c r="F588" t="s">
        <v>454</v>
      </c>
      <c r="G588" t="s">
        <v>455</v>
      </c>
      <c r="J588">
        <v>0</v>
      </c>
      <c r="K588">
        <v>0</v>
      </c>
      <c r="L588">
        <v>0</v>
      </c>
      <c r="M588">
        <v>0</v>
      </c>
      <c r="N588">
        <v>0</v>
      </c>
      <c r="O588">
        <v>0</v>
      </c>
      <c r="P588">
        <v>0</v>
      </c>
      <c r="Q588">
        <v>0</v>
      </c>
      <c r="R588">
        <v>0</v>
      </c>
      <c r="S588">
        <v>0</v>
      </c>
      <c r="T588">
        <v>0</v>
      </c>
      <c r="U588">
        <v>0</v>
      </c>
      <c r="V588">
        <v>0</v>
      </c>
      <c r="W588">
        <v>0</v>
      </c>
      <c r="X588">
        <v>0</v>
      </c>
      <c r="Y588">
        <v>0</v>
      </c>
      <c r="AB588">
        <v>0</v>
      </c>
      <c r="AC588">
        <v>0</v>
      </c>
      <c r="AD588">
        <v>0</v>
      </c>
      <c r="AG588">
        <v>0</v>
      </c>
      <c r="AH588">
        <v>0</v>
      </c>
      <c r="AI588">
        <v>0</v>
      </c>
      <c r="AJ588">
        <v>0</v>
      </c>
      <c r="AK588">
        <v>0</v>
      </c>
      <c r="AL588">
        <v>0</v>
      </c>
      <c r="AM588">
        <v>0</v>
      </c>
      <c r="AQ588">
        <v>0</v>
      </c>
      <c r="AR588">
        <v>318150</v>
      </c>
      <c r="AS588">
        <v>0</v>
      </c>
    </row>
    <row r="589" spans="1:45" hidden="1">
      <c r="A589" t="s">
        <v>11</v>
      </c>
      <c r="B589" t="s">
        <v>739</v>
      </c>
      <c r="C589" t="s">
        <v>701</v>
      </c>
      <c r="D589" t="s">
        <v>287</v>
      </c>
      <c r="E589" t="s">
        <v>172</v>
      </c>
      <c r="F589" t="s">
        <v>456</v>
      </c>
      <c r="G589" t="s">
        <v>457</v>
      </c>
      <c r="J589">
        <v>0</v>
      </c>
      <c r="K589">
        <v>0</v>
      </c>
      <c r="L589">
        <v>0</v>
      </c>
      <c r="M589">
        <v>0</v>
      </c>
      <c r="N589">
        <v>0</v>
      </c>
      <c r="O589">
        <v>0</v>
      </c>
      <c r="P589">
        <v>0</v>
      </c>
      <c r="Q589">
        <v>0</v>
      </c>
      <c r="R589">
        <v>0</v>
      </c>
      <c r="T589">
        <v>0</v>
      </c>
      <c r="U589">
        <v>0</v>
      </c>
      <c r="V589">
        <v>0</v>
      </c>
      <c r="W589">
        <v>0</v>
      </c>
      <c r="X589">
        <v>0</v>
      </c>
      <c r="Y589">
        <v>0</v>
      </c>
      <c r="AB589">
        <v>0</v>
      </c>
      <c r="AC589">
        <v>0</v>
      </c>
      <c r="AD589">
        <v>0</v>
      </c>
      <c r="AG589">
        <v>0</v>
      </c>
      <c r="AH589">
        <v>0</v>
      </c>
      <c r="AI589">
        <v>0</v>
      </c>
      <c r="AJ589">
        <v>0</v>
      </c>
      <c r="AK589">
        <v>0</v>
      </c>
      <c r="AL589">
        <v>0</v>
      </c>
      <c r="AM589">
        <v>0</v>
      </c>
      <c r="AQ589">
        <v>0</v>
      </c>
      <c r="AR589">
        <v>238612.5</v>
      </c>
      <c r="AS589">
        <v>0</v>
      </c>
    </row>
    <row r="590" spans="1:45" hidden="1">
      <c r="A590" t="s">
        <v>11</v>
      </c>
      <c r="B590" t="s">
        <v>739</v>
      </c>
      <c r="C590" t="s">
        <v>184</v>
      </c>
      <c r="D590" t="s">
        <v>185</v>
      </c>
      <c r="E590" t="s">
        <v>186</v>
      </c>
      <c r="F590" t="s">
        <v>187</v>
      </c>
      <c r="G590" t="s">
        <v>188</v>
      </c>
      <c r="H590">
        <v>1</v>
      </c>
      <c r="I590">
        <v>1</v>
      </c>
      <c r="J590">
        <v>1</v>
      </c>
      <c r="K590">
        <v>0</v>
      </c>
      <c r="L590">
        <v>1</v>
      </c>
      <c r="M590">
        <v>2</v>
      </c>
      <c r="N590">
        <v>0</v>
      </c>
      <c r="O590">
        <v>0</v>
      </c>
      <c r="P590">
        <v>0</v>
      </c>
      <c r="Q590">
        <v>0</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Q590">
        <v>6</v>
      </c>
      <c r="AR590">
        <v>2121</v>
      </c>
      <c r="AS590">
        <v>12726</v>
      </c>
    </row>
    <row r="591" spans="1:45" hidden="1">
      <c r="A591" t="s">
        <v>11</v>
      </c>
      <c r="B591" t="s">
        <v>739</v>
      </c>
      <c r="C591" t="s">
        <v>189</v>
      </c>
      <c r="D591" t="s">
        <v>190</v>
      </c>
      <c r="E591" t="s">
        <v>186</v>
      </c>
      <c r="F591" t="s">
        <v>191</v>
      </c>
      <c r="G591" t="s">
        <v>192</v>
      </c>
      <c r="H591">
        <v>3</v>
      </c>
      <c r="I591">
        <v>1</v>
      </c>
      <c r="J591">
        <v>2</v>
      </c>
      <c r="K591">
        <v>2</v>
      </c>
      <c r="L591">
        <v>2</v>
      </c>
      <c r="M591">
        <v>2</v>
      </c>
      <c r="N591">
        <v>0</v>
      </c>
      <c r="O591">
        <v>0</v>
      </c>
      <c r="P591">
        <v>0</v>
      </c>
      <c r="Q591">
        <v>0</v>
      </c>
      <c r="R591">
        <v>0</v>
      </c>
      <c r="S591">
        <v>0</v>
      </c>
      <c r="T591">
        <v>0</v>
      </c>
      <c r="U591">
        <v>0</v>
      </c>
      <c r="V591">
        <v>0</v>
      </c>
      <c r="W591">
        <v>0</v>
      </c>
      <c r="X591">
        <v>0</v>
      </c>
      <c r="Y591">
        <v>0</v>
      </c>
      <c r="Z591">
        <v>0</v>
      </c>
      <c r="AA591">
        <v>0</v>
      </c>
      <c r="AB591">
        <v>0</v>
      </c>
      <c r="AC591">
        <v>0</v>
      </c>
      <c r="AD591">
        <v>0</v>
      </c>
      <c r="AE591">
        <v>0</v>
      </c>
      <c r="AF591">
        <v>0</v>
      </c>
      <c r="AG591">
        <v>0</v>
      </c>
      <c r="AH591">
        <v>0</v>
      </c>
      <c r="AI591">
        <v>0</v>
      </c>
      <c r="AJ591">
        <v>1</v>
      </c>
      <c r="AK591">
        <v>0</v>
      </c>
      <c r="AL591">
        <v>0</v>
      </c>
      <c r="AM591">
        <v>0</v>
      </c>
      <c r="AQ591">
        <v>13</v>
      </c>
      <c r="AR591">
        <v>1060.5</v>
      </c>
      <c r="AS591">
        <v>13786.5</v>
      </c>
    </row>
    <row r="592" spans="1:45" hidden="1">
      <c r="A592" t="s">
        <v>11</v>
      </c>
      <c r="B592" t="s">
        <v>739</v>
      </c>
      <c r="C592" t="s">
        <v>702</v>
      </c>
      <c r="D592" t="s">
        <v>190</v>
      </c>
      <c r="E592" t="s">
        <v>186</v>
      </c>
      <c r="F592" t="s">
        <v>458</v>
      </c>
      <c r="G592" t="s">
        <v>459</v>
      </c>
      <c r="H592">
        <v>1</v>
      </c>
      <c r="I592">
        <v>0</v>
      </c>
      <c r="J592">
        <v>0</v>
      </c>
      <c r="K592">
        <v>1</v>
      </c>
      <c r="L592">
        <v>1</v>
      </c>
      <c r="M592">
        <v>1</v>
      </c>
      <c r="N592">
        <v>0</v>
      </c>
      <c r="O592">
        <v>0</v>
      </c>
      <c r="P592">
        <v>0</v>
      </c>
      <c r="Q592">
        <v>0</v>
      </c>
      <c r="R592">
        <v>0</v>
      </c>
      <c r="S592">
        <v>0</v>
      </c>
      <c r="T592">
        <v>0</v>
      </c>
      <c r="U592">
        <v>0</v>
      </c>
      <c r="V592">
        <v>0</v>
      </c>
      <c r="W592">
        <v>0</v>
      </c>
      <c r="X592">
        <v>0</v>
      </c>
      <c r="Y592">
        <v>0</v>
      </c>
      <c r="Z592">
        <v>0</v>
      </c>
      <c r="AA592">
        <v>0</v>
      </c>
      <c r="AB592">
        <v>0</v>
      </c>
      <c r="AC592">
        <v>0</v>
      </c>
      <c r="AD592">
        <v>0</v>
      </c>
      <c r="AE592">
        <v>0</v>
      </c>
      <c r="AF592">
        <v>0</v>
      </c>
      <c r="AG592">
        <v>0</v>
      </c>
      <c r="AH592">
        <v>0</v>
      </c>
      <c r="AI592">
        <v>0</v>
      </c>
      <c r="AJ592">
        <v>0</v>
      </c>
      <c r="AK592">
        <v>0</v>
      </c>
      <c r="AL592">
        <v>0</v>
      </c>
      <c r="AM592">
        <v>0</v>
      </c>
      <c r="AQ592">
        <v>4</v>
      </c>
      <c r="AR592">
        <v>1590.75</v>
      </c>
      <c r="AS592">
        <v>6363</v>
      </c>
    </row>
    <row r="593" spans="1:45" hidden="1">
      <c r="A593" t="s">
        <v>11</v>
      </c>
      <c r="B593" t="s">
        <v>739</v>
      </c>
      <c r="C593" t="s">
        <v>193</v>
      </c>
      <c r="D593" t="s">
        <v>194</v>
      </c>
      <c r="E593" t="s">
        <v>186</v>
      </c>
      <c r="F593" t="s">
        <v>195</v>
      </c>
      <c r="G593" t="s">
        <v>152</v>
      </c>
      <c r="H593">
        <v>20888</v>
      </c>
      <c r="I593">
        <v>11041</v>
      </c>
      <c r="J593">
        <v>12520</v>
      </c>
      <c r="K593">
        <v>12723</v>
      </c>
      <c r="L593">
        <v>17180</v>
      </c>
      <c r="M593">
        <v>54177</v>
      </c>
      <c r="N593">
        <v>481</v>
      </c>
      <c r="O593">
        <v>177</v>
      </c>
      <c r="P593">
        <v>1661</v>
      </c>
      <c r="Q593">
        <v>230</v>
      </c>
      <c r="R593">
        <v>1172</v>
      </c>
      <c r="S593">
        <v>453</v>
      </c>
      <c r="T593">
        <v>1102</v>
      </c>
      <c r="U593">
        <v>2054</v>
      </c>
      <c r="V593">
        <v>567</v>
      </c>
      <c r="W593">
        <v>120</v>
      </c>
      <c r="X593">
        <v>854</v>
      </c>
      <c r="Y593">
        <v>3840</v>
      </c>
      <c r="Z593">
        <v>1045</v>
      </c>
      <c r="AA593">
        <v>265</v>
      </c>
      <c r="AB593">
        <v>758</v>
      </c>
      <c r="AC593">
        <v>385</v>
      </c>
      <c r="AD593">
        <v>1173</v>
      </c>
      <c r="AE593">
        <v>1345</v>
      </c>
      <c r="AF593">
        <v>253</v>
      </c>
      <c r="AG593">
        <v>1875</v>
      </c>
      <c r="AH593">
        <v>1371</v>
      </c>
      <c r="AI593">
        <v>100</v>
      </c>
      <c r="AJ593">
        <v>1574</v>
      </c>
      <c r="AK593">
        <v>70</v>
      </c>
      <c r="AL593">
        <v>73</v>
      </c>
      <c r="AM593">
        <v>1100</v>
      </c>
      <c r="AQ593">
        <v>152627</v>
      </c>
      <c r="AR593">
        <v>0.63629999999999998</v>
      </c>
      <c r="AS593">
        <v>97116.560100000002</v>
      </c>
    </row>
    <row r="594" spans="1:45" hidden="1">
      <c r="A594" t="s">
        <v>11</v>
      </c>
      <c r="B594" t="s">
        <v>739</v>
      </c>
      <c r="C594" t="s">
        <v>197</v>
      </c>
      <c r="D594" t="s">
        <v>198</v>
      </c>
      <c r="E594" t="s">
        <v>186</v>
      </c>
      <c r="F594" t="s">
        <v>199</v>
      </c>
      <c r="G594" t="s">
        <v>200</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c r="AE594">
        <v>0</v>
      </c>
      <c r="AF594">
        <v>0</v>
      </c>
      <c r="AG594">
        <v>0</v>
      </c>
      <c r="AH594">
        <v>0</v>
      </c>
      <c r="AI594">
        <v>0</v>
      </c>
      <c r="AJ594">
        <v>0</v>
      </c>
      <c r="AK594">
        <v>0</v>
      </c>
      <c r="AL594">
        <v>0</v>
      </c>
      <c r="AM594">
        <v>0</v>
      </c>
      <c r="AQ594">
        <v>0</v>
      </c>
      <c r="AR594">
        <v>4984.3500000000004</v>
      </c>
      <c r="AS594">
        <v>0</v>
      </c>
    </row>
    <row r="595" spans="1:45" hidden="1">
      <c r="A595" t="s">
        <v>11</v>
      </c>
      <c r="B595" t="s">
        <v>739</v>
      </c>
      <c r="C595" t="s">
        <v>201</v>
      </c>
      <c r="D595" t="s">
        <v>202</v>
      </c>
      <c r="E595" t="s">
        <v>186</v>
      </c>
      <c r="F595" t="s">
        <v>203</v>
      </c>
      <c r="G595" t="s">
        <v>204</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c r="AE595">
        <v>0</v>
      </c>
      <c r="AF595">
        <v>0</v>
      </c>
      <c r="AG595">
        <v>0</v>
      </c>
      <c r="AH595">
        <v>0</v>
      </c>
      <c r="AI595">
        <v>0</v>
      </c>
      <c r="AJ595">
        <v>0</v>
      </c>
      <c r="AK595">
        <v>0</v>
      </c>
      <c r="AL595">
        <v>0</v>
      </c>
      <c r="AM595">
        <v>0</v>
      </c>
      <c r="AQ595">
        <v>0</v>
      </c>
      <c r="AR595">
        <v>31.815000000000001</v>
      </c>
      <c r="AS595">
        <v>0</v>
      </c>
    </row>
    <row r="596" spans="1:45" hidden="1">
      <c r="A596" t="s">
        <v>11</v>
      </c>
      <c r="B596" t="s">
        <v>739</v>
      </c>
      <c r="C596" t="s">
        <v>703</v>
      </c>
      <c r="D596" t="s">
        <v>460</v>
      </c>
      <c r="E596" t="s">
        <v>186</v>
      </c>
      <c r="F596" t="s">
        <v>461</v>
      </c>
      <c r="G596" t="s">
        <v>462</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c r="AE596">
        <v>0</v>
      </c>
      <c r="AF596">
        <v>0</v>
      </c>
      <c r="AG596">
        <v>0</v>
      </c>
      <c r="AH596">
        <v>0</v>
      </c>
      <c r="AI596">
        <v>0</v>
      </c>
      <c r="AJ596">
        <v>0</v>
      </c>
      <c r="AK596">
        <v>0</v>
      </c>
      <c r="AL596">
        <v>0</v>
      </c>
      <c r="AM596">
        <v>0</v>
      </c>
      <c r="AQ596">
        <v>0</v>
      </c>
      <c r="AR596">
        <v>15907.5</v>
      </c>
      <c r="AS596">
        <v>0</v>
      </c>
    </row>
    <row r="597" spans="1:45" hidden="1">
      <c r="A597" t="s">
        <v>11</v>
      </c>
      <c r="B597" t="s">
        <v>739</v>
      </c>
      <c r="C597" t="s">
        <v>704</v>
      </c>
      <c r="D597" t="s">
        <v>468</v>
      </c>
      <c r="E597" t="s">
        <v>186</v>
      </c>
      <c r="F597" t="s">
        <v>469</v>
      </c>
      <c r="G597" t="s">
        <v>470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c r="AD597">
        <v>0</v>
      </c>
      <c r="AE597">
        <v>0</v>
      </c>
      <c r="AF597">
        <v>0</v>
      </c>
      <c r="AG597">
        <v>0</v>
      </c>
      <c r="AH597">
        <v>0</v>
      </c>
      <c r="AI597">
        <v>0</v>
      </c>
      <c r="AJ597">
        <v>0</v>
      </c>
      <c r="AK597">
        <v>0</v>
      </c>
      <c r="AL597">
        <v>0</v>
      </c>
      <c r="AM597">
        <v>0</v>
      </c>
      <c r="AQ597">
        <v>0</v>
      </c>
      <c r="AR597">
        <v>159.07499999999999</v>
      </c>
      <c r="AS597">
        <v>0</v>
      </c>
    </row>
    <row r="598" spans="1:45" hidden="1">
      <c r="A598" t="s">
        <v>11</v>
      </c>
      <c r="B598" t="s">
        <v>739</v>
      </c>
      <c r="C598" t="s">
        <v>705</v>
      </c>
      <c r="D598" t="s">
        <v>463</v>
      </c>
      <c r="E598" t="s">
        <v>186</v>
      </c>
      <c r="F598" t="s">
        <v>466</v>
      </c>
      <c r="G598" t="s">
        <v>467</v>
      </c>
      <c r="I598">
        <v>0</v>
      </c>
      <c r="J598">
        <v>0</v>
      </c>
      <c r="K598">
        <v>4</v>
      </c>
      <c r="L598">
        <v>0</v>
      </c>
      <c r="M598">
        <v>0</v>
      </c>
      <c r="N598">
        <v>0</v>
      </c>
      <c r="O598">
        <v>0</v>
      </c>
      <c r="P598">
        <v>0</v>
      </c>
      <c r="Q598">
        <v>0</v>
      </c>
      <c r="R598">
        <v>0</v>
      </c>
      <c r="S598">
        <v>0</v>
      </c>
      <c r="T598">
        <v>0</v>
      </c>
      <c r="U598">
        <v>0</v>
      </c>
      <c r="V598">
        <v>0</v>
      </c>
      <c r="W598">
        <v>0</v>
      </c>
      <c r="X598">
        <v>0</v>
      </c>
      <c r="Y598">
        <v>0</v>
      </c>
      <c r="Z598">
        <v>0</v>
      </c>
      <c r="AA598">
        <v>0</v>
      </c>
      <c r="AB598">
        <v>0</v>
      </c>
      <c r="AC598">
        <v>0</v>
      </c>
      <c r="AD598">
        <v>0</v>
      </c>
      <c r="AE598">
        <v>0</v>
      </c>
      <c r="AF598">
        <v>0</v>
      </c>
      <c r="AG598">
        <v>0</v>
      </c>
      <c r="AH598">
        <v>0</v>
      </c>
      <c r="AI598">
        <v>0</v>
      </c>
      <c r="AJ598">
        <v>0</v>
      </c>
      <c r="AK598">
        <v>0</v>
      </c>
      <c r="AL598">
        <v>0</v>
      </c>
      <c r="AM598">
        <v>0</v>
      </c>
      <c r="AQ598">
        <v>4</v>
      </c>
      <c r="AR598">
        <v>509.04</v>
      </c>
      <c r="AS598">
        <v>2036.16</v>
      </c>
    </row>
    <row r="599" spans="1:45" hidden="1">
      <c r="A599" t="s">
        <v>11</v>
      </c>
      <c r="B599" t="s">
        <v>739</v>
      </c>
      <c r="C599" t="s">
        <v>706</v>
      </c>
      <c r="D599" t="s">
        <v>463</v>
      </c>
      <c r="E599" t="s">
        <v>186</v>
      </c>
      <c r="F599" t="s">
        <v>464</v>
      </c>
      <c r="G599" t="s">
        <v>465</v>
      </c>
      <c r="H599">
        <v>1</v>
      </c>
      <c r="I599">
        <v>1</v>
      </c>
      <c r="J599">
        <v>1</v>
      </c>
      <c r="K599">
        <v>1</v>
      </c>
      <c r="L599">
        <v>1</v>
      </c>
      <c r="M599">
        <v>2</v>
      </c>
      <c r="N599">
        <v>0</v>
      </c>
      <c r="O599">
        <v>0</v>
      </c>
      <c r="P599">
        <v>0</v>
      </c>
      <c r="Q599">
        <v>0</v>
      </c>
      <c r="R599">
        <v>0</v>
      </c>
      <c r="S599">
        <v>0</v>
      </c>
      <c r="T599">
        <v>0</v>
      </c>
      <c r="U599">
        <v>0</v>
      </c>
      <c r="V599">
        <v>0</v>
      </c>
      <c r="W599">
        <v>0</v>
      </c>
      <c r="X599">
        <v>0</v>
      </c>
      <c r="Y599">
        <v>0</v>
      </c>
      <c r="Z599">
        <v>0</v>
      </c>
      <c r="AA599">
        <v>0</v>
      </c>
      <c r="AB599">
        <v>0</v>
      </c>
      <c r="AC599">
        <v>0</v>
      </c>
      <c r="AD599">
        <v>0</v>
      </c>
      <c r="AE599">
        <v>0</v>
      </c>
      <c r="AF599">
        <v>0</v>
      </c>
      <c r="AG599">
        <v>0</v>
      </c>
      <c r="AH599">
        <v>0</v>
      </c>
      <c r="AI599">
        <v>0</v>
      </c>
      <c r="AJ599">
        <v>0</v>
      </c>
      <c r="AK599">
        <v>0</v>
      </c>
      <c r="AL599">
        <v>0</v>
      </c>
      <c r="AM599">
        <v>0</v>
      </c>
      <c r="AQ599">
        <v>7</v>
      </c>
      <c r="AR599">
        <v>1060.5</v>
      </c>
      <c r="AS599">
        <v>7423.5</v>
      </c>
    </row>
    <row r="600" spans="1:45" hidden="1">
      <c r="A600" t="s">
        <v>11</v>
      </c>
      <c r="B600" t="s">
        <v>739</v>
      </c>
      <c r="C600" t="s">
        <v>707</v>
      </c>
      <c r="D600" t="s">
        <v>471</v>
      </c>
      <c r="E600" t="s">
        <v>186</v>
      </c>
      <c r="F600" t="s">
        <v>472</v>
      </c>
      <c r="G600" t="s">
        <v>473</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c r="AE600">
        <v>0</v>
      </c>
      <c r="AF600">
        <v>0</v>
      </c>
      <c r="AG600">
        <v>0</v>
      </c>
      <c r="AH600">
        <v>0</v>
      </c>
      <c r="AI600">
        <v>0</v>
      </c>
      <c r="AJ600">
        <v>0</v>
      </c>
      <c r="AK600">
        <v>0</v>
      </c>
      <c r="AL600">
        <v>0</v>
      </c>
      <c r="AM600">
        <v>0</v>
      </c>
      <c r="AQ600">
        <v>0</v>
      </c>
      <c r="AR600">
        <v>15377.25</v>
      </c>
      <c r="AS600">
        <v>0</v>
      </c>
    </row>
    <row r="601" spans="1:45" hidden="1">
      <c r="A601" t="s">
        <v>11</v>
      </c>
      <c r="B601" t="s">
        <v>739</v>
      </c>
      <c r="C601" t="s">
        <v>205</v>
      </c>
      <c r="D601" t="s">
        <v>206</v>
      </c>
      <c r="E601" t="s">
        <v>207</v>
      </c>
      <c r="F601" t="s">
        <v>208</v>
      </c>
      <c r="G601" t="s">
        <v>209</v>
      </c>
      <c r="H601">
        <v>11298</v>
      </c>
      <c r="I601">
        <v>9300</v>
      </c>
      <c r="J601">
        <v>3621</v>
      </c>
      <c r="K601">
        <v>3576</v>
      </c>
      <c r="L601">
        <v>17180</v>
      </c>
      <c r="M601">
        <v>52677</v>
      </c>
      <c r="N601">
        <v>0</v>
      </c>
      <c r="O601">
        <v>0</v>
      </c>
      <c r="P601">
        <v>0</v>
      </c>
      <c r="Q601">
        <v>0</v>
      </c>
      <c r="R601">
        <v>0</v>
      </c>
      <c r="S601">
        <v>0</v>
      </c>
      <c r="T601">
        <v>0</v>
      </c>
      <c r="U601">
        <v>0</v>
      </c>
      <c r="V601">
        <v>0</v>
      </c>
      <c r="W601">
        <v>0</v>
      </c>
      <c r="X601">
        <v>0</v>
      </c>
      <c r="Y601">
        <v>3840</v>
      </c>
      <c r="Z601">
        <v>0</v>
      </c>
      <c r="AA601">
        <v>0</v>
      </c>
      <c r="AB601">
        <v>0</v>
      </c>
      <c r="AC601">
        <v>0</v>
      </c>
      <c r="AD601">
        <v>534</v>
      </c>
      <c r="AE601">
        <v>0</v>
      </c>
      <c r="AF601">
        <v>0</v>
      </c>
      <c r="AG601">
        <v>0</v>
      </c>
      <c r="AH601">
        <v>0</v>
      </c>
      <c r="AI601">
        <v>0</v>
      </c>
      <c r="AJ601">
        <v>255</v>
      </c>
      <c r="AK601">
        <v>0</v>
      </c>
      <c r="AL601">
        <v>0</v>
      </c>
      <c r="AM601">
        <v>1100</v>
      </c>
      <c r="AQ601">
        <v>103381</v>
      </c>
      <c r="AR601">
        <v>0.16159999999999999</v>
      </c>
      <c r="AS601">
        <v>16706.369600000002</v>
      </c>
    </row>
    <row r="602" spans="1:45" hidden="1">
      <c r="A602" t="s">
        <v>11</v>
      </c>
      <c r="B602" t="s">
        <v>739</v>
      </c>
      <c r="C602" t="s">
        <v>210</v>
      </c>
      <c r="D602" t="s">
        <v>211</v>
      </c>
      <c r="E602" t="s">
        <v>207</v>
      </c>
      <c r="F602" t="s">
        <v>212</v>
      </c>
      <c r="G602" t="s">
        <v>209</v>
      </c>
      <c r="H602">
        <v>20888</v>
      </c>
      <c r="I602">
        <v>11041</v>
      </c>
      <c r="J602">
        <v>9828</v>
      </c>
      <c r="K602">
        <v>12723</v>
      </c>
      <c r="L602">
        <v>17180</v>
      </c>
      <c r="M602">
        <v>54927</v>
      </c>
      <c r="N602">
        <v>424</v>
      </c>
      <c r="O602">
        <v>0</v>
      </c>
      <c r="P602">
        <v>1661</v>
      </c>
      <c r="Q602">
        <v>230</v>
      </c>
      <c r="R602">
        <v>1172</v>
      </c>
      <c r="S602">
        <v>0</v>
      </c>
      <c r="T602">
        <v>1103</v>
      </c>
      <c r="U602">
        <v>2054</v>
      </c>
      <c r="V602">
        <v>0</v>
      </c>
      <c r="W602">
        <v>0</v>
      </c>
      <c r="X602">
        <v>854</v>
      </c>
      <c r="Y602">
        <v>3840</v>
      </c>
      <c r="Z602">
        <v>1045</v>
      </c>
      <c r="AA602">
        <v>0</v>
      </c>
      <c r="AB602">
        <v>0</v>
      </c>
      <c r="AC602">
        <v>385</v>
      </c>
      <c r="AD602">
        <v>1173</v>
      </c>
      <c r="AE602">
        <v>1345</v>
      </c>
      <c r="AF602">
        <v>0</v>
      </c>
      <c r="AG602">
        <v>1875</v>
      </c>
      <c r="AH602">
        <v>1371</v>
      </c>
      <c r="AI602">
        <v>100</v>
      </c>
      <c r="AJ602">
        <v>1574</v>
      </c>
      <c r="AK602">
        <v>0</v>
      </c>
      <c r="AL602">
        <v>0</v>
      </c>
      <c r="AM602">
        <v>1100</v>
      </c>
      <c r="AQ602">
        <v>147893</v>
      </c>
      <c r="AR602">
        <v>0.63629999999999998</v>
      </c>
      <c r="AS602">
        <v>94104.315900000001</v>
      </c>
    </row>
    <row r="603" spans="1:45" hidden="1">
      <c r="A603" t="s">
        <v>11</v>
      </c>
      <c r="B603" t="s">
        <v>739</v>
      </c>
      <c r="C603" t="s">
        <v>213</v>
      </c>
      <c r="D603" t="s">
        <v>214</v>
      </c>
      <c r="E603" t="s">
        <v>207</v>
      </c>
      <c r="F603" t="s">
        <v>215</v>
      </c>
      <c r="G603" t="s">
        <v>152</v>
      </c>
      <c r="H603">
        <v>20888</v>
      </c>
      <c r="I603">
        <v>11041</v>
      </c>
      <c r="J603">
        <v>9529</v>
      </c>
      <c r="K603">
        <v>12723</v>
      </c>
      <c r="L603">
        <v>17180</v>
      </c>
      <c r="M603">
        <v>54927</v>
      </c>
      <c r="N603">
        <v>424</v>
      </c>
      <c r="O603">
        <v>177</v>
      </c>
      <c r="P603">
        <v>1661</v>
      </c>
      <c r="Q603">
        <v>230</v>
      </c>
      <c r="R603">
        <v>1172</v>
      </c>
      <c r="S603">
        <v>453</v>
      </c>
      <c r="T603">
        <v>1103</v>
      </c>
      <c r="U603">
        <v>2054</v>
      </c>
      <c r="V603">
        <v>567</v>
      </c>
      <c r="W603">
        <v>0</v>
      </c>
      <c r="X603">
        <v>854</v>
      </c>
      <c r="Y603">
        <v>3840</v>
      </c>
      <c r="Z603">
        <v>1045</v>
      </c>
      <c r="AA603">
        <v>265</v>
      </c>
      <c r="AB603">
        <v>758</v>
      </c>
      <c r="AC603">
        <v>385</v>
      </c>
      <c r="AD603">
        <v>1173</v>
      </c>
      <c r="AE603">
        <v>1345</v>
      </c>
      <c r="AF603">
        <v>253</v>
      </c>
      <c r="AG603">
        <v>1875</v>
      </c>
      <c r="AH603">
        <v>1371</v>
      </c>
      <c r="AI603">
        <v>100</v>
      </c>
      <c r="AJ603">
        <v>1574</v>
      </c>
      <c r="AK603">
        <v>0</v>
      </c>
      <c r="AL603">
        <v>0</v>
      </c>
      <c r="AM603">
        <v>1100</v>
      </c>
      <c r="AQ603">
        <v>150067</v>
      </c>
      <c r="AR603">
        <v>0.32319999999999999</v>
      </c>
      <c r="AS603">
        <v>48501.654399999999</v>
      </c>
    </row>
    <row r="604" spans="1:45" hidden="1">
      <c r="A604" t="s">
        <v>11</v>
      </c>
      <c r="B604" t="s">
        <v>739</v>
      </c>
      <c r="C604" t="s">
        <v>255</v>
      </c>
      <c r="D604" t="s">
        <v>256</v>
      </c>
      <c r="E604" t="s">
        <v>207</v>
      </c>
      <c r="F604" t="s">
        <v>257</v>
      </c>
      <c r="G604" t="s">
        <v>258</v>
      </c>
      <c r="H604">
        <v>292</v>
      </c>
      <c r="I604">
        <v>144</v>
      </c>
      <c r="J604">
        <v>97</v>
      </c>
      <c r="K604">
        <v>200</v>
      </c>
      <c r="L604">
        <v>259</v>
      </c>
      <c r="M604">
        <v>703</v>
      </c>
      <c r="N604">
        <v>0</v>
      </c>
      <c r="O604">
        <v>0</v>
      </c>
      <c r="P604">
        <v>10</v>
      </c>
      <c r="Q604">
        <v>0</v>
      </c>
      <c r="R604">
        <v>15</v>
      </c>
      <c r="S604">
        <v>0</v>
      </c>
      <c r="T604">
        <v>4</v>
      </c>
      <c r="U604">
        <v>20</v>
      </c>
      <c r="V604">
        <v>1</v>
      </c>
      <c r="W604">
        <v>0</v>
      </c>
      <c r="X604">
        <v>1</v>
      </c>
      <c r="Y604">
        <v>21</v>
      </c>
      <c r="Z604">
        <v>0</v>
      </c>
      <c r="AA604">
        <v>0</v>
      </c>
      <c r="AB604">
        <v>0</v>
      </c>
      <c r="AC604">
        <v>2</v>
      </c>
      <c r="AD604">
        <v>5</v>
      </c>
      <c r="AE604">
        <v>16</v>
      </c>
      <c r="AF604">
        <v>0</v>
      </c>
      <c r="AG604">
        <v>8</v>
      </c>
      <c r="AH604">
        <v>4</v>
      </c>
      <c r="AI604">
        <v>0</v>
      </c>
      <c r="AJ604">
        <v>3</v>
      </c>
      <c r="AK604">
        <v>0</v>
      </c>
      <c r="AL604">
        <v>0</v>
      </c>
      <c r="AM604">
        <v>4</v>
      </c>
      <c r="AQ604">
        <v>1809</v>
      </c>
      <c r="AR604">
        <v>31.815000000000001</v>
      </c>
      <c r="AS604">
        <v>57553.334999999999</v>
      </c>
    </row>
    <row r="605" spans="1:45" hidden="1">
      <c r="A605" t="s">
        <v>11</v>
      </c>
      <c r="B605" t="s">
        <v>739</v>
      </c>
      <c r="C605" t="s">
        <v>217</v>
      </c>
      <c r="D605" t="s">
        <v>218</v>
      </c>
      <c r="E605" t="s">
        <v>207</v>
      </c>
      <c r="F605" t="s">
        <v>219</v>
      </c>
      <c r="G605" t="s">
        <v>220</v>
      </c>
      <c r="H605">
        <v>274</v>
      </c>
      <c r="I605">
        <v>129</v>
      </c>
      <c r="J605">
        <v>112</v>
      </c>
      <c r="K605">
        <v>174</v>
      </c>
      <c r="L605">
        <v>203</v>
      </c>
      <c r="M605">
        <v>573</v>
      </c>
      <c r="N605">
        <v>4</v>
      </c>
      <c r="O605">
        <v>2</v>
      </c>
      <c r="P605">
        <v>10</v>
      </c>
      <c r="Q605">
        <v>3</v>
      </c>
      <c r="R605">
        <v>17</v>
      </c>
      <c r="S605">
        <v>3</v>
      </c>
      <c r="T605">
        <v>12</v>
      </c>
      <c r="U605">
        <v>20</v>
      </c>
      <c r="V605">
        <v>4</v>
      </c>
      <c r="W605">
        <v>1</v>
      </c>
      <c r="X605">
        <v>9</v>
      </c>
      <c r="Y605">
        <v>23</v>
      </c>
      <c r="Z605">
        <v>7</v>
      </c>
      <c r="AA605">
        <v>7</v>
      </c>
      <c r="AB605">
        <v>6</v>
      </c>
      <c r="AC605">
        <v>4</v>
      </c>
      <c r="AD605">
        <v>12</v>
      </c>
      <c r="AE605">
        <v>14</v>
      </c>
      <c r="AF605">
        <v>2</v>
      </c>
      <c r="AG605">
        <v>10</v>
      </c>
      <c r="AH605">
        <v>12</v>
      </c>
      <c r="AI605">
        <v>2</v>
      </c>
      <c r="AJ605">
        <v>12</v>
      </c>
      <c r="AK605">
        <v>1</v>
      </c>
      <c r="AL605">
        <v>1</v>
      </c>
      <c r="AM605">
        <v>16</v>
      </c>
      <c r="AQ605">
        <v>1679</v>
      </c>
      <c r="AR605">
        <v>9.5950000000000006</v>
      </c>
      <c r="AS605">
        <v>16110.004999999999</v>
      </c>
    </row>
    <row r="606" spans="1:45" hidden="1">
      <c r="A606" t="s">
        <v>11</v>
      </c>
      <c r="B606" t="s">
        <v>739</v>
      </c>
      <c r="C606" t="s">
        <v>708</v>
      </c>
      <c r="D606" t="s">
        <v>474</v>
      </c>
      <c r="E606" t="s">
        <v>207</v>
      </c>
      <c r="F606" t="s">
        <v>475</v>
      </c>
      <c r="G606" t="s">
        <v>476</v>
      </c>
      <c r="H606">
        <v>4</v>
      </c>
      <c r="I606">
        <v>6</v>
      </c>
      <c r="J606">
        <v>0</v>
      </c>
      <c r="K606">
        <v>5</v>
      </c>
      <c r="L606">
        <v>2</v>
      </c>
      <c r="M606">
        <v>20</v>
      </c>
      <c r="N606">
        <v>0</v>
      </c>
      <c r="O606">
        <v>0</v>
      </c>
      <c r="P606">
        <v>0</v>
      </c>
      <c r="Q606">
        <v>0</v>
      </c>
      <c r="R606">
        <v>0</v>
      </c>
      <c r="S606">
        <v>0</v>
      </c>
      <c r="T606">
        <v>0</v>
      </c>
      <c r="U606">
        <v>0</v>
      </c>
      <c r="V606">
        <v>0</v>
      </c>
      <c r="W606">
        <v>0</v>
      </c>
      <c r="X606">
        <v>0</v>
      </c>
      <c r="Y606">
        <v>0</v>
      </c>
      <c r="Z606">
        <v>0</v>
      </c>
      <c r="AA606">
        <v>0</v>
      </c>
      <c r="AB606">
        <v>0</v>
      </c>
      <c r="AC606">
        <v>0</v>
      </c>
      <c r="AD606">
        <v>0</v>
      </c>
      <c r="AE606">
        <v>0</v>
      </c>
      <c r="AF606">
        <v>0</v>
      </c>
      <c r="AG606">
        <v>0</v>
      </c>
      <c r="AH606">
        <v>0</v>
      </c>
      <c r="AI606">
        <v>0</v>
      </c>
      <c r="AJ606">
        <v>0</v>
      </c>
      <c r="AK606">
        <v>0</v>
      </c>
      <c r="AL606">
        <v>0</v>
      </c>
      <c r="AM606">
        <v>2</v>
      </c>
      <c r="AQ606">
        <v>39</v>
      </c>
      <c r="AR606">
        <v>79.790000000000006</v>
      </c>
      <c r="AS606">
        <v>3111.81</v>
      </c>
    </row>
    <row r="607" spans="1:45" hidden="1">
      <c r="A607" t="s">
        <v>11</v>
      </c>
      <c r="B607" t="s">
        <v>739</v>
      </c>
      <c r="C607" t="s">
        <v>709</v>
      </c>
      <c r="D607" t="s">
        <v>477</v>
      </c>
      <c r="E607" t="s">
        <v>207</v>
      </c>
      <c r="F607" t="s">
        <v>478</v>
      </c>
      <c r="G607" t="s">
        <v>479</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c r="AE607">
        <v>0</v>
      </c>
      <c r="AF607">
        <v>0</v>
      </c>
      <c r="AH607">
        <v>0</v>
      </c>
      <c r="AI607">
        <v>0</v>
      </c>
      <c r="AJ607">
        <v>0</v>
      </c>
      <c r="AK607">
        <v>0</v>
      </c>
      <c r="AL607">
        <v>0</v>
      </c>
      <c r="AM607">
        <v>0</v>
      </c>
      <c r="AQ607">
        <v>0</v>
      </c>
      <c r="AR607">
        <v>2.121</v>
      </c>
      <c r="AS607">
        <v>0</v>
      </c>
    </row>
    <row r="608" spans="1:45" hidden="1">
      <c r="A608" t="s">
        <v>11</v>
      </c>
      <c r="B608" t="s">
        <v>739</v>
      </c>
      <c r="C608" t="s">
        <v>221</v>
      </c>
      <c r="D608" t="s">
        <v>222</v>
      </c>
      <c r="E608" t="s">
        <v>207</v>
      </c>
      <c r="F608" t="s">
        <v>223</v>
      </c>
      <c r="G608" t="s">
        <v>224</v>
      </c>
      <c r="H608">
        <v>1</v>
      </c>
      <c r="I608">
        <v>1</v>
      </c>
      <c r="J608">
        <v>1</v>
      </c>
      <c r="K608">
        <v>0</v>
      </c>
      <c r="L608">
        <v>0</v>
      </c>
      <c r="M608">
        <v>1</v>
      </c>
      <c r="N608">
        <v>0</v>
      </c>
      <c r="O608">
        <v>0</v>
      </c>
      <c r="P608">
        <v>0</v>
      </c>
      <c r="Q608">
        <v>0</v>
      </c>
      <c r="R608">
        <v>0</v>
      </c>
      <c r="S608">
        <v>0</v>
      </c>
      <c r="T608">
        <v>0</v>
      </c>
      <c r="U608">
        <v>0</v>
      </c>
      <c r="V608">
        <v>0</v>
      </c>
      <c r="W608">
        <v>0</v>
      </c>
      <c r="X608">
        <v>0</v>
      </c>
      <c r="Y608">
        <v>0</v>
      </c>
      <c r="Z608">
        <v>0</v>
      </c>
      <c r="AA608">
        <v>0</v>
      </c>
      <c r="AB608">
        <v>0</v>
      </c>
      <c r="AC608">
        <v>0</v>
      </c>
      <c r="AD608">
        <v>0</v>
      </c>
      <c r="AE608">
        <v>0</v>
      </c>
      <c r="AF608">
        <v>0</v>
      </c>
      <c r="AG608">
        <v>0</v>
      </c>
      <c r="AH608">
        <v>0</v>
      </c>
      <c r="AI608">
        <v>0</v>
      </c>
      <c r="AJ608">
        <v>0</v>
      </c>
      <c r="AK608">
        <v>0</v>
      </c>
      <c r="AL608">
        <v>0</v>
      </c>
      <c r="AM608">
        <v>0</v>
      </c>
      <c r="AQ608">
        <v>4</v>
      </c>
      <c r="AR608">
        <v>2651.25</v>
      </c>
      <c r="AS608">
        <v>10605</v>
      </c>
    </row>
    <row r="609" spans="1:45" hidden="1">
      <c r="A609" t="s">
        <v>11</v>
      </c>
      <c r="B609" t="s">
        <v>739</v>
      </c>
      <c r="C609" t="s">
        <v>225</v>
      </c>
      <c r="D609" t="s">
        <v>226</v>
      </c>
      <c r="E609" t="s">
        <v>207</v>
      </c>
      <c r="F609" t="s">
        <v>227</v>
      </c>
      <c r="G609" t="s">
        <v>228</v>
      </c>
      <c r="H609">
        <v>111</v>
      </c>
      <c r="I609">
        <v>67</v>
      </c>
      <c r="J609">
        <v>59</v>
      </c>
      <c r="K609">
        <v>94</v>
      </c>
      <c r="L609">
        <v>75</v>
      </c>
      <c r="M609">
        <v>343</v>
      </c>
      <c r="N609">
        <v>0</v>
      </c>
      <c r="O609">
        <v>2</v>
      </c>
      <c r="P609">
        <v>4</v>
      </c>
      <c r="Q609">
        <v>1</v>
      </c>
      <c r="R609">
        <v>3</v>
      </c>
      <c r="S609">
        <v>0</v>
      </c>
      <c r="T609">
        <v>0</v>
      </c>
      <c r="U609">
        <v>6</v>
      </c>
      <c r="V609">
        <v>3</v>
      </c>
      <c r="W609">
        <v>0</v>
      </c>
      <c r="X609">
        <v>3</v>
      </c>
      <c r="Y609">
        <v>11</v>
      </c>
      <c r="Z609">
        <v>1</v>
      </c>
      <c r="AA609">
        <v>0</v>
      </c>
      <c r="AB609">
        <v>0</v>
      </c>
      <c r="AC609">
        <v>0</v>
      </c>
      <c r="AD609">
        <v>0</v>
      </c>
      <c r="AE609">
        <v>0</v>
      </c>
      <c r="AF609">
        <v>0</v>
      </c>
      <c r="AG609">
        <v>5</v>
      </c>
      <c r="AH609">
        <v>4</v>
      </c>
      <c r="AI609">
        <v>0</v>
      </c>
      <c r="AJ609">
        <v>0</v>
      </c>
      <c r="AK609">
        <v>1</v>
      </c>
      <c r="AL609">
        <v>0</v>
      </c>
      <c r="AM609">
        <v>4</v>
      </c>
      <c r="AQ609">
        <v>797</v>
      </c>
      <c r="AR609">
        <v>21.21</v>
      </c>
      <c r="AS609">
        <v>16904.37</v>
      </c>
    </row>
    <row r="610" spans="1:45" hidden="1">
      <c r="A610" t="s">
        <v>11</v>
      </c>
      <c r="B610" t="s">
        <v>739</v>
      </c>
      <c r="C610" t="s">
        <v>710</v>
      </c>
      <c r="D610" t="s">
        <v>480</v>
      </c>
      <c r="E610" t="s">
        <v>207</v>
      </c>
      <c r="F610" t="s">
        <v>481</v>
      </c>
      <c r="G610" t="s">
        <v>482</v>
      </c>
      <c r="I610">
        <v>0</v>
      </c>
      <c r="J610">
        <v>0</v>
      </c>
      <c r="K610">
        <v>0</v>
      </c>
      <c r="L610">
        <v>0</v>
      </c>
      <c r="M610">
        <v>1</v>
      </c>
      <c r="N610">
        <v>0</v>
      </c>
      <c r="O610">
        <v>0</v>
      </c>
      <c r="P610">
        <v>0</v>
      </c>
      <c r="Q610">
        <v>0</v>
      </c>
      <c r="R610">
        <v>0</v>
      </c>
      <c r="S610">
        <v>0</v>
      </c>
      <c r="T610">
        <v>0</v>
      </c>
      <c r="U610">
        <v>0</v>
      </c>
      <c r="V610">
        <v>0</v>
      </c>
      <c r="W610">
        <v>0</v>
      </c>
      <c r="X610">
        <v>0</v>
      </c>
      <c r="Y610">
        <v>0</v>
      </c>
      <c r="Z610">
        <v>0</v>
      </c>
      <c r="AA610">
        <v>0</v>
      </c>
      <c r="AB610">
        <v>0</v>
      </c>
      <c r="AC610">
        <v>0</v>
      </c>
      <c r="AD610">
        <v>0</v>
      </c>
      <c r="AE610">
        <v>0</v>
      </c>
      <c r="AF610">
        <v>0</v>
      </c>
      <c r="AG610">
        <v>0</v>
      </c>
      <c r="AH610">
        <v>0</v>
      </c>
      <c r="AI610">
        <v>0</v>
      </c>
      <c r="AJ610">
        <v>0</v>
      </c>
      <c r="AK610">
        <v>0</v>
      </c>
      <c r="AL610">
        <v>0</v>
      </c>
      <c r="AM610">
        <v>0</v>
      </c>
      <c r="AQ610">
        <v>1</v>
      </c>
      <c r="AR610">
        <v>1272.5999999999999</v>
      </c>
      <c r="AS610">
        <v>1272.5999999999999</v>
      </c>
    </row>
    <row r="611" spans="1:45" hidden="1">
      <c r="A611" t="s">
        <v>11</v>
      </c>
      <c r="B611" t="s">
        <v>739</v>
      </c>
      <c r="C611" t="s">
        <v>711</v>
      </c>
      <c r="D611" t="s">
        <v>488</v>
      </c>
      <c r="E611" t="s">
        <v>207</v>
      </c>
      <c r="F611" t="s">
        <v>489</v>
      </c>
      <c r="G611" t="s">
        <v>490</v>
      </c>
      <c r="H611">
        <v>928</v>
      </c>
      <c r="I611">
        <v>0</v>
      </c>
      <c r="J611">
        <v>0</v>
      </c>
      <c r="K611">
        <v>0</v>
      </c>
      <c r="L611">
        <v>0</v>
      </c>
      <c r="M611">
        <v>1500</v>
      </c>
      <c r="N611">
        <v>0</v>
      </c>
      <c r="O611">
        <v>0</v>
      </c>
      <c r="P611">
        <v>0</v>
      </c>
      <c r="Q611">
        <v>0</v>
      </c>
      <c r="R611">
        <v>0</v>
      </c>
      <c r="S611">
        <v>0</v>
      </c>
      <c r="T611">
        <v>0</v>
      </c>
      <c r="U611">
        <v>0</v>
      </c>
      <c r="V611">
        <v>0</v>
      </c>
      <c r="W611">
        <v>0</v>
      </c>
      <c r="X611">
        <v>0</v>
      </c>
      <c r="Y611">
        <v>0</v>
      </c>
      <c r="Z611">
        <v>0</v>
      </c>
      <c r="AA611">
        <v>0</v>
      </c>
      <c r="AB611">
        <v>0</v>
      </c>
      <c r="AC611">
        <v>0</v>
      </c>
      <c r="AD611">
        <v>0</v>
      </c>
      <c r="AE611">
        <v>0</v>
      </c>
      <c r="AF611">
        <v>0</v>
      </c>
      <c r="AG611">
        <v>0</v>
      </c>
      <c r="AH611">
        <v>0</v>
      </c>
      <c r="AI611">
        <v>0</v>
      </c>
      <c r="AJ611">
        <v>0</v>
      </c>
      <c r="AK611">
        <v>0</v>
      </c>
      <c r="AL611">
        <v>0</v>
      </c>
      <c r="AM611">
        <v>0</v>
      </c>
      <c r="AQ611">
        <v>2428</v>
      </c>
      <c r="AR611">
        <v>0.5353</v>
      </c>
      <c r="AS611">
        <v>1299.7084</v>
      </c>
    </row>
    <row r="612" spans="1:45" hidden="1">
      <c r="A612" t="s">
        <v>11</v>
      </c>
      <c r="B612" t="s">
        <v>739</v>
      </c>
      <c r="C612" t="s">
        <v>712</v>
      </c>
      <c r="D612" t="s">
        <v>483</v>
      </c>
      <c r="E612" t="s">
        <v>207</v>
      </c>
      <c r="F612" t="s">
        <v>484</v>
      </c>
      <c r="G612" t="s">
        <v>392</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c r="AD612">
        <v>0</v>
      </c>
      <c r="AE612">
        <v>0</v>
      </c>
      <c r="AF612">
        <v>0</v>
      </c>
      <c r="AG612">
        <v>0</v>
      </c>
      <c r="AH612">
        <v>0</v>
      </c>
      <c r="AI612">
        <v>0</v>
      </c>
      <c r="AJ612">
        <v>0</v>
      </c>
      <c r="AK612">
        <v>0</v>
      </c>
      <c r="AL612">
        <v>0</v>
      </c>
      <c r="AM612">
        <v>0</v>
      </c>
      <c r="AQ612">
        <v>0</v>
      </c>
      <c r="AR612">
        <v>2121</v>
      </c>
      <c r="AS612">
        <v>0</v>
      </c>
    </row>
    <row r="613" spans="1:45" hidden="1">
      <c r="A613" t="s">
        <v>11</v>
      </c>
      <c r="B613" t="s">
        <v>739</v>
      </c>
      <c r="C613" t="s">
        <v>713</v>
      </c>
      <c r="D613" t="s">
        <v>485</v>
      </c>
      <c r="E613" t="s">
        <v>207</v>
      </c>
      <c r="F613" t="s">
        <v>486</v>
      </c>
      <c r="G613" t="s">
        <v>487</v>
      </c>
      <c r="H613">
        <v>1</v>
      </c>
      <c r="I613">
        <v>1</v>
      </c>
      <c r="J613">
        <v>0</v>
      </c>
      <c r="K613">
        <v>0</v>
      </c>
      <c r="L613">
        <v>0</v>
      </c>
      <c r="M613">
        <v>1</v>
      </c>
      <c r="N613">
        <v>0</v>
      </c>
      <c r="O613">
        <v>0</v>
      </c>
      <c r="P613">
        <v>0</v>
      </c>
      <c r="Q613">
        <v>0</v>
      </c>
      <c r="R613">
        <v>0</v>
      </c>
      <c r="S613">
        <v>0</v>
      </c>
      <c r="T613">
        <v>0</v>
      </c>
      <c r="U613">
        <v>0</v>
      </c>
      <c r="V613">
        <v>0</v>
      </c>
      <c r="W613">
        <v>0</v>
      </c>
      <c r="X613">
        <v>0</v>
      </c>
      <c r="Y613">
        <v>0</v>
      </c>
      <c r="Z613">
        <v>0</v>
      </c>
      <c r="AA613">
        <v>0</v>
      </c>
      <c r="AB613">
        <v>0</v>
      </c>
      <c r="AC613">
        <v>0</v>
      </c>
      <c r="AD613">
        <v>0</v>
      </c>
      <c r="AE613">
        <v>0</v>
      </c>
      <c r="AF613">
        <v>0</v>
      </c>
      <c r="AG613">
        <v>0</v>
      </c>
      <c r="AH613">
        <v>0</v>
      </c>
      <c r="AI613">
        <v>0</v>
      </c>
      <c r="AJ613">
        <v>0</v>
      </c>
      <c r="AK613">
        <v>0</v>
      </c>
      <c r="AL613">
        <v>0</v>
      </c>
      <c r="AM613">
        <v>0</v>
      </c>
      <c r="AQ613">
        <v>3</v>
      </c>
      <c r="AR613">
        <v>265.125</v>
      </c>
      <c r="AS613">
        <v>795.375</v>
      </c>
    </row>
    <row r="614" spans="1:45" hidden="1">
      <c r="A614" t="s">
        <v>11</v>
      </c>
      <c r="B614" t="s">
        <v>739</v>
      </c>
      <c r="C614" t="s">
        <v>229</v>
      </c>
      <c r="D614" t="s">
        <v>230</v>
      </c>
      <c r="E614" t="s">
        <v>231</v>
      </c>
      <c r="F614" t="s">
        <v>232</v>
      </c>
      <c r="G614" t="s">
        <v>233</v>
      </c>
      <c r="H614">
        <v>9</v>
      </c>
      <c r="I614">
        <v>5</v>
      </c>
      <c r="J614">
        <v>3</v>
      </c>
      <c r="K614">
        <v>7</v>
      </c>
      <c r="L614">
        <v>10</v>
      </c>
      <c r="M614">
        <v>26</v>
      </c>
      <c r="N614">
        <v>0</v>
      </c>
      <c r="O614">
        <v>0</v>
      </c>
      <c r="P614">
        <v>0</v>
      </c>
      <c r="Q614">
        <v>0</v>
      </c>
      <c r="R614">
        <v>1</v>
      </c>
      <c r="S614">
        <v>1</v>
      </c>
      <c r="T614">
        <v>1</v>
      </c>
      <c r="U614">
        <v>1</v>
      </c>
      <c r="V614">
        <v>0</v>
      </c>
      <c r="W614">
        <v>0</v>
      </c>
      <c r="X614">
        <v>0</v>
      </c>
      <c r="Y614">
        <v>1</v>
      </c>
      <c r="Z614">
        <v>1</v>
      </c>
      <c r="AA614">
        <v>0</v>
      </c>
      <c r="AB614">
        <v>0</v>
      </c>
      <c r="AC614">
        <v>0</v>
      </c>
      <c r="AD614">
        <v>1</v>
      </c>
      <c r="AE614">
        <v>1</v>
      </c>
      <c r="AF614">
        <v>0</v>
      </c>
      <c r="AG614">
        <v>1</v>
      </c>
      <c r="AH614">
        <v>1</v>
      </c>
      <c r="AI614">
        <v>0</v>
      </c>
      <c r="AJ614">
        <v>0</v>
      </c>
      <c r="AK614">
        <v>0</v>
      </c>
      <c r="AL614">
        <v>0</v>
      </c>
      <c r="AM614">
        <v>1</v>
      </c>
      <c r="AQ614">
        <v>71</v>
      </c>
      <c r="AR614">
        <v>1484.7</v>
      </c>
      <c r="AS614">
        <v>105413.7</v>
      </c>
    </row>
    <row r="615" spans="1:45" hidden="1">
      <c r="A615" t="s">
        <v>11</v>
      </c>
      <c r="B615" t="s">
        <v>739</v>
      </c>
      <c r="C615" t="s">
        <v>234</v>
      </c>
      <c r="D615" t="s">
        <v>230</v>
      </c>
      <c r="E615" t="s">
        <v>231</v>
      </c>
      <c r="F615" t="s">
        <v>285</v>
      </c>
      <c r="G615" t="s">
        <v>233</v>
      </c>
      <c r="H615">
        <v>1</v>
      </c>
      <c r="I615">
        <v>0</v>
      </c>
      <c r="J615">
        <v>4</v>
      </c>
      <c r="K615">
        <v>0</v>
      </c>
      <c r="L615">
        <v>0</v>
      </c>
      <c r="M615">
        <v>11</v>
      </c>
      <c r="N615">
        <v>0</v>
      </c>
      <c r="O615">
        <v>0</v>
      </c>
      <c r="P615">
        <v>0</v>
      </c>
      <c r="Q615">
        <v>0</v>
      </c>
      <c r="R615">
        <v>0</v>
      </c>
      <c r="S615">
        <v>0</v>
      </c>
      <c r="T615">
        <v>0</v>
      </c>
      <c r="U615">
        <v>0</v>
      </c>
      <c r="V615">
        <v>0</v>
      </c>
      <c r="W615">
        <v>0</v>
      </c>
      <c r="X615">
        <v>0</v>
      </c>
      <c r="Y615">
        <v>0</v>
      </c>
      <c r="Z615">
        <v>0</v>
      </c>
      <c r="AA615">
        <v>0</v>
      </c>
      <c r="AB615">
        <v>0</v>
      </c>
      <c r="AC615">
        <v>0</v>
      </c>
      <c r="AD615">
        <v>0</v>
      </c>
      <c r="AE615">
        <v>0</v>
      </c>
      <c r="AF615">
        <v>0</v>
      </c>
      <c r="AG615">
        <v>0</v>
      </c>
      <c r="AH615">
        <v>0</v>
      </c>
      <c r="AI615">
        <v>0</v>
      </c>
      <c r="AJ615">
        <v>0</v>
      </c>
      <c r="AK615">
        <v>0</v>
      </c>
      <c r="AL615">
        <v>0</v>
      </c>
      <c r="AM615">
        <v>0</v>
      </c>
      <c r="AQ615">
        <v>16</v>
      </c>
      <c r="AR615">
        <v>1696.8</v>
      </c>
      <c r="AS615">
        <v>27148.799999999999</v>
      </c>
    </row>
    <row r="616" spans="1:45" hidden="1">
      <c r="A616" t="s">
        <v>11</v>
      </c>
      <c r="B616" t="s">
        <v>739</v>
      </c>
      <c r="C616" t="s">
        <v>714</v>
      </c>
      <c r="D616" t="s">
        <v>230</v>
      </c>
      <c r="E616" t="s">
        <v>231</v>
      </c>
      <c r="F616" t="s">
        <v>491</v>
      </c>
      <c r="G616" t="s">
        <v>233</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c r="AE616">
        <v>0</v>
      </c>
      <c r="AF616">
        <v>0</v>
      </c>
      <c r="AG616">
        <v>0</v>
      </c>
      <c r="AH616">
        <v>0</v>
      </c>
      <c r="AI616">
        <v>0</v>
      </c>
      <c r="AJ616">
        <v>0</v>
      </c>
      <c r="AK616">
        <v>0</v>
      </c>
      <c r="AL616">
        <v>0</v>
      </c>
      <c r="AM616">
        <v>0</v>
      </c>
      <c r="AQ616">
        <v>0</v>
      </c>
      <c r="AR616">
        <v>1908.9</v>
      </c>
      <c r="AS616">
        <v>0</v>
      </c>
    </row>
    <row r="617" spans="1:45" hidden="1">
      <c r="A617" t="s">
        <v>11</v>
      </c>
      <c r="B617" t="s">
        <v>739</v>
      </c>
      <c r="C617" t="s">
        <v>236</v>
      </c>
      <c r="D617" t="s">
        <v>237</v>
      </c>
      <c r="E617" t="s">
        <v>231</v>
      </c>
      <c r="F617" t="s">
        <v>238</v>
      </c>
      <c r="G617" t="s">
        <v>239</v>
      </c>
      <c r="H617">
        <v>1</v>
      </c>
      <c r="I617">
        <v>0</v>
      </c>
      <c r="J617">
        <v>0</v>
      </c>
      <c r="K617">
        <v>1</v>
      </c>
      <c r="L617">
        <v>0</v>
      </c>
      <c r="M617">
        <v>0</v>
      </c>
      <c r="N617">
        <v>0</v>
      </c>
      <c r="O617">
        <v>0</v>
      </c>
      <c r="P617">
        <v>0</v>
      </c>
      <c r="Q617">
        <v>0</v>
      </c>
      <c r="R617">
        <v>0</v>
      </c>
      <c r="S617">
        <v>0</v>
      </c>
      <c r="T617">
        <v>0</v>
      </c>
      <c r="U617">
        <v>0</v>
      </c>
      <c r="V617">
        <v>0</v>
      </c>
      <c r="W617">
        <v>0</v>
      </c>
      <c r="X617">
        <v>0</v>
      </c>
      <c r="Y617">
        <v>0</v>
      </c>
      <c r="Z617">
        <v>0</v>
      </c>
      <c r="AA617">
        <v>0</v>
      </c>
      <c r="AB617">
        <v>0</v>
      </c>
      <c r="AC617">
        <v>0</v>
      </c>
      <c r="AD617">
        <v>0</v>
      </c>
      <c r="AE617">
        <v>0</v>
      </c>
      <c r="AF617">
        <v>0</v>
      </c>
      <c r="AG617">
        <v>0</v>
      </c>
      <c r="AH617">
        <v>0</v>
      </c>
      <c r="AI617">
        <v>0</v>
      </c>
      <c r="AJ617">
        <v>0</v>
      </c>
      <c r="AK617">
        <v>0</v>
      </c>
      <c r="AL617">
        <v>0</v>
      </c>
      <c r="AM617">
        <v>0</v>
      </c>
      <c r="AQ617">
        <v>2</v>
      </c>
      <c r="AR617">
        <v>265.125</v>
      </c>
      <c r="AS617">
        <v>530.25</v>
      </c>
    </row>
    <row r="618" spans="1:45" hidden="1">
      <c r="A618" t="s">
        <v>11</v>
      </c>
      <c r="B618" t="s">
        <v>739</v>
      </c>
      <c r="C618" t="s">
        <v>715</v>
      </c>
      <c r="D618" t="s">
        <v>492</v>
      </c>
      <c r="E618" t="s">
        <v>231</v>
      </c>
      <c r="F618" t="s">
        <v>493</v>
      </c>
      <c r="G618" t="s">
        <v>494</v>
      </c>
      <c r="I618">
        <v>0</v>
      </c>
      <c r="J618">
        <v>0</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Q618">
        <v>0</v>
      </c>
      <c r="AR618">
        <v>742.35</v>
      </c>
      <c r="AS618">
        <v>0</v>
      </c>
    </row>
    <row r="619" spans="1:45" hidden="1">
      <c r="A619" t="s">
        <v>11</v>
      </c>
      <c r="B619" t="s">
        <v>739</v>
      </c>
      <c r="C619" t="s">
        <v>716</v>
      </c>
      <c r="D619" t="s">
        <v>495</v>
      </c>
      <c r="E619" t="s">
        <v>231</v>
      </c>
      <c r="F619" t="s">
        <v>496</v>
      </c>
      <c r="G619" t="s">
        <v>497</v>
      </c>
      <c r="I619">
        <v>0</v>
      </c>
      <c r="J619">
        <v>0</v>
      </c>
      <c r="K619">
        <v>0</v>
      </c>
      <c r="L619">
        <v>0</v>
      </c>
      <c r="M619">
        <v>0</v>
      </c>
      <c r="N619">
        <v>0</v>
      </c>
      <c r="O619">
        <v>0</v>
      </c>
      <c r="P619">
        <v>0</v>
      </c>
      <c r="Q619">
        <v>0</v>
      </c>
      <c r="R619">
        <v>0</v>
      </c>
      <c r="S619">
        <v>0</v>
      </c>
      <c r="T619">
        <v>0</v>
      </c>
      <c r="U619">
        <v>0</v>
      </c>
      <c r="V619">
        <v>0</v>
      </c>
      <c r="W619">
        <v>0</v>
      </c>
      <c r="X619">
        <v>0</v>
      </c>
      <c r="Y619">
        <v>0</v>
      </c>
      <c r="Z619">
        <v>0</v>
      </c>
      <c r="AA619">
        <v>0</v>
      </c>
      <c r="AB619">
        <v>0</v>
      </c>
      <c r="AC619">
        <v>0</v>
      </c>
      <c r="AD619">
        <v>0</v>
      </c>
      <c r="AE619">
        <v>0</v>
      </c>
      <c r="AF619">
        <v>0</v>
      </c>
      <c r="AG619">
        <v>0</v>
      </c>
      <c r="AH619">
        <v>0</v>
      </c>
      <c r="AI619">
        <v>0</v>
      </c>
      <c r="AJ619">
        <v>0</v>
      </c>
      <c r="AK619">
        <v>0</v>
      </c>
      <c r="AL619">
        <v>0</v>
      </c>
      <c r="AM619">
        <v>0</v>
      </c>
      <c r="AQ619">
        <v>0</v>
      </c>
      <c r="AR619">
        <v>848.4</v>
      </c>
      <c r="AS619">
        <v>0</v>
      </c>
    </row>
    <row r="620" spans="1:45" hidden="1">
      <c r="A620" t="s">
        <v>11</v>
      </c>
      <c r="B620" t="s">
        <v>739</v>
      </c>
      <c r="C620" t="s">
        <v>717</v>
      </c>
      <c r="D620" t="s">
        <v>498</v>
      </c>
      <c r="E620" t="s">
        <v>242</v>
      </c>
      <c r="F620" t="s">
        <v>499</v>
      </c>
      <c r="G620" t="s">
        <v>500</v>
      </c>
      <c r="H620">
        <v>20888</v>
      </c>
      <c r="I620">
        <v>11041</v>
      </c>
      <c r="J620">
        <v>12520</v>
      </c>
      <c r="K620">
        <v>12723</v>
      </c>
      <c r="L620">
        <v>17180</v>
      </c>
      <c r="M620">
        <v>54927</v>
      </c>
      <c r="N620">
        <v>481</v>
      </c>
      <c r="O620">
        <v>177</v>
      </c>
      <c r="P620">
        <v>1661</v>
      </c>
      <c r="Q620">
        <v>230</v>
      </c>
      <c r="R620">
        <v>1172</v>
      </c>
      <c r="S620">
        <v>453</v>
      </c>
      <c r="T620">
        <v>1103</v>
      </c>
      <c r="U620">
        <v>2054</v>
      </c>
      <c r="V620">
        <v>567</v>
      </c>
      <c r="W620">
        <v>120</v>
      </c>
      <c r="X620">
        <v>854</v>
      </c>
      <c r="Y620">
        <v>3840</v>
      </c>
      <c r="Z620">
        <v>1045</v>
      </c>
      <c r="AA620">
        <v>265</v>
      </c>
      <c r="AB620">
        <v>758</v>
      </c>
      <c r="AC620">
        <v>385</v>
      </c>
      <c r="AD620">
        <v>1173</v>
      </c>
      <c r="AE620">
        <v>1345</v>
      </c>
      <c r="AF620">
        <v>253</v>
      </c>
      <c r="AG620">
        <v>1875</v>
      </c>
      <c r="AH620">
        <v>1371</v>
      </c>
      <c r="AI620">
        <v>100</v>
      </c>
      <c r="AJ620">
        <v>1574</v>
      </c>
      <c r="AK620">
        <v>70</v>
      </c>
      <c r="AL620">
        <v>73</v>
      </c>
      <c r="AM620">
        <v>1100</v>
      </c>
      <c r="AQ620">
        <v>153378</v>
      </c>
      <c r="AR620">
        <v>1.4341999999999999</v>
      </c>
      <c r="AS620">
        <v>219974.72760000001</v>
      </c>
    </row>
    <row r="621" spans="1:45" hidden="1">
      <c r="A621" t="s">
        <v>11</v>
      </c>
      <c r="B621" t="s">
        <v>739</v>
      </c>
      <c r="C621" t="s">
        <v>718</v>
      </c>
      <c r="D621" t="s">
        <v>504</v>
      </c>
      <c r="E621" t="s">
        <v>242</v>
      </c>
      <c r="F621" t="s">
        <v>505</v>
      </c>
      <c r="G621" t="s">
        <v>506</v>
      </c>
      <c r="H621">
        <v>2500</v>
      </c>
      <c r="I621">
        <v>5481</v>
      </c>
      <c r="J621">
        <v>7354</v>
      </c>
      <c r="K621">
        <v>3102</v>
      </c>
      <c r="L621">
        <v>19386</v>
      </c>
      <c r="M621">
        <v>20000</v>
      </c>
      <c r="N621">
        <v>0</v>
      </c>
      <c r="O621">
        <v>0</v>
      </c>
      <c r="P621">
        <v>0</v>
      </c>
      <c r="Q621">
        <v>0</v>
      </c>
      <c r="R621">
        <v>298</v>
      </c>
      <c r="S621">
        <v>0</v>
      </c>
      <c r="T621">
        <v>834</v>
      </c>
      <c r="U621">
        <v>200</v>
      </c>
      <c r="V621">
        <v>0</v>
      </c>
      <c r="W621">
        <v>0</v>
      </c>
      <c r="X621">
        <v>0</v>
      </c>
      <c r="Y621">
        <v>1920</v>
      </c>
      <c r="Z621">
        <v>0</v>
      </c>
      <c r="AA621">
        <v>80</v>
      </c>
      <c r="AB621">
        <v>675</v>
      </c>
      <c r="AC621">
        <v>0</v>
      </c>
      <c r="AD621">
        <v>468</v>
      </c>
      <c r="AE621">
        <v>500</v>
      </c>
      <c r="AF621">
        <v>250</v>
      </c>
      <c r="AG621">
        <v>155</v>
      </c>
      <c r="AH621">
        <v>598</v>
      </c>
      <c r="AI621">
        <v>10</v>
      </c>
      <c r="AJ621">
        <v>960</v>
      </c>
      <c r="AK621">
        <v>0</v>
      </c>
      <c r="AL621">
        <v>0</v>
      </c>
      <c r="AM621">
        <v>1150</v>
      </c>
      <c r="AQ621">
        <v>65921</v>
      </c>
      <c r="AR621">
        <v>0.84840000000000004</v>
      </c>
      <c r="AS621">
        <v>55927.376400000001</v>
      </c>
    </row>
    <row r="622" spans="1:45" hidden="1">
      <c r="A622" t="s">
        <v>11</v>
      </c>
      <c r="B622" t="s">
        <v>739</v>
      </c>
      <c r="C622" t="s">
        <v>719</v>
      </c>
      <c r="D622" t="s">
        <v>501</v>
      </c>
      <c r="E622" t="s">
        <v>242</v>
      </c>
      <c r="F622" t="s">
        <v>502</v>
      </c>
      <c r="G622" t="s">
        <v>503</v>
      </c>
      <c r="H622">
        <v>11</v>
      </c>
      <c r="I622">
        <v>3</v>
      </c>
      <c r="J622">
        <v>0</v>
      </c>
      <c r="K622">
        <v>0</v>
      </c>
      <c r="L622">
        <v>3</v>
      </c>
      <c r="M622">
        <v>8</v>
      </c>
      <c r="N622">
        <v>0</v>
      </c>
      <c r="O622">
        <v>0</v>
      </c>
      <c r="P622">
        <v>0</v>
      </c>
      <c r="Q622">
        <v>0</v>
      </c>
      <c r="R622">
        <v>0</v>
      </c>
      <c r="S622">
        <v>0</v>
      </c>
      <c r="T622">
        <v>1</v>
      </c>
      <c r="U622">
        <v>0</v>
      </c>
      <c r="V622">
        <v>0</v>
      </c>
      <c r="W622">
        <v>0</v>
      </c>
      <c r="X622">
        <v>1</v>
      </c>
      <c r="Y622">
        <v>0</v>
      </c>
      <c r="Z622">
        <v>0</v>
      </c>
      <c r="AA622">
        <v>0</v>
      </c>
      <c r="AB622">
        <v>2</v>
      </c>
      <c r="AC622">
        <v>0</v>
      </c>
      <c r="AD622">
        <v>0</v>
      </c>
      <c r="AE622">
        <v>0</v>
      </c>
      <c r="AF622">
        <v>0</v>
      </c>
      <c r="AG622">
        <v>0</v>
      </c>
      <c r="AH622">
        <v>0</v>
      </c>
      <c r="AI622">
        <v>0</v>
      </c>
      <c r="AJ622">
        <v>0</v>
      </c>
      <c r="AK622">
        <v>0</v>
      </c>
      <c r="AL622">
        <v>0</v>
      </c>
      <c r="AM622">
        <v>0</v>
      </c>
      <c r="AQ622">
        <v>29</v>
      </c>
      <c r="AR622">
        <v>1272.5999999999999</v>
      </c>
      <c r="AS622">
        <v>36905.4</v>
      </c>
    </row>
    <row r="623" spans="1:45" hidden="1">
      <c r="A623" t="s">
        <v>11</v>
      </c>
      <c r="B623" t="s">
        <v>739</v>
      </c>
      <c r="C623" t="s">
        <v>720</v>
      </c>
      <c r="D623" t="s">
        <v>518</v>
      </c>
      <c r="E623" t="s">
        <v>242</v>
      </c>
      <c r="F623" t="s">
        <v>519</v>
      </c>
      <c r="G623" t="s">
        <v>517</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c r="AE623">
        <v>0</v>
      </c>
      <c r="AF623">
        <v>0</v>
      </c>
      <c r="AG623">
        <v>0</v>
      </c>
      <c r="AH623">
        <v>0</v>
      </c>
      <c r="AI623">
        <v>0</v>
      </c>
      <c r="AJ623">
        <v>0</v>
      </c>
      <c r="AL623">
        <v>0</v>
      </c>
      <c r="AM623">
        <v>0</v>
      </c>
      <c r="AQ623">
        <v>0</v>
      </c>
      <c r="AR623">
        <v>3181.5</v>
      </c>
      <c r="AS623">
        <v>0</v>
      </c>
    </row>
    <row r="624" spans="1:45" hidden="1">
      <c r="A624" t="s">
        <v>11</v>
      </c>
      <c r="B624" t="s">
        <v>739</v>
      </c>
      <c r="C624" t="s">
        <v>721</v>
      </c>
      <c r="D624" t="s">
        <v>520</v>
      </c>
      <c r="E624" t="s">
        <v>242</v>
      </c>
      <c r="F624" t="s">
        <v>521</v>
      </c>
      <c r="G624" t="s">
        <v>517</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c r="AE624">
        <v>0</v>
      </c>
      <c r="AF624">
        <v>0</v>
      </c>
      <c r="AG624">
        <v>0</v>
      </c>
      <c r="AH624">
        <v>0</v>
      </c>
      <c r="AI624">
        <v>0</v>
      </c>
      <c r="AJ624">
        <v>0</v>
      </c>
      <c r="AK624">
        <v>0</v>
      </c>
      <c r="AL624">
        <v>0</v>
      </c>
      <c r="AM624">
        <v>0</v>
      </c>
      <c r="AQ624">
        <v>0</v>
      </c>
      <c r="AR624">
        <v>2651.25</v>
      </c>
      <c r="AS624">
        <v>0</v>
      </c>
    </row>
    <row r="625" spans="1:45" hidden="1">
      <c r="A625" t="s">
        <v>11</v>
      </c>
      <c r="B625" t="s">
        <v>739</v>
      </c>
      <c r="C625" t="s">
        <v>240</v>
      </c>
      <c r="D625" t="s">
        <v>241</v>
      </c>
      <c r="E625" t="s">
        <v>242</v>
      </c>
      <c r="F625" t="s">
        <v>243</v>
      </c>
      <c r="G625" t="s">
        <v>244</v>
      </c>
      <c r="H625">
        <v>2</v>
      </c>
      <c r="I625">
        <v>2</v>
      </c>
      <c r="J625">
        <v>0</v>
      </c>
      <c r="K625">
        <v>0</v>
      </c>
      <c r="L625">
        <v>2</v>
      </c>
      <c r="M625">
        <v>6</v>
      </c>
      <c r="N625">
        <v>0</v>
      </c>
      <c r="O625">
        <v>0</v>
      </c>
      <c r="P625">
        <v>0</v>
      </c>
      <c r="Q625">
        <v>0</v>
      </c>
      <c r="R625">
        <v>2</v>
      </c>
      <c r="S625">
        <v>0</v>
      </c>
      <c r="T625">
        <v>0</v>
      </c>
      <c r="U625">
        <v>0</v>
      </c>
      <c r="V625">
        <v>0</v>
      </c>
      <c r="W625">
        <v>0</v>
      </c>
      <c r="X625">
        <v>0</v>
      </c>
      <c r="Y625">
        <v>2</v>
      </c>
      <c r="Z625">
        <v>0</v>
      </c>
      <c r="AA625">
        <v>0</v>
      </c>
      <c r="AB625">
        <v>0</v>
      </c>
      <c r="AC625">
        <v>0</v>
      </c>
      <c r="AD625">
        <v>0</v>
      </c>
      <c r="AE625">
        <v>0</v>
      </c>
      <c r="AF625">
        <v>0</v>
      </c>
      <c r="AG625">
        <v>0</v>
      </c>
      <c r="AH625">
        <v>0</v>
      </c>
      <c r="AI625">
        <v>0</v>
      </c>
      <c r="AJ625">
        <v>0</v>
      </c>
      <c r="AK625">
        <v>0</v>
      </c>
      <c r="AL625">
        <v>0</v>
      </c>
      <c r="AM625">
        <v>0</v>
      </c>
      <c r="AQ625">
        <v>16</v>
      </c>
      <c r="AR625">
        <v>318.14999999999998</v>
      </c>
      <c r="AS625">
        <v>5090.3999999999996</v>
      </c>
    </row>
    <row r="626" spans="1:45" hidden="1">
      <c r="A626" t="s">
        <v>11</v>
      </c>
      <c r="B626" t="s">
        <v>739</v>
      </c>
      <c r="C626" t="s">
        <v>245</v>
      </c>
      <c r="D626" t="s">
        <v>246</v>
      </c>
      <c r="E626" t="s">
        <v>242</v>
      </c>
      <c r="F626" t="s">
        <v>247</v>
      </c>
      <c r="G626" t="s">
        <v>248</v>
      </c>
      <c r="H626">
        <v>4</v>
      </c>
      <c r="I626">
        <v>2</v>
      </c>
      <c r="J626">
        <v>2</v>
      </c>
      <c r="K626">
        <v>3</v>
      </c>
      <c r="L626">
        <v>7</v>
      </c>
      <c r="M626">
        <v>11</v>
      </c>
      <c r="N626">
        <v>0</v>
      </c>
      <c r="O626">
        <v>0</v>
      </c>
      <c r="P626">
        <v>0</v>
      </c>
      <c r="Q626">
        <v>0</v>
      </c>
      <c r="R626">
        <v>0</v>
      </c>
      <c r="S626">
        <v>0</v>
      </c>
      <c r="T626">
        <v>1</v>
      </c>
      <c r="U626">
        <v>0</v>
      </c>
      <c r="V626">
        <v>0</v>
      </c>
      <c r="W626">
        <v>0</v>
      </c>
      <c r="X626">
        <v>1</v>
      </c>
      <c r="Y626">
        <v>0</v>
      </c>
      <c r="Z626">
        <v>0</v>
      </c>
      <c r="AA626">
        <v>0</v>
      </c>
      <c r="AB626">
        <v>0</v>
      </c>
      <c r="AC626">
        <v>0</v>
      </c>
      <c r="AD626">
        <v>0</v>
      </c>
      <c r="AE626">
        <v>0</v>
      </c>
      <c r="AF626">
        <v>0</v>
      </c>
      <c r="AG626">
        <v>1</v>
      </c>
      <c r="AH626">
        <v>0</v>
      </c>
      <c r="AI626">
        <v>0</v>
      </c>
      <c r="AJ626">
        <v>0</v>
      </c>
      <c r="AK626">
        <v>1</v>
      </c>
      <c r="AL626">
        <v>0</v>
      </c>
      <c r="AM626">
        <v>2</v>
      </c>
      <c r="AQ626">
        <v>35</v>
      </c>
      <c r="AR626">
        <v>265.125</v>
      </c>
      <c r="AS626">
        <v>9279.375</v>
      </c>
    </row>
    <row r="627" spans="1:45" hidden="1">
      <c r="A627" t="s">
        <v>11</v>
      </c>
      <c r="B627" t="s">
        <v>739</v>
      </c>
      <c r="C627" t="s">
        <v>259</v>
      </c>
      <c r="D627" t="s">
        <v>260</v>
      </c>
      <c r="E627" t="s">
        <v>242</v>
      </c>
      <c r="F627" t="s">
        <v>261</v>
      </c>
      <c r="G627" t="s">
        <v>262</v>
      </c>
      <c r="H627">
        <v>20</v>
      </c>
      <c r="I627">
        <v>6</v>
      </c>
      <c r="J627">
        <v>1</v>
      </c>
      <c r="K627">
        <v>14</v>
      </c>
      <c r="L627">
        <v>10</v>
      </c>
      <c r="M627">
        <v>22</v>
      </c>
      <c r="N627">
        <v>1</v>
      </c>
      <c r="O627">
        <v>0</v>
      </c>
      <c r="P627">
        <v>0</v>
      </c>
      <c r="Q627">
        <v>0</v>
      </c>
      <c r="R627">
        <v>0</v>
      </c>
      <c r="S627">
        <v>0</v>
      </c>
      <c r="T627">
        <v>1</v>
      </c>
      <c r="U627">
        <v>0</v>
      </c>
      <c r="V627">
        <v>0</v>
      </c>
      <c r="W627">
        <v>0</v>
      </c>
      <c r="X627">
        <v>1</v>
      </c>
      <c r="Y627">
        <v>0</v>
      </c>
      <c r="Z627">
        <v>0</v>
      </c>
      <c r="AA627">
        <v>0</v>
      </c>
      <c r="AB627">
        <v>0</v>
      </c>
      <c r="AC627">
        <v>0</v>
      </c>
      <c r="AD627">
        <v>0</v>
      </c>
      <c r="AE627">
        <v>0</v>
      </c>
      <c r="AF627">
        <v>0</v>
      </c>
      <c r="AG627">
        <v>0</v>
      </c>
      <c r="AH627">
        <v>0</v>
      </c>
      <c r="AI627">
        <v>0</v>
      </c>
      <c r="AJ627">
        <v>1</v>
      </c>
      <c r="AK627">
        <v>0</v>
      </c>
      <c r="AL627">
        <v>0</v>
      </c>
      <c r="AM627">
        <v>1</v>
      </c>
      <c r="AQ627">
        <v>78</v>
      </c>
      <c r="AR627">
        <v>318.14999999999998</v>
      </c>
      <c r="AS627">
        <v>24815.7</v>
      </c>
    </row>
    <row r="628" spans="1:45" hidden="1">
      <c r="A628" t="s">
        <v>11</v>
      </c>
      <c r="B628" t="s">
        <v>739</v>
      </c>
      <c r="C628" t="s">
        <v>722</v>
      </c>
      <c r="D628" t="s">
        <v>507</v>
      </c>
      <c r="E628" t="s">
        <v>242</v>
      </c>
      <c r="F628" t="s">
        <v>508</v>
      </c>
      <c r="G628" t="s">
        <v>509</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c r="AE628">
        <v>0</v>
      </c>
      <c r="AF628">
        <v>0</v>
      </c>
      <c r="AG628">
        <v>0</v>
      </c>
      <c r="AH628">
        <v>0</v>
      </c>
      <c r="AI628">
        <v>0</v>
      </c>
      <c r="AJ628">
        <v>0</v>
      </c>
      <c r="AK628">
        <v>0</v>
      </c>
      <c r="AL628">
        <v>0</v>
      </c>
      <c r="AM628">
        <v>0</v>
      </c>
      <c r="AQ628">
        <v>0</v>
      </c>
      <c r="AR628">
        <v>2121</v>
      </c>
      <c r="AS628">
        <v>0</v>
      </c>
    </row>
    <row r="629" spans="1:45" hidden="1">
      <c r="A629" t="s">
        <v>11</v>
      </c>
      <c r="B629" t="s">
        <v>739</v>
      </c>
      <c r="C629" t="s">
        <v>723</v>
      </c>
      <c r="D629" t="s">
        <v>510</v>
      </c>
      <c r="E629" t="s">
        <v>242</v>
      </c>
      <c r="F629" t="s">
        <v>511</v>
      </c>
      <c r="G629" t="s">
        <v>512</v>
      </c>
      <c r="H629">
        <v>12</v>
      </c>
      <c r="I629">
        <v>4</v>
      </c>
      <c r="J629">
        <v>7</v>
      </c>
      <c r="K629">
        <v>11</v>
      </c>
      <c r="L629">
        <v>9</v>
      </c>
      <c r="M629">
        <v>11</v>
      </c>
      <c r="N629">
        <v>0</v>
      </c>
      <c r="O629">
        <v>0</v>
      </c>
      <c r="P629">
        <v>0</v>
      </c>
      <c r="Q629">
        <v>0</v>
      </c>
      <c r="R629">
        <v>1</v>
      </c>
      <c r="S629">
        <v>0</v>
      </c>
      <c r="T629">
        <v>0</v>
      </c>
      <c r="U629">
        <v>0</v>
      </c>
      <c r="V629">
        <v>0</v>
      </c>
      <c r="W629">
        <v>0</v>
      </c>
      <c r="X629">
        <v>0</v>
      </c>
      <c r="Y629">
        <v>1</v>
      </c>
      <c r="Z629">
        <v>0</v>
      </c>
      <c r="AA629">
        <v>0</v>
      </c>
      <c r="AB629">
        <v>0</v>
      </c>
      <c r="AC629">
        <v>0</v>
      </c>
      <c r="AD629">
        <v>1</v>
      </c>
      <c r="AE629">
        <v>1</v>
      </c>
      <c r="AF629">
        <v>1</v>
      </c>
      <c r="AG629">
        <v>0</v>
      </c>
      <c r="AH629">
        <v>0</v>
      </c>
      <c r="AI629">
        <v>0</v>
      </c>
      <c r="AJ629">
        <v>2</v>
      </c>
      <c r="AK629">
        <v>0</v>
      </c>
      <c r="AL629">
        <v>0</v>
      </c>
      <c r="AM629">
        <v>1</v>
      </c>
      <c r="AQ629">
        <v>62</v>
      </c>
      <c r="AR629">
        <v>212.1</v>
      </c>
      <c r="AS629">
        <v>13150.2</v>
      </c>
    </row>
    <row r="630" spans="1:45" hidden="1">
      <c r="A630" t="s">
        <v>11</v>
      </c>
      <c r="B630" t="s">
        <v>739</v>
      </c>
      <c r="C630" t="s">
        <v>724</v>
      </c>
      <c r="D630" t="s">
        <v>526</v>
      </c>
      <c r="E630" t="s">
        <v>242</v>
      </c>
      <c r="F630" t="s">
        <v>527</v>
      </c>
      <c r="G630" t="s">
        <v>528</v>
      </c>
      <c r="H630">
        <v>3800</v>
      </c>
      <c r="I630">
        <v>2500</v>
      </c>
      <c r="J630">
        <v>8350</v>
      </c>
      <c r="K630">
        <v>1800</v>
      </c>
      <c r="L630">
        <v>122413</v>
      </c>
      <c r="M630">
        <v>9131</v>
      </c>
      <c r="N630">
        <v>0</v>
      </c>
      <c r="O630">
        <v>0</v>
      </c>
      <c r="P630">
        <v>0</v>
      </c>
      <c r="Q630">
        <v>0</v>
      </c>
      <c r="R630">
        <v>288</v>
      </c>
      <c r="S630">
        <v>0</v>
      </c>
      <c r="T630">
        <v>1709</v>
      </c>
      <c r="U630">
        <v>150</v>
      </c>
      <c r="V630">
        <v>0</v>
      </c>
      <c r="W630">
        <v>0</v>
      </c>
      <c r="X630">
        <v>0</v>
      </c>
      <c r="Y630">
        <v>0</v>
      </c>
      <c r="Z630">
        <v>0</v>
      </c>
      <c r="AA630">
        <v>0</v>
      </c>
      <c r="AB630">
        <v>126</v>
      </c>
      <c r="AC630">
        <v>0</v>
      </c>
      <c r="AD630">
        <v>424</v>
      </c>
      <c r="AE630">
        <v>988</v>
      </c>
      <c r="AF630">
        <v>1132</v>
      </c>
      <c r="AG630">
        <v>250</v>
      </c>
      <c r="AH630">
        <v>2400</v>
      </c>
      <c r="AI630">
        <v>0</v>
      </c>
      <c r="AJ630">
        <v>1664</v>
      </c>
      <c r="AK630">
        <v>0</v>
      </c>
      <c r="AL630">
        <v>0</v>
      </c>
      <c r="AM630">
        <v>3000</v>
      </c>
      <c r="AQ630">
        <v>160125</v>
      </c>
      <c r="AR630">
        <v>0.42420000000000002</v>
      </c>
      <c r="AS630">
        <v>67925.024999999994</v>
      </c>
    </row>
    <row r="631" spans="1:45" hidden="1">
      <c r="A631" t="s">
        <v>11</v>
      </c>
      <c r="B631" t="s">
        <v>739</v>
      </c>
      <c r="C631" t="s">
        <v>725</v>
      </c>
      <c r="D631" t="s">
        <v>529</v>
      </c>
      <c r="E631" t="s">
        <v>242</v>
      </c>
      <c r="F631" t="s">
        <v>530</v>
      </c>
      <c r="G631" t="s">
        <v>531</v>
      </c>
      <c r="I631">
        <v>0</v>
      </c>
      <c r="J631">
        <v>0</v>
      </c>
      <c r="K631">
        <v>0</v>
      </c>
      <c r="L631">
        <v>0</v>
      </c>
      <c r="M631">
        <v>0</v>
      </c>
      <c r="O631">
        <v>0</v>
      </c>
      <c r="P631">
        <v>0</v>
      </c>
      <c r="Q631">
        <v>0</v>
      </c>
      <c r="R631">
        <v>0</v>
      </c>
      <c r="S631">
        <v>0</v>
      </c>
      <c r="T631">
        <v>0</v>
      </c>
      <c r="U631">
        <v>0</v>
      </c>
      <c r="V631">
        <v>0</v>
      </c>
      <c r="W631">
        <v>0</v>
      </c>
      <c r="X631">
        <v>0</v>
      </c>
      <c r="Y631">
        <v>0</v>
      </c>
      <c r="Z631">
        <v>0</v>
      </c>
      <c r="AA631">
        <v>0</v>
      </c>
      <c r="AD631">
        <v>0</v>
      </c>
      <c r="AE631">
        <v>0</v>
      </c>
      <c r="AF631">
        <v>0</v>
      </c>
      <c r="AG631">
        <v>0</v>
      </c>
      <c r="AI631">
        <v>0</v>
      </c>
      <c r="AJ631">
        <v>0</v>
      </c>
      <c r="AK631">
        <v>0</v>
      </c>
      <c r="AL631">
        <v>0</v>
      </c>
      <c r="AM631">
        <v>0</v>
      </c>
      <c r="AQ631">
        <v>0</v>
      </c>
      <c r="AR631">
        <v>212.1</v>
      </c>
      <c r="AS631">
        <v>0</v>
      </c>
    </row>
    <row r="632" spans="1:45" hidden="1">
      <c r="A632" t="s">
        <v>11</v>
      </c>
      <c r="B632" t="s">
        <v>739</v>
      </c>
      <c r="C632" t="s">
        <v>726</v>
      </c>
      <c r="D632" t="s">
        <v>532</v>
      </c>
      <c r="E632" t="s">
        <v>242</v>
      </c>
      <c r="F632" t="s">
        <v>533</v>
      </c>
      <c r="G632" t="s">
        <v>534</v>
      </c>
      <c r="H632">
        <v>25</v>
      </c>
      <c r="I632">
        <v>20</v>
      </c>
      <c r="J632">
        <v>5</v>
      </c>
      <c r="K632">
        <v>15</v>
      </c>
      <c r="L632">
        <v>950</v>
      </c>
      <c r="M632">
        <v>35</v>
      </c>
      <c r="N632">
        <v>0</v>
      </c>
      <c r="O632">
        <v>0</v>
      </c>
      <c r="P632">
        <v>0</v>
      </c>
      <c r="Q632">
        <v>0</v>
      </c>
      <c r="R632">
        <v>5</v>
      </c>
      <c r="S632">
        <v>0</v>
      </c>
      <c r="T632">
        <v>0</v>
      </c>
      <c r="U632">
        <v>5</v>
      </c>
      <c r="V632">
        <v>0</v>
      </c>
      <c r="W632">
        <v>0</v>
      </c>
      <c r="X632">
        <v>0</v>
      </c>
      <c r="Y632">
        <v>0</v>
      </c>
      <c r="Z632">
        <v>0</v>
      </c>
      <c r="AA632">
        <v>0</v>
      </c>
      <c r="AB632">
        <v>2</v>
      </c>
      <c r="AC632">
        <v>0</v>
      </c>
      <c r="AD632">
        <v>10</v>
      </c>
      <c r="AE632">
        <v>30</v>
      </c>
      <c r="AF632">
        <v>15</v>
      </c>
      <c r="AG632">
        <v>2</v>
      </c>
      <c r="AH632">
        <v>0</v>
      </c>
      <c r="AI632">
        <v>0</v>
      </c>
      <c r="AJ632">
        <v>65</v>
      </c>
      <c r="AK632">
        <v>0</v>
      </c>
      <c r="AL632">
        <v>0</v>
      </c>
      <c r="AM632">
        <v>50</v>
      </c>
      <c r="AQ632">
        <v>1234</v>
      </c>
      <c r="AR632">
        <v>21.21</v>
      </c>
      <c r="AS632">
        <v>26173.14</v>
      </c>
    </row>
    <row r="633" spans="1:45" hidden="1">
      <c r="A633" t="s">
        <v>11</v>
      </c>
      <c r="B633" t="s">
        <v>739</v>
      </c>
      <c r="C633" t="s">
        <v>727</v>
      </c>
      <c r="D633" t="s">
        <v>287</v>
      </c>
      <c r="E633" t="s">
        <v>242</v>
      </c>
      <c r="F633" t="s">
        <v>537</v>
      </c>
      <c r="G633" t="s">
        <v>538</v>
      </c>
      <c r="I633">
        <v>0</v>
      </c>
      <c r="J633">
        <v>0</v>
      </c>
      <c r="K633">
        <v>0</v>
      </c>
      <c r="L633">
        <v>0</v>
      </c>
      <c r="M633">
        <v>0</v>
      </c>
      <c r="N633">
        <v>0</v>
      </c>
      <c r="P633">
        <v>0</v>
      </c>
      <c r="Q633">
        <v>1</v>
      </c>
      <c r="R633">
        <v>0</v>
      </c>
      <c r="S633">
        <v>1</v>
      </c>
      <c r="T633">
        <v>0</v>
      </c>
      <c r="U633">
        <v>0</v>
      </c>
      <c r="V633">
        <v>0</v>
      </c>
      <c r="W633">
        <v>0</v>
      </c>
      <c r="X633">
        <v>0</v>
      </c>
      <c r="Y633">
        <v>1</v>
      </c>
      <c r="Z633">
        <v>1</v>
      </c>
      <c r="AA633">
        <v>1</v>
      </c>
      <c r="AB633">
        <v>1</v>
      </c>
      <c r="AC633">
        <v>0</v>
      </c>
      <c r="AD633">
        <v>1</v>
      </c>
      <c r="AE633">
        <v>1</v>
      </c>
      <c r="AF633">
        <v>1</v>
      </c>
      <c r="AG633">
        <v>1</v>
      </c>
      <c r="AH633">
        <v>1</v>
      </c>
      <c r="AI633">
        <v>0</v>
      </c>
      <c r="AJ633">
        <v>2</v>
      </c>
      <c r="AK633">
        <v>1</v>
      </c>
      <c r="AL633">
        <v>0</v>
      </c>
      <c r="AM633">
        <v>0</v>
      </c>
      <c r="AQ633">
        <v>14</v>
      </c>
      <c r="AR633">
        <v>127.26</v>
      </c>
      <c r="AS633">
        <v>1781.64</v>
      </c>
    </row>
    <row r="634" spans="1:45" hidden="1">
      <c r="A634" t="s">
        <v>11</v>
      </c>
      <c r="B634" t="s">
        <v>739</v>
      </c>
      <c r="C634" t="s">
        <v>728</v>
      </c>
      <c r="D634" t="s">
        <v>287</v>
      </c>
      <c r="E634" t="s">
        <v>242</v>
      </c>
      <c r="F634" t="s">
        <v>535</v>
      </c>
      <c r="G634" t="s">
        <v>536</v>
      </c>
      <c r="I634">
        <v>0</v>
      </c>
      <c r="J634">
        <v>0</v>
      </c>
      <c r="K634">
        <v>0</v>
      </c>
      <c r="L634">
        <v>0</v>
      </c>
      <c r="M634">
        <v>0</v>
      </c>
      <c r="N634">
        <v>0</v>
      </c>
      <c r="P634">
        <v>0</v>
      </c>
      <c r="Q634">
        <v>0</v>
      </c>
      <c r="R634">
        <v>0</v>
      </c>
      <c r="S634">
        <v>0</v>
      </c>
      <c r="T634">
        <v>0</v>
      </c>
      <c r="U634">
        <v>0</v>
      </c>
      <c r="V634">
        <v>0</v>
      </c>
      <c r="W634">
        <v>0</v>
      </c>
      <c r="X634">
        <v>0</v>
      </c>
      <c r="Y634">
        <v>0</v>
      </c>
      <c r="Z634">
        <v>0</v>
      </c>
      <c r="AA634">
        <v>0</v>
      </c>
      <c r="AB634">
        <v>0</v>
      </c>
      <c r="AC634">
        <v>0</v>
      </c>
      <c r="AD634">
        <v>0</v>
      </c>
      <c r="AE634">
        <v>0</v>
      </c>
      <c r="AF634">
        <v>0</v>
      </c>
      <c r="AG634">
        <v>0</v>
      </c>
      <c r="AH634">
        <v>0</v>
      </c>
      <c r="AI634">
        <v>0</v>
      </c>
      <c r="AJ634">
        <v>0</v>
      </c>
      <c r="AK634">
        <v>0</v>
      </c>
      <c r="AL634">
        <v>0</v>
      </c>
      <c r="AM634">
        <v>0</v>
      </c>
      <c r="AQ634">
        <v>0</v>
      </c>
      <c r="AR634">
        <v>424.2</v>
      </c>
      <c r="AS634">
        <v>0</v>
      </c>
    </row>
    <row r="635" spans="1:45" hidden="1">
      <c r="A635" t="s">
        <v>11</v>
      </c>
      <c r="B635" t="s">
        <v>739</v>
      </c>
      <c r="C635" t="s">
        <v>729</v>
      </c>
      <c r="D635" t="s">
        <v>522</v>
      </c>
      <c r="E635" t="s">
        <v>242</v>
      </c>
      <c r="F635" t="s">
        <v>523</v>
      </c>
      <c r="G635" t="s">
        <v>517</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c r="AE635">
        <v>0</v>
      </c>
      <c r="AF635">
        <v>0</v>
      </c>
      <c r="AH635">
        <v>0</v>
      </c>
      <c r="AI635">
        <v>0</v>
      </c>
      <c r="AJ635">
        <v>0</v>
      </c>
      <c r="AK635">
        <v>0</v>
      </c>
      <c r="AQ635">
        <v>0</v>
      </c>
      <c r="AR635">
        <v>1272.5999999999999</v>
      </c>
      <c r="AS635">
        <v>0</v>
      </c>
    </row>
    <row r="636" spans="1:45" hidden="1">
      <c r="A636" t="s">
        <v>11</v>
      </c>
      <c r="B636" t="s">
        <v>739</v>
      </c>
      <c r="C636" t="s">
        <v>730</v>
      </c>
      <c r="D636" t="s">
        <v>515</v>
      </c>
      <c r="E636" t="s">
        <v>242</v>
      </c>
      <c r="F636" t="s">
        <v>516</v>
      </c>
      <c r="G636" t="s">
        <v>517</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c r="AE636">
        <v>0</v>
      </c>
      <c r="AF636">
        <v>0</v>
      </c>
      <c r="AG636">
        <v>0</v>
      </c>
      <c r="AH636">
        <v>0</v>
      </c>
      <c r="AI636">
        <v>0</v>
      </c>
      <c r="AJ636">
        <v>0</v>
      </c>
      <c r="AK636">
        <v>0</v>
      </c>
      <c r="AL636">
        <v>0</v>
      </c>
      <c r="AM636">
        <v>0</v>
      </c>
      <c r="AQ636">
        <v>0</v>
      </c>
      <c r="AR636">
        <v>3181.5</v>
      </c>
      <c r="AS636">
        <v>0</v>
      </c>
    </row>
    <row r="637" spans="1:45" hidden="1">
      <c r="A637" t="s">
        <v>11</v>
      </c>
      <c r="B637" t="s">
        <v>739</v>
      </c>
      <c r="C637" t="s">
        <v>731</v>
      </c>
      <c r="D637" t="s">
        <v>524</v>
      </c>
      <c r="E637" t="s">
        <v>242</v>
      </c>
      <c r="F637" t="s">
        <v>525</v>
      </c>
      <c r="G637" t="s">
        <v>503</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c r="AE637">
        <v>0</v>
      </c>
      <c r="AF637">
        <v>0</v>
      </c>
      <c r="AG637">
        <v>0</v>
      </c>
      <c r="AH637">
        <v>0</v>
      </c>
      <c r="AI637">
        <v>0</v>
      </c>
      <c r="AJ637">
        <v>0</v>
      </c>
      <c r="AK637">
        <v>0</v>
      </c>
      <c r="AL637">
        <v>0</v>
      </c>
      <c r="AM637">
        <v>0</v>
      </c>
      <c r="AQ637">
        <v>0</v>
      </c>
      <c r="AR637">
        <v>15907.5</v>
      </c>
      <c r="AS637">
        <v>0</v>
      </c>
    </row>
    <row r="638" spans="1:45" hidden="1">
      <c r="A638" t="s">
        <v>11</v>
      </c>
      <c r="B638" t="s">
        <v>739</v>
      </c>
      <c r="C638" t="s">
        <v>732</v>
      </c>
      <c r="D638" t="s">
        <v>513</v>
      </c>
      <c r="E638" t="s">
        <v>242</v>
      </c>
      <c r="F638" t="s">
        <v>514</v>
      </c>
      <c r="G638" t="s">
        <v>453</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c r="AE638">
        <v>0</v>
      </c>
      <c r="AF638">
        <v>0</v>
      </c>
      <c r="AG638">
        <v>0</v>
      </c>
      <c r="AH638">
        <v>0</v>
      </c>
      <c r="AI638">
        <v>0</v>
      </c>
      <c r="AJ638">
        <v>0</v>
      </c>
      <c r="AK638">
        <v>0</v>
      </c>
      <c r="AL638">
        <v>0</v>
      </c>
      <c r="AM638">
        <v>0</v>
      </c>
      <c r="AQ638">
        <v>0</v>
      </c>
      <c r="AR638">
        <v>848.4</v>
      </c>
      <c r="AS638">
        <v>0</v>
      </c>
    </row>
    <row r="639" spans="1:45" hidden="1">
      <c r="A639" t="s">
        <v>11</v>
      </c>
      <c r="B639" t="s">
        <v>739</v>
      </c>
      <c r="C639" t="s">
        <v>733</v>
      </c>
      <c r="D639" t="s">
        <v>287</v>
      </c>
      <c r="E639" t="s">
        <v>242</v>
      </c>
      <c r="F639" t="s">
        <v>539</v>
      </c>
      <c r="G639" t="s">
        <v>540</v>
      </c>
      <c r="H639">
        <v>2000</v>
      </c>
      <c r="I639">
        <v>1300</v>
      </c>
      <c r="J639">
        <v>1200</v>
      </c>
      <c r="K639">
        <v>1250</v>
      </c>
      <c r="L639">
        <v>1700</v>
      </c>
      <c r="M639">
        <v>5200</v>
      </c>
      <c r="N639">
        <v>50</v>
      </c>
      <c r="O639">
        <v>20</v>
      </c>
      <c r="P639">
        <v>150</v>
      </c>
      <c r="Q639">
        <v>20</v>
      </c>
      <c r="R639">
        <v>100</v>
      </c>
      <c r="S639">
        <v>40</v>
      </c>
      <c r="T639">
        <v>100</v>
      </c>
      <c r="U639">
        <v>200</v>
      </c>
      <c r="V639">
        <v>50</v>
      </c>
      <c r="W639">
        <v>30</v>
      </c>
      <c r="X639">
        <v>80</v>
      </c>
      <c r="Y639">
        <v>350</v>
      </c>
      <c r="Z639">
        <v>100</v>
      </c>
      <c r="AA639">
        <v>25</v>
      </c>
      <c r="AB639">
        <v>70</v>
      </c>
      <c r="AC639">
        <v>40</v>
      </c>
      <c r="AD639">
        <v>100</v>
      </c>
      <c r="AE639">
        <v>120</v>
      </c>
      <c r="AF639">
        <v>30</v>
      </c>
      <c r="AG639">
        <v>180</v>
      </c>
      <c r="AH639">
        <v>100</v>
      </c>
      <c r="AI639">
        <v>30</v>
      </c>
      <c r="AJ639">
        <v>150</v>
      </c>
      <c r="AK639">
        <v>30</v>
      </c>
      <c r="AL639">
        <v>30</v>
      </c>
      <c r="AM639">
        <v>100</v>
      </c>
      <c r="AQ639">
        <v>14945</v>
      </c>
      <c r="AR639">
        <v>8.08</v>
      </c>
      <c r="AS639">
        <v>120755.6</v>
      </c>
    </row>
    <row r="640" spans="1:45" hidden="1">
      <c r="A640" t="s">
        <v>11</v>
      </c>
      <c r="B640" t="s">
        <v>739</v>
      </c>
      <c r="C640" t="s">
        <v>734</v>
      </c>
      <c r="D640" t="s">
        <v>287</v>
      </c>
      <c r="E640" t="s">
        <v>242</v>
      </c>
      <c r="F640" t="s">
        <v>541</v>
      </c>
      <c r="G640" t="s">
        <v>540</v>
      </c>
      <c r="H640">
        <v>650</v>
      </c>
      <c r="I640">
        <v>450</v>
      </c>
      <c r="J640">
        <v>400</v>
      </c>
      <c r="K640">
        <v>400</v>
      </c>
      <c r="L640">
        <v>500</v>
      </c>
      <c r="M640">
        <v>1750</v>
      </c>
      <c r="N640">
        <v>30</v>
      </c>
      <c r="O640">
        <v>20</v>
      </c>
      <c r="P640">
        <v>50</v>
      </c>
      <c r="Q640">
        <v>20</v>
      </c>
      <c r="R640">
        <v>60</v>
      </c>
      <c r="S640">
        <v>10</v>
      </c>
      <c r="T640">
        <v>60</v>
      </c>
      <c r="U640">
        <v>80</v>
      </c>
      <c r="V640">
        <v>20</v>
      </c>
      <c r="W640">
        <v>10</v>
      </c>
      <c r="X640">
        <v>20</v>
      </c>
      <c r="Y640">
        <v>200</v>
      </c>
      <c r="Z640">
        <v>40</v>
      </c>
      <c r="AA640">
        <v>10</v>
      </c>
      <c r="AB640">
        <v>20</v>
      </c>
      <c r="AC640">
        <v>10</v>
      </c>
      <c r="AD640">
        <v>40</v>
      </c>
      <c r="AE640">
        <v>50</v>
      </c>
      <c r="AF640">
        <v>10</v>
      </c>
      <c r="AG640">
        <v>60</v>
      </c>
      <c r="AH640">
        <v>40</v>
      </c>
      <c r="AI640">
        <v>10</v>
      </c>
      <c r="AJ640">
        <v>60</v>
      </c>
      <c r="AK640">
        <v>10</v>
      </c>
      <c r="AL640">
        <v>10</v>
      </c>
      <c r="AM640">
        <v>40</v>
      </c>
      <c r="AQ640">
        <v>5140</v>
      </c>
      <c r="AR640">
        <v>7.4740000000000002</v>
      </c>
      <c r="AS640">
        <v>38416.36</v>
      </c>
    </row>
    <row r="641" spans="1:45" hidden="1">
      <c r="A641" t="s">
        <v>11</v>
      </c>
      <c r="B641" t="s">
        <v>739</v>
      </c>
      <c r="C641" t="s">
        <v>735</v>
      </c>
      <c r="D641" t="s">
        <v>543</v>
      </c>
      <c r="E641" t="s">
        <v>542</v>
      </c>
      <c r="F641" t="s">
        <v>544</v>
      </c>
      <c r="G641" t="s">
        <v>545</v>
      </c>
      <c r="H641">
        <v>2000</v>
      </c>
      <c r="I641">
        <v>2000</v>
      </c>
      <c r="J641">
        <v>2000</v>
      </c>
      <c r="K641">
        <v>2000</v>
      </c>
      <c r="L641">
        <v>2000</v>
      </c>
      <c r="M641">
        <v>2000</v>
      </c>
      <c r="N641">
        <v>0</v>
      </c>
      <c r="O641">
        <v>0</v>
      </c>
      <c r="P641">
        <v>250</v>
      </c>
      <c r="Q641">
        <v>0</v>
      </c>
      <c r="R641">
        <v>250</v>
      </c>
      <c r="S641">
        <v>250</v>
      </c>
      <c r="T641">
        <v>250</v>
      </c>
      <c r="U641">
        <v>250</v>
      </c>
      <c r="V641">
        <v>250</v>
      </c>
      <c r="W641">
        <v>0</v>
      </c>
      <c r="X641">
        <v>250</v>
      </c>
      <c r="Y641">
        <v>250</v>
      </c>
      <c r="Z641">
        <v>250</v>
      </c>
      <c r="AA641">
        <v>250</v>
      </c>
      <c r="AB641">
        <v>250</v>
      </c>
      <c r="AC641">
        <v>250</v>
      </c>
      <c r="AD641">
        <v>250</v>
      </c>
      <c r="AE641">
        <v>250</v>
      </c>
      <c r="AF641">
        <v>250</v>
      </c>
      <c r="AG641">
        <v>0</v>
      </c>
      <c r="AH641">
        <v>250</v>
      </c>
      <c r="AI641">
        <v>250</v>
      </c>
      <c r="AJ641">
        <v>250</v>
      </c>
      <c r="AK641">
        <v>250</v>
      </c>
      <c r="AL641">
        <v>0</v>
      </c>
      <c r="AM641">
        <v>250</v>
      </c>
      <c r="AQ641">
        <v>17000</v>
      </c>
      <c r="AR641">
        <v>17000</v>
      </c>
      <c r="AS641">
        <v>17000</v>
      </c>
    </row>
    <row r="642" spans="1:45" hidden="1">
      <c r="A642" t="s">
        <v>11</v>
      </c>
      <c r="B642" t="s">
        <v>739</v>
      </c>
      <c r="C642" t="s">
        <v>286</v>
      </c>
      <c r="D642" t="s">
        <v>287</v>
      </c>
      <c r="E642" t="s">
        <v>288</v>
      </c>
      <c r="F642" t="s">
        <v>289</v>
      </c>
      <c r="G642" t="s">
        <v>547</v>
      </c>
      <c r="AQ642">
        <v>0</v>
      </c>
      <c r="AR642">
        <v>0.05</v>
      </c>
      <c r="AS642">
        <v>164390.35188999999</v>
      </c>
    </row>
    <row r="643" spans="1:45" hidden="1">
      <c r="A643" t="s">
        <v>11</v>
      </c>
      <c r="B643" t="s">
        <v>739</v>
      </c>
      <c r="C643" t="s">
        <v>291</v>
      </c>
      <c r="D643" t="s">
        <v>287</v>
      </c>
      <c r="E643" t="s">
        <v>288</v>
      </c>
      <c r="F643" t="s">
        <v>292</v>
      </c>
      <c r="G643" t="s">
        <v>293</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c r="AE643">
        <v>0</v>
      </c>
      <c r="AF643">
        <v>0</v>
      </c>
      <c r="AG643">
        <v>0</v>
      </c>
      <c r="AH643">
        <v>0</v>
      </c>
      <c r="AI643">
        <v>0</v>
      </c>
      <c r="AJ643">
        <v>0</v>
      </c>
      <c r="AK643">
        <v>0</v>
      </c>
      <c r="AL643">
        <v>0</v>
      </c>
      <c r="AM643">
        <v>0</v>
      </c>
      <c r="AQ643">
        <v>0</v>
      </c>
      <c r="AR643">
        <v>6.0600000000000001E-2</v>
      </c>
      <c r="AS643">
        <v>0</v>
      </c>
    </row>
    <row r="644" spans="1:45" hidden="1">
      <c r="A644" t="s">
        <v>11</v>
      </c>
      <c r="B644" t="s">
        <v>739</v>
      </c>
      <c r="C644" t="s">
        <v>736</v>
      </c>
      <c r="D644" t="s">
        <v>287</v>
      </c>
      <c r="E644" t="s">
        <v>288</v>
      </c>
      <c r="F644" t="s">
        <v>550</v>
      </c>
      <c r="G644" t="s">
        <v>293</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c r="AE644">
        <v>0</v>
      </c>
      <c r="AF644">
        <v>0</v>
      </c>
      <c r="AG644">
        <v>0</v>
      </c>
      <c r="AH644">
        <v>0</v>
      </c>
      <c r="AI644">
        <v>0</v>
      </c>
      <c r="AJ644">
        <v>0</v>
      </c>
      <c r="AK644">
        <v>0</v>
      </c>
      <c r="AL644">
        <v>0</v>
      </c>
      <c r="AM644">
        <v>0</v>
      </c>
      <c r="AQ644">
        <v>0</v>
      </c>
      <c r="AR644">
        <v>5.0500000000000003E-2</v>
      </c>
      <c r="AS644">
        <v>0</v>
      </c>
    </row>
    <row r="645" spans="1:45" hidden="1">
      <c r="A645" t="s">
        <v>11</v>
      </c>
      <c r="B645" t="s">
        <v>739</v>
      </c>
      <c r="C645" t="s">
        <v>737</v>
      </c>
      <c r="D645" t="s">
        <v>287</v>
      </c>
      <c r="E645" t="s">
        <v>288</v>
      </c>
      <c r="F645" t="s">
        <v>548</v>
      </c>
      <c r="G645" t="s">
        <v>293</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0</v>
      </c>
      <c r="AC645">
        <v>0</v>
      </c>
      <c r="AD645">
        <v>0</v>
      </c>
      <c r="AE645">
        <v>0</v>
      </c>
      <c r="AF645">
        <v>0</v>
      </c>
      <c r="AG645">
        <v>0</v>
      </c>
      <c r="AH645">
        <v>0</v>
      </c>
      <c r="AI645">
        <v>0</v>
      </c>
      <c r="AJ645">
        <v>0</v>
      </c>
      <c r="AK645">
        <v>0</v>
      </c>
      <c r="AL645">
        <v>0</v>
      </c>
      <c r="AM645">
        <v>0</v>
      </c>
      <c r="AQ645">
        <v>0</v>
      </c>
      <c r="AR645">
        <v>0.1111</v>
      </c>
      <c r="AS645">
        <v>0</v>
      </c>
    </row>
    <row r="646" spans="1:45" hidden="1">
      <c r="A646" t="s">
        <v>11</v>
      </c>
      <c r="B646" t="s">
        <v>739</v>
      </c>
      <c r="C646" t="s">
        <v>738</v>
      </c>
      <c r="D646" t="s">
        <v>287</v>
      </c>
      <c r="E646" t="s">
        <v>288</v>
      </c>
      <c r="F646" t="s">
        <v>549</v>
      </c>
      <c r="G646" t="s">
        <v>293</v>
      </c>
      <c r="H646">
        <v>20888</v>
      </c>
      <c r="I646">
        <v>13445</v>
      </c>
      <c r="J646">
        <v>12520</v>
      </c>
      <c r="K646">
        <v>12723</v>
      </c>
      <c r="L646">
        <v>17180</v>
      </c>
      <c r="M646">
        <v>54927</v>
      </c>
      <c r="N646">
        <v>481</v>
      </c>
      <c r="O646">
        <v>177</v>
      </c>
      <c r="P646">
        <v>1661</v>
      </c>
      <c r="Q646">
        <v>230</v>
      </c>
      <c r="R646">
        <v>1172</v>
      </c>
      <c r="S646">
        <v>453</v>
      </c>
      <c r="T646">
        <v>1103</v>
      </c>
      <c r="U646">
        <v>2054</v>
      </c>
      <c r="V646">
        <v>567</v>
      </c>
      <c r="W646">
        <v>120</v>
      </c>
      <c r="X646">
        <v>854</v>
      </c>
      <c r="Y646">
        <v>3840</v>
      </c>
      <c r="Z646">
        <v>1045</v>
      </c>
      <c r="AA646">
        <v>265</v>
      </c>
      <c r="AB646">
        <v>758</v>
      </c>
      <c r="AC646">
        <v>385</v>
      </c>
      <c r="AD646">
        <v>1173</v>
      </c>
      <c r="AE646">
        <v>1345</v>
      </c>
      <c r="AF646">
        <v>253</v>
      </c>
      <c r="AG646">
        <v>1875</v>
      </c>
      <c r="AH646">
        <v>1371</v>
      </c>
      <c r="AI646">
        <v>100</v>
      </c>
      <c r="AJ646">
        <v>1574</v>
      </c>
      <c r="AK646">
        <v>70</v>
      </c>
      <c r="AL646">
        <v>73</v>
      </c>
      <c r="AM646">
        <v>1100</v>
      </c>
      <c r="AQ646">
        <v>155782</v>
      </c>
      <c r="AR646">
        <v>0.10100000000000001</v>
      </c>
      <c r="AS646">
        <v>15733.982</v>
      </c>
    </row>
    <row r="647" spans="1:45" hidden="1">
      <c r="A647" t="s">
        <v>7</v>
      </c>
      <c r="B647" t="s">
        <v>744</v>
      </c>
      <c r="C647" t="s">
        <v>641</v>
      </c>
      <c r="D647" t="s">
        <v>324</v>
      </c>
      <c r="E647" t="s">
        <v>323</v>
      </c>
      <c r="F647" t="s">
        <v>325</v>
      </c>
      <c r="G647" t="s">
        <v>326</v>
      </c>
      <c r="H647">
        <v>9261315.1290000007</v>
      </c>
      <c r="I647">
        <v>31601.64</v>
      </c>
      <c r="J647">
        <v>9052.67</v>
      </c>
      <c r="K647">
        <v>1127236.44</v>
      </c>
      <c r="L647">
        <v>3600389.5</v>
      </c>
      <c r="M647">
        <v>1054962.22</v>
      </c>
      <c r="N647">
        <v>7339.5</v>
      </c>
      <c r="O647">
        <v>8672206.1919999998</v>
      </c>
      <c r="P647">
        <v>3557355.75</v>
      </c>
      <c r="Q647">
        <v>7194.4</v>
      </c>
      <c r="R647">
        <v>4208</v>
      </c>
      <c r="S647">
        <v>11310</v>
      </c>
      <c r="T647">
        <v>6058</v>
      </c>
      <c r="U647">
        <v>4521</v>
      </c>
      <c r="V647">
        <v>32236</v>
      </c>
      <c r="W647">
        <v>9261315.1290000007</v>
      </c>
      <c r="X647">
        <v>31601.64</v>
      </c>
      <c r="Y647">
        <v>31601.64</v>
      </c>
      <c r="AB647">
        <v>9261315.1290000007</v>
      </c>
      <c r="AQ647">
        <v>45972819.979000002</v>
      </c>
      <c r="AR647">
        <v>1.35E-2</v>
      </c>
      <c r="AS647">
        <v>620633.0697165</v>
      </c>
    </row>
    <row r="648" spans="1:45" hidden="1">
      <c r="A648" t="s">
        <v>7</v>
      </c>
      <c r="B648" t="s">
        <v>744</v>
      </c>
      <c r="C648" t="s">
        <v>642</v>
      </c>
      <c r="D648" t="s">
        <v>327</v>
      </c>
      <c r="E648" t="s">
        <v>323</v>
      </c>
      <c r="F648" t="s">
        <v>328</v>
      </c>
      <c r="G648" t="s">
        <v>329</v>
      </c>
      <c r="AQ648">
        <v>0</v>
      </c>
      <c r="AR648">
        <v>5.9330000000000001E-2</v>
      </c>
      <c r="AS648">
        <v>0</v>
      </c>
    </row>
    <row r="649" spans="1:45" hidden="1">
      <c r="A649" t="s">
        <v>7</v>
      </c>
      <c r="B649" t="s">
        <v>744</v>
      </c>
      <c r="C649" t="s">
        <v>643</v>
      </c>
      <c r="D649" t="s">
        <v>330</v>
      </c>
      <c r="E649" t="s">
        <v>323</v>
      </c>
      <c r="F649" t="s">
        <v>331</v>
      </c>
      <c r="G649" t="s">
        <v>740</v>
      </c>
      <c r="AQ649">
        <v>0</v>
      </c>
      <c r="AR649">
        <v>0.1</v>
      </c>
      <c r="AS649">
        <v>0</v>
      </c>
    </row>
    <row r="650" spans="1:45" hidden="1">
      <c r="A650" t="s">
        <v>7</v>
      </c>
      <c r="B650" t="s">
        <v>744</v>
      </c>
      <c r="C650" t="s">
        <v>644</v>
      </c>
      <c r="D650" t="s">
        <v>332</v>
      </c>
      <c r="E650" t="s">
        <v>323</v>
      </c>
      <c r="F650" t="s">
        <v>333</v>
      </c>
      <c r="G650" t="s">
        <v>740</v>
      </c>
      <c r="AQ650">
        <v>0</v>
      </c>
      <c r="AR650">
        <v>0.125</v>
      </c>
      <c r="AS650">
        <v>0</v>
      </c>
    </row>
    <row r="651" spans="1:45" hidden="1">
      <c r="A651" t="s">
        <v>7</v>
      </c>
      <c r="B651" t="s">
        <v>744</v>
      </c>
      <c r="C651" t="s">
        <v>645</v>
      </c>
      <c r="D651" t="s">
        <v>334</v>
      </c>
      <c r="E651" t="s">
        <v>323</v>
      </c>
      <c r="F651" t="s">
        <v>335</v>
      </c>
      <c r="G651" t="s">
        <v>329</v>
      </c>
      <c r="AQ651">
        <v>0</v>
      </c>
      <c r="AR651">
        <v>0.28000000000000003</v>
      </c>
    </row>
    <row r="652" spans="1:45" hidden="1">
      <c r="A652" t="s">
        <v>7</v>
      </c>
      <c r="B652" t="s">
        <v>744</v>
      </c>
      <c r="C652" t="s">
        <v>646</v>
      </c>
      <c r="D652" t="s">
        <v>137</v>
      </c>
      <c r="E652" t="s">
        <v>138</v>
      </c>
      <c r="F652" t="s">
        <v>337</v>
      </c>
      <c r="G652" t="s">
        <v>140</v>
      </c>
      <c r="I652">
        <v>0</v>
      </c>
      <c r="J652">
        <v>0</v>
      </c>
      <c r="K652">
        <v>0</v>
      </c>
      <c r="L652">
        <v>0</v>
      </c>
      <c r="M652">
        <v>0</v>
      </c>
      <c r="N652">
        <v>0</v>
      </c>
      <c r="O652">
        <v>1</v>
      </c>
      <c r="P652">
        <v>0</v>
      </c>
      <c r="Q652">
        <v>0</v>
      </c>
      <c r="R652">
        <v>0</v>
      </c>
      <c r="S652">
        <v>0</v>
      </c>
      <c r="T652">
        <v>0</v>
      </c>
      <c r="U652">
        <v>0</v>
      </c>
      <c r="V652">
        <v>0</v>
      </c>
      <c r="W652">
        <v>0</v>
      </c>
      <c r="X652">
        <v>0</v>
      </c>
      <c r="Y652">
        <v>0</v>
      </c>
      <c r="Z652">
        <v>0</v>
      </c>
      <c r="AA652">
        <v>0</v>
      </c>
      <c r="AB652">
        <v>0</v>
      </c>
      <c r="AC652">
        <v>0</v>
      </c>
      <c r="AD652">
        <v>0</v>
      </c>
      <c r="AQ652">
        <v>1</v>
      </c>
      <c r="AR652">
        <v>212.1</v>
      </c>
      <c r="AS652">
        <v>212.1</v>
      </c>
    </row>
    <row r="653" spans="1:45" hidden="1">
      <c r="A653" t="s">
        <v>7</v>
      </c>
      <c r="B653" t="s">
        <v>744</v>
      </c>
      <c r="C653" t="s">
        <v>136</v>
      </c>
      <c r="D653" t="s">
        <v>137</v>
      </c>
      <c r="E653" t="s">
        <v>138</v>
      </c>
      <c r="F653" t="s">
        <v>139</v>
      </c>
      <c r="G653" t="s">
        <v>140</v>
      </c>
      <c r="I653">
        <v>3</v>
      </c>
      <c r="J653">
        <v>1</v>
      </c>
      <c r="K653">
        <v>0</v>
      </c>
      <c r="L653">
        <v>0</v>
      </c>
      <c r="M653">
        <v>1</v>
      </c>
      <c r="N653">
        <v>1</v>
      </c>
      <c r="O653">
        <v>2</v>
      </c>
      <c r="P653">
        <v>0</v>
      </c>
      <c r="Q653">
        <v>1</v>
      </c>
      <c r="R653">
        <v>1</v>
      </c>
      <c r="S653">
        <v>1</v>
      </c>
      <c r="T653">
        <v>1</v>
      </c>
      <c r="U653">
        <v>0</v>
      </c>
      <c r="V653">
        <v>1</v>
      </c>
      <c r="W653">
        <v>0</v>
      </c>
      <c r="X653">
        <v>1</v>
      </c>
      <c r="Y653">
        <v>0</v>
      </c>
      <c r="Z653">
        <v>0</v>
      </c>
      <c r="AA653">
        <v>0</v>
      </c>
      <c r="AB653">
        <v>0</v>
      </c>
      <c r="AC653">
        <v>0</v>
      </c>
      <c r="AD653">
        <v>0</v>
      </c>
      <c r="AQ653">
        <v>14</v>
      </c>
      <c r="AR653">
        <v>1696.8</v>
      </c>
      <c r="AS653">
        <v>23755.200000000001</v>
      </c>
    </row>
    <row r="654" spans="1:45" hidden="1">
      <c r="A654" t="s">
        <v>7</v>
      </c>
      <c r="B654" t="s">
        <v>744</v>
      </c>
      <c r="C654" t="s">
        <v>143</v>
      </c>
      <c r="D654" t="s">
        <v>137</v>
      </c>
      <c r="E654" t="s">
        <v>138</v>
      </c>
      <c r="F654" t="s">
        <v>277</v>
      </c>
      <c r="G654" t="s">
        <v>140</v>
      </c>
      <c r="H654">
        <v>5</v>
      </c>
      <c r="I654">
        <v>0</v>
      </c>
      <c r="J654">
        <v>0</v>
      </c>
      <c r="K654">
        <v>2</v>
      </c>
      <c r="L654">
        <v>2</v>
      </c>
      <c r="M654">
        <v>0</v>
      </c>
      <c r="N654">
        <v>0</v>
      </c>
      <c r="O654">
        <v>4</v>
      </c>
      <c r="P654">
        <v>3</v>
      </c>
      <c r="Q654">
        <v>0</v>
      </c>
      <c r="R654">
        <v>0</v>
      </c>
      <c r="S654">
        <v>0</v>
      </c>
      <c r="T654">
        <v>0</v>
      </c>
      <c r="U654">
        <v>0</v>
      </c>
      <c r="V654">
        <v>0</v>
      </c>
      <c r="W654">
        <v>0</v>
      </c>
      <c r="X654">
        <v>0</v>
      </c>
      <c r="Y654">
        <v>0</v>
      </c>
      <c r="Z654">
        <v>0</v>
      </c>
      <c r="AA654">
        <v>0</v>
      </c>
      <c r="AB654">
        <v>0</v>
      </c>
      <c r="AC654">
        <v>0</v>
      </c>
      <c r="AD654">
        <v>0</v>
      </c>
      <c r="AQ654">
        <v>16</v>
      </c>
      <c r="AR654">
        <v>3923.85</v>
      </c>
      <c r="AS654">
        <v>62781.599999999999</v>
      </c>
    </row>
    <row r="655" spans="1:45" hidden="1">
      <c r="A655" t="s">
        <v>7</v>
      </c>
      <c r="B655" t="s">
        <v>744</v>
      </c>
      <c r="C655" t="s">
        <v>647</v>
      </c>
      <c r="D655" t="s">
        <v>137</v>
      </c>
      <c r="E655" t="s">
        <v>138</v>
      </c>
      <c r="F655" t="s">
        <v>338</v>
      </c>
      <c r="G655" t="s">
        <v>140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c r="AQ655">
        <v>0</v>
      </c>
      <c r="AR655">
        <v>6893.25</v>
      </c>
      <c r="AS655">
        <v>0</v>
      </c>
    </row>
    <row r="656" spans="1:45" hidden="1">
      <c r="A656" t="s">
        <v>7</v>
      </c>
      <c r="B656" t="s">
        <v>744</v>
      </c>
      <c r="C656" t="s">
        <v>648</v>
      </c>
      <c r="D656" t="s">
        <v>342</v>
      </c>
      <c r="E656" t="s">
        <v>138</v>
      </c>
      <c r="F656" t="s">
        <v>343</v>
      </c>
      <c r="G656" t="s">
        <v>140</v>
      </c>
      <c r="I656">
        <v>0</v>
      </c>
      <c r="J656">
        <v>0</v>
      </c>
      <c r="K656">
        <v>0</v>
      </c>
      <c r="M656">
        <v>0</v>
      </c>
      <c r="N656">
        <v>0</v>
      </c>
      <c r="O656">
        <v>0</v>
      </c>
      <c r="P656">
        <v>0</v>
      </c>
      <c r="Q656">
        <v>0</v>
      </c>
      <c r="R656">
        <v>0</v>
      </c>
      <c r="S656">
        <v>0</v>
      </c>
      <c r="T656">
        <v>0</v>
      </c>
      <c r="U656">
        <v>0</v>
      </c>
      <c r="V656">
        <v>0</v>
      </c>
      <c r="W656">
        <v>0</v>
      </c>
      <c r="X656">
        <v>0</v>
      </c>
      <c r="Y656">
        <v>0</v>
      </c>
      <c r="Z656">
        <v>0</v>
      </c>
      <c r="AA656">
        <v>0</v>
      </c>
      <c r="AB656">
        <v>0</v>
      </c>
      <c r="AC656">
        <v>0</v>
      </c>
      <c r="AD656">
        <v>0</v>
      </c>
      <c r="AQ656">
        <v>0</v>
      </c>
      <c r="AR656">
        <v>13786.5</v>
      </c>
      <c r="AS656">
        <v>0</v>
      </c>
    </row>
    <row r="657" spans="1:45" hidden="1">
      <c r="A657" t="s">
        <v>7</v>
      </c>
      <c r="B657" t="s">
        <v>744</v>
      </c>
      <c r="C657" t="s">
        <v>649</v>
      </c>
      <c r="D657" t="s">
        <v>344</v>
      </c>
      <c r="E657" t="s">
        <v>138</v>
      </c>
      <c r="F657" t="s">
        <v>345</v>
      </c>
      <c r="G657" t="s">
        <v>346</v>
      </c>
      <c r="I657">
        <v>0</v>
      </c>
      <c r="J657">
        <v>0</v>
      </c>
      <c r="K657">
        <v>0</v>
      </c>
      <c r="M657">
        <v>0</v>
      </c>
      <c r="N657">
        <v>0</v>
      </c>
      <c r="O657">
        <v>0</v>
      </c>
      <c r="P657">
        <v>0</v>
      </c>
      <c r="Q657">
        <v>0</v>
      </c>
      <c r="R657">
        <v>0</v>
      </c>
      <c r="S657">
        <v>0</v>
      </c>
      <c r="T657">
        <v>0</v>
      </c>
      <c r="U657">
        <v>0</v>
      </c>
      <c r="V657">
        <v>0</v>
      </c>
      <c r="W657">
        <v>0</v>
      </c>
      <c r="X657">
        <v>0</v>
      </c>
      <c r="Y657">
        <v>0</v>
      </c>
      <c r="Z657">
        <v>0</v>
      </c>
      <c r="AA657">
        <v>0</v>
      </c>
      <c r="AB657">
        <v>0</v>
      </c>
      <c r="AC657">
        <v>0</v>
      </c>
      <c r="AD657">
        <v>0</v>
      </c>
      <c r="AQ657">
        <v>0</v>
      </c>
      <c r="AR657">
        <v>11.11</v>
      </c>
      <c r="AS657">
        <v>0</v>
      </c>
    </row>
    <row r="658" spans="1:45" hidden="1">
      <c r="A658" t="s">
        <v>7</v>
      </c>
      <c r="B658" t="s">
        <v>744</v>
      </c>
      <c r="C658" t="s">
        <v>650</v>
      </c>
      <c r="D658" t="s">
        <v>339</v>
      </c>
      <c r="E658" t="s">
        <v>138</v>
      </c>
      <c r="F658" t="s">
        <v>340</v>
      </c>
      <c r="G658" t="s">
        <v>341</v>
      </c>
      <c r="H658">
        <v>3</v>
      </c>
      <c r="I658">
        <v>0</v>
      </c>
      <c r="J658">
        <v>0</v>
      </c>
      <c r="K658">
        <v>1</v>
      </c>
      <c r="L658">
        <v>1</v>
      </c>
      <c r="M658">
        <v>0</v>
      </c>
      <c r="N658">
        <v>1</v>
      </c>
      <c r="O658">
        <v>7</v>
      </c>
      <c r="P658">
        <v>2</v>
      </c>
      <c r="Q658">
        <v>0</v>
      </c>
      <c r="R658">
        <v>0</v>
      </c>
      <c r="S658">
        <v>0</v>
      </c>
      <c r="T658">
        <v>0</v>
      </c>
      <c r="U658">
        <v>0</v>
      </c>
      <c r="V658">
        <v>0</v>
      </c>
      <c r="W658">
        <v>0</v>
      </c>
      <c r="X658">
        <v>0</v>
      </c>
      <c r="Y658">
        <v>0</v>
      </c>
      <c r="Z658">
        <v>0</v>
      </c>
      <c r="AA658">
        <v>0</v>
      </c>
      <c r="AB658">
        <v>0</v>
      </c>
      <c r="AC658">
        <v>0</v>
      </c>
      <c r="AD658">
        <v>0</v>
      </c>
      <c r="AQ658">
        <v>15</v>
      </c>
      <c r="AR658">
        <v>557.52</v>
      </c>
      <c r="AS658">
        <v>8362.7999999999993</v>
      </c>
    </row>
    <row r="659" spans="1:45" hidden="1">
      <c r="A659" t="s">
        <v>7</v>
      </c>
      <c r="B659" t="s">
        <v>744</v>
      </c>
      <c r="C659" t="s">
        <v>651</v>
      </c>
      <c r="D659" t="s">
        <v>347</v>
      </c>
      <c r="E659" t="s">
        <v>138</v>
      </c>
      <c r="F659" t="s">
        <v>350</v>
      </c>
      <c r="G659" t="s">
        <v>349</v>
      </c>
      <c r="I659">
        <v>1</v>
      </c>
      <c r="J659">
        <v>0</v>
      </c>
      <c r="K659">
        <v>0</v>
      </c>
      <c r="L659">
        <v>0</v>
      </c>
      <c r="M659">
        <v>0</v>
      </c>
      <c r="N659">
        <v>0</v>
      </c>
      <c r="P659">
        <v>0</v>
      </c>
      <c r="Q659">
        <v>0</v>
      </c>
      <c r="R659">
        <v>0</v>
      </c>
      <c r="S659">
        <v>0</v>
      </c>
      <c r="T659">
        <v>0</v>
      </c>
      <c r="U659">
        <v>0</v>
      </c>
      <c r="V659">
        <v>0</v>
      </c>
      <c r="W659">
        <v>0</v>
      </c>
      <c r="X659">
        <v>0</v>
      </c>
      <c r="Y659">
        <v>0</v>
      </c>
      <c r="Z659">
        <v>0</v>
      </c>
      <c r="AA659">
        <v>0</v>
      </c>
      <c r="AB659">
        <v>0</v>
      </c>
      <c r="AC659">
        <v>0</v>
      </c>
      <c r="AD659">
        <v>0</v>
      </c>
      <c r="AQ659">
        <v>1</v>
      </c>
      <c r="AR659">
        <v>234.32</v>
      </c>
      <c r="AS659">
        <v>234.32</v>
      </c>
    </row>
    <row r="660" spans="1:45" hidden="1">
      <c r="A660" t="s">
        <v>7</v>
      </c>
      <c r="B660" t="s">
        <v>744</v>
      </c>
      <c r="C660" t="s">
        <v>652</v>
      </c>
      <c r="D660" t="s">
        <v>347</v>
      </c>
      <c r="E660" t="s">
        <v>138</v>
      </c>
      <c r="F660" t="s">
        <v>348</v>
      </c>
      <c r="G660" t="s">
        <v>349</v>
      </c>
      <c r="H660">
        <v>24</v>
      </c>
      <c r="I660">
        <v>0</v>
      </c>
      <c r="J660">
        <v>0</v>
      </c>
      <c r="K660">
        <v>1</v>
      </c>
      <c r="L660">
        <v>6</v>
      </c>
      <c r="M660">
        <v>2</v>
      </c>
      <c r="N660">
        <v>1</v>
      </c>
      <c r="O660">
        <v>11</v>
      </c>
      <c r="P660">
        <v>12</v>
      </c>
      <c r="Q660">
        <v>0</v>
      </c>
      <c r="R660">
        <v>0</v>
      </c>
      <c r="S660">
        <v>0</v>
      </c>
      <c r="T660">
        <v>0</v>
      </c>
      <c r="U660">
        <v>0</v>
      </c>
      <c r="V660">
        <v>1</v>
      </c>
      <c r="W660">
        <v>0</v>
      </c>
      <c r="X660">
        <v>0</v>
      </c>
      <c r="Y660">
        <v>0</v>
      </c>
      <c r="Z660">
        <v>0</v>
      </c>
      <c r="AA660">
        <v>0</v>
      </c>
      <c r="AB660">
        <v>0</v>
      </c>
      <c r="AC660">
        <v>0</v>
      </c>
      <c r="AD660">
        <v>0</v>
      </c>
      <c r="AQ660">
        <v>58</v>
      </c>
      <c r="AR660">
        <v>456.52</v>
      </c>
      <c r="AS660">
        <v>26478.16</v>
      </c>
    </row>
    <row r="661" spans="1:45" hidden="1">
      <c r="A661" t="s">
        <v>7</v>
      </c>
      <c r="B661" t="s">
        <v>744</v>
      </c>
      <c r="C661" t="s">
        <v>653</v>
      </c>
      <c r="D661" t="s">
        <v>347</v>
      </c>
      <c r="E661" t="s">
        <v>138</v>
      </c>
      <c r="F661" t="s">
        <v>351</v>
      </c>
      <c r="G661" t="s">
        <v>349</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c r="AQ661">
        <v>0</v>
      </c>
      <c r="AR661">
        <v>679.73</v>
      </c>
      <c r="AS661">
        <v>0</v>
      </c>
    </row>
    <row r="662" spans="1:45" hidden="1">
      <c r="A662" t="s">
        <v>7</v>
      </c>
      <c r="B662" t="s">
        <v>744</v>
      </c>
      <c r="C662" t="s">
        <v>654</v>
      </c>
      <c r="D662" t="s">
        <v>352</v>
      </c>
      <c r="E662" t="s">
        <v>138</v>
      </c>
      <c r="F662" t="s">
        <v>353</v>
      </c>
      <c r="G662" t="s">
        <v>354</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c r="AQ662">
        <v>0</v>
      </c>
      <c r="AR662">
        <v>3923.85</v>
      </c>
      <c r="AS662">
        <v>0</v>
      </c>
    </row>
    <row r="663" spans="1:45" hidden="1">
      <c r="A663" t="s">
        <v>7</v>
      </c>
      <c r="B663" t="s">
        <v>744</v>
      </c>
      <c r="C663" t="s">
        <v>655</v>
      </c>
      <c r="D663" t="s">
        <v>355</v>
      </c>
      <c r="E663" t="s">
        <v>138</v>
      </c>
      <c r="F663" t="s">
        <v>356</v>
      </c>
      <c r="G663" t="s">
        <v>357</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c r="AD663">
        <v>0</v>
      </c>
      <c r="AQ663">
        <v>0</v>
      </c>
      <c r="AR663">
        <v>556.51</v>
      </c>
      <c r="AS663">
        <v>0</v>
      </c>
    </row>
    <row r="664" spans="1:45" hidden="1">
      <c r="A664" t="s">
        <v>7</v>
      </c>
      <c r="B664" t="s">
        <v>744</v>
      </c>
      <c r="C664" t="s">
        <v>656</v>
      </c>
      <c r="D664" t="s">
        <v>358</v>
      </c>
      <c r="E664" t="s">
        <v>138</v>
      </c>
      <c r="F664" t="s">
        <v>359</v>
      </c>
      <c r="G664" t="s">
        <v>360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c r="AQ664">
        <v>0</v>
      </c>
      <c r="AR664">
        <v>334.31</v>
      </c>
      <c r="AS664">
        <v>0</v>
      </c>
    </row>
    <row r="665" spans="1:45" hidden="1">
      <c r="A665" t="s">
        <v>7</v>
      </c>
      <c r="B665" t="s">
        <v>744</v>
      </c>
      <c r="C665" t="s">
        <v>657</v>
      </c>
      <c r="D665" t="s">
        <v>361</v>
      </c>
      <c r="E665" t="s">
        <v>138</v>
      </c>
      <c r="F665" t="s">
        <v>362</v>
      </c>
      <c r="G665" t="s">
        <v>363</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c r="AQ665">
        <v>0</v>
      </c>
      <c r="AR665">
        <v>1.0605</v>
      </c>
      <c r="AS665">
        <v>0</v>
      </c>
    </row>
    <row r="666" spans="1:45" hidden="1">
      <c r="A666" t="s">
        <v>7</v>
      </c>
      <c r="B666" t="s">
        <v>744</v>
      </c>
      <c r="C666" t="s">
        <v>658</v>
      </c>
      <c r="D666" t="s">
        <v>364</v>
      </c>
      <c r="E666" t="s">
        <v>138</v>
      </c>
      <c r="F666" t="s">
        <v>366</v>
      </c>
      <c r="G666" t="s">
        <v>363</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c r="AQ666">
        <v>0</v>
      </c>
      <c r="AR666">
        <v>4.242</v>
      </c>
      <c r="AS666">
        <v>0</v>
      </c>
    </row>
    <row r="667" spans="1:45" hidden="1">
      <c r="A667" t="s">
        <v>7</v>
      </c>
      <c r="B667" t="s">
        <v>744</v>
      </c>
      <c r="C667" t="s">
        <v>659</v>
      </c>
      <c r="D667" t="s">
        <v>364</v>
      </c>
      <c r="E667" t="s">
        <v>138</v>
      </c>
      <c r="F667" t="s">
        <v>365</v>
      </c>
      <c r="G667" t="s">
        <v>363</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Q667">
        <v>0</v>
      </c>
      <c r="AR667">
        <v>8.484</v>
      </c>
      <c r="AS667">
        <v>0</v>
      </c>
    </row>
    <row r="668" spans="1:45" hidden="1">
      <c r="A668" t="s">
        <v>7</v>
      </c>
      <c r="B668" t="s">
        <v>744</v>
      </c>
      <c r="C668" t="s">
        <v>660</v>
      </c>
      <c r="D668" t="s">
        <v>364</v>
      </c>
      <c r="E668" t="s">
        <v>138</v>
      </c>
      <c r="F668" t="s">
        <v>367</v>
      </c>
      <c r="G668" t="s">
        <v>363</v>
      </c>
      <c r="I668">
        <v>0</v>
      </c>
      <c r="J668">
        <v>0</v>
      </c>
      <c r="K668">
        <v>0</v>
      </c>
      <c r="L668">
        <v>0</v>
      </c>
      <c r="M668">
        <v>0</v>
      </c>
      <c r="N668">
        <v>0</v>
      </c>
      <c r="O668">
        <v>0</v>
      </c>
      <c r="P668">
        <v>0</v>
      </c>
      <c r="Q668">
        <v>0</v>
      </c>
      <c r="R668">
        <v>0</v>
      </c>
      <c r="S668">
        <v>0</v>
      </c>
      <c r="T668">
        <v>0</v>
      </c>
      <c r="U668">
        <v>0</v>
      </c>
      <c r="V668">
        <v>0</v>
      </c>
      <c r="W668">
        <v>0</v>
      </c>
      <c r="Y668">
        <v>0</v>
      </c>
      <c r="Z668">
        <v>0</v>
      </c>
      <c r="AA668">
        <v>0</v>
      </c>
      <c r="AB668">
        <v>0</v>
      </c>
      <c r="AC668">
        <v>0</v>
      </c>
      <c r="AQ668">
        <v>0</v>
      </c>
      <c r="AR668">
        <v>21.21</v>
      </c>
      <c r="AS668">
        <v>0</v>
      </c>
    </row>
    <row r="669" spans="1:45" hidden="1">
      <c r="A669" t="s">
        <v>7</v>
      </c>
      <c r="B669" t="s">
        <v>744</v>
      </c>
      <c r="C669" t="s">
        <v>278</v>
      </c>
      <c r="D669" t="s">
        <v>146</v>
      </c>
      <c r="E669" t="s">
        <v>138</v>
      </c>
      <c r="F669" t="s">
        <v>279</v>
      </c>
      <c r="G669" t="s">
        <v>148</v>
      </c>
      <c r="I669">
        <v>0</v>
      </c>
      <c r="J669">
        <v>0</v>
      </c>
      <c r="K669">
        <v>0</v>
      </c>
      <c r="L669">
        <v>0</v>
      </c>
      <c r="M669">
        <v>0</v>
      </c>
      <c r="N669">
        <v>0</v>
      </c>
      <c r="O669">
        <v>0</v>
      </c>
      <c r="P669">
        <v>0</v>
      </c>
      <c r="Q669">
        <v>0</v>
      </c>
      <c r="R669">
        <v>0</v>
      </c>
      <c r="S669">
        <v>0</v>
      </c>
      <c r="T669">
        <v>0</v>
      </c>
      <c r="U669">
        <v>0</v>
      </c>
      <c r="V669">
        <v>0</v>
      </c>
      <c r="W669">
        <v>2</v>
      </c>
      <c r="Z669">
        <v>0</v>
      </c>
      <c r="AA669">
        <v>0</v>
      </c>
      <c r="AB669">
        <v>0</v>
      </c>
      <c r="AC669">
        <v>0</v>
      </c>
      <c r="AQ669">
        <v>2</v>
      </c>
      <c r="AR669">
        <v>1272.5999999999999</v>
      </c>
      <c r="AS669">
        <v>2545.1999999999998</v>
      </c>
    </row>
    <row r="670" spans="1:45" hidden="1">
      <c r="A670" t="s">
        <v>7</v>
      </c>
      <c r="B670" t="s">
        <v>744</v>
      </c>
      <c r="C670" t="s">
        <v>661</v>
      </c>
      <c r="D670" t="s">
        <v>146</v>
      </c>
      <c r="E670" t="s">
        <v>138</v>
      </c>
      <c r="F670" t="s">
        <v>368</v>
      </c>
      <c r="G670" t="s">
        <v>148</v>
      </c>
      <c r="H670">
        <v>12</v>
      </c>
      <c r="I670">
        <v>0</v>
      </c>
      <c r="J670">
        <v>0</v>
      </c>
      <c r="K670">
        <v>1</v>
      </c>
      <c r="L670">
        <v>15</v>
      </c>
      <c r="M670">
        <v>1</v>
      </c>
      <c r="N670">
        <v>0</v>
      </c>
      <c r="O670">
        <v>11</v>
      </c>
      <c r="P670">
        <v>3</v>
      </c>
      <c r="Q670">
        <v>0</v>
      </c>
      <c r="R670">
        <v>0</v>
      </c>
      <c r="S670">
        <v>0</v>
      </c>
      <c r="T670">
        <v>0</v>
      </c>
      <c r="U670">
        <v>0</v>
      </c>
      <c r="V670">
        <v>2</v>
      </c>
      <c r="W670">
        <v>0</v>
      </c>
      <c r="Z670">
        <v>0</v>
      </c>
      <c r="AA670">
        <v>0</v>
      </c>
      <c r="AB670">
        <v>0</v>
      </c>
      <c r="AC670">
        <v>0</v>
      </c>
      <c r="AQ670">
        <v>45</v>
      </c>
      <c r="AR670">
        <v>2333.1</v>
      </c>
      <c r="AS670">
        <v>104989.5</v>
      </c>
    </row>
    <row r="671" spans="1:45" hidden="1">
      <c r="A671" t="s">
        <v>7</v>
      </c>
      <c r="B671" t="s">
        <v>744</v>
      </c>
      <c r="C671" t="s">
        <v>662</v>
      </c>
      <c r="D671" t="s">
        <v>146</v>
      </c>
      <c r="E671" t="s">
        <v>138</v>
      </c>
      <c r="F671" t="s">
        <v>369</v>
      </c>
      <c r="G671" t="s">
        <v>148</v>
      </c>
      <c r="H671">
        <v>4</v>
      </c>
      <c r="I671">
        <v>0</v>
      </c>
      <c r="J671">
        <v>0</v>
      </c>
      <c r="K671">
        <v>0</v>
      </c>
      <c r="L671">
        <v>1</v>
      </c>
      <c r="M671">
        <v>0</v>
      </c>
      <c r="N671">
        <v>0</v>
      </c>
      <c r="O671">
        <v>3</v>
      </c>
      <c r="P671">
        <v>0</v>
      </c>
      <c r="Q671">
        <v>0</v>
      </c>
      <c r="R671">
        <v>0</v>
      </c>
      <c r="S671">
        <v>0</v>
      </c>
      <c r="T671">
        <v>0</v>
      </c>
      <c r="U671">
        <v>0</v>
      </c>
      <c r="V671">
        <v>0</v>
      </c>
      <c r="W671">
        <v>0</v>
      </c>
      <c r="AA671">
        <v>0</v>
      </c>
      <c r="AB671">
        <v>0</v>
      </c>
      <c r="AQ671">
        <v>8</v>
      </c>
      <c r="AR671">
        <v>3711.75</v>
      </c>
      <c r="AS671">
        <v>29694</v>
      </c>
    </row>
    <row r="672" spans="1:45" hidden="1">
      <c r="A672" t="s">
        <v>7</v>
      </c>
      <c r="B672" t="s">
        <v>744</v>
      </c>
      <c r="C672" t="s">
        <v>663</v>
      </c>
      <c r="D672" t="s">
        <v>146</v>
      </c>
      <c r="E672" t="s">
        <v>138</v>
      </c>
      <c r="F672" t="s">
        <v>370</v>
      </c>
      <c r="G672" t="s">
        <v>148</v>
      </c>
      <c r="I672">
        <v>0</v>
      </c>
      <c r="J672">
        <v>0</v>
      </c>
      <c r="K672">
        <v>0</v>
      </c>
      <c r="L672">
        <v>0</v>
      </c>
      <c r="M672">
        <v>0</v>
      </c>
      <c r="N672">
        <v>0</v>
      </c>
      <c r="O672">
        <v>0</v>
      </c>
      <c r="P672">
        <v>0</v>
      </c>
      <c r="Q672">
        <v>0</v>
      </c>
      <c r="R672">
        <v>0</v>
      </c>
      <c r="S672">
        <v>0</v>
      </c>
      <c r="T672">
        <v>0</v>
      </c>
      <c r="U672">
        <v>0</v>
      </c>
      <c r="V672">
        <v>0</v>
      </c>
      <c r="W672">
        <v>0</v>
      </c>
      <c r="AB672">
        <v>0</v>
      </c>
      <c r="AQ672">
        <v>0</v>
      </c>
      <c r="AR672">
        <v>5832.75</v>
      </c>
      <c r="AS672">
        <v>0</v>
      </c>
    </row>
    <row r="673" spans="1:45" hidden="1">
      <c r="A673" t="s">
        <v>7</v>
      </c>
      <c r="B673" t="s">
        <v>744</v>
      </c>
      <c r="C673" t="s">
        <v>664</v>
      </c>
      <c r="D673" t="s">
        <v>371</v>
      </c>
      <c r="E673" t="s">
        <v>138</v>
      </c>
      <c r="F673" t="s">
        <v>372</v>
      </c>
      <c r="G673" t="s">
        <v>373</v>
      </c>
      <c r="I673">
        <v>0</v>
      </c>
      <c r="J673">
        <v>0</v>
      </c>
      <c r="K673">
        <v>0</v>
      </c>
      <c r="L673">
        <v>0</v>
      </c>
      <c r="M673">
        <v>0</v>
      </c>
      <c r="N673">
        <v>0</v>
      </c>
      <c r="O673">
        <v>0</v>
      </c>
      <c r="P673">
        <v>0</v>
      </c>
      <c r="Q673">
        <v>0</v>
      </c>
      <c r="R673">
        <v>0</v>
      </c>
      <c r="S673">
        <v>0</v>
      </c>
      <c r="T673">
        <v>0</v>
      </c>
      <c r="V673">
        <v>0</v>
      </c>
      <c r="W673">
        <v>0</v>
      </c>
      <c r="AQ673">
        <v>0</v>
      </c>
      <c r="AR673">
        <v>3711.75</v>
      </c>
      <c r="AS673">
        <v>0</v>
      </c>
    </row>
    <row r="674" spans="1:45" hidden="1">
      <c r="A674" t="s">
        <v>7</v>
      </c>
      <c r="B674" t="s">
        <v>744</v>
      </c>
      <c r="C674" t="s">
        <v>149</v>
      </c>
      <c r="D674" t="s">
        <v>280</v>
      </c>
      <c r="E674" t="s">
        <v>138</v>
      </c>
      <c r="F674" t="s">
        <v>151</v>
      </c>
      <c r="G674" t="s">
        <v>152</v>
      </c>
      <c r="H674">
        <v>33348</v>
      </c>
      <c r="I674">
        <v>353</v>
      </c>
      <c r="J674">
        <v>621</v>
      </c>
      <c r="K674">
        <v>5855</v>
      </c>
      <c r="L674">
        <v>27255</v>
      </c>
      <c r="M674">
        <v>1422</v>
      </c>
      <c r="N674">
        <v>684</v>
      </c>
      <c r="O674">
        <v>22052</v>
      </c>
      <c r="P674">
        <v>8848</v>
      </c>
      <c r="Q674">
        <v>840</v>
      </c>
      <c r="R674">
        <v>359</v>
      </c>
      <c r="S674">
        <v>1450</v>
      </c>
      <c r="T674">
        <v>1116</v>
      </c>
      <c r="U674">
        <v>310</v>
      </c>
      <c r="V674">
        <v>320</v>
      </c>
      <c r="W674">
        <v>440</v>
      </c>
      <c r="X674">
        <v>440</v>
      </c>
      <c r="Y674">
        <v>1385</v>
      </c>
      <c r="AA674">
        <v>757</v>
      </c>
      <c r="AB674">
        <v>920</v>
      </c>
      <c r="AC674">
        <v>238</v>
      </c>
      <c r="AD674">
        <v>179</v>
      </c>
      <c r="AQ674">
        <v>109192</v>
      </c>
      <c r="AR674">
        <v>1.111</v>
      </c>
      <c r="AS674">
        <v>121312.31200000001</v>
      </c>
    </row>
    <row r="675" spans="1:45" hidden="1">
      <c r="A675" t="s">
        <v>7</v>
      </c>
      <c r="B675" t="s">
        <v>744</v>
      </c>
      <c r="C675" t="s">
        <v>153</v>
      </c>
      <c r="D675" t="s">
        <v>154</v>
      </c>
      <c r="E675" t="s">
        <v>138</v>
      </c>
      <c r="F675" t="s">
        <v>155</v>
      </c>
      <c r="G675" t="s">
        <v>156</v>
      </c>
      <c r="H675">
        <v>528</v>
      </c>
      <c r="I675">
        <v>0</v>
      </c>
      <c r="J675">
        <v>0</v>
      </c>
      <c r="K675">
        <v>9</v>
      </c>
      <c r="L675">
        <v>390</v>
      </c>
      <c r="M675">
        <v>54</v>
      </c>
      <c r="N675">
        <v>20</v>
      </c>
      <c r="O675">
        <v>148</v>
      </c>
      <c r="P675">
        <v>66</v>
      </c>
      <c r="Q675">
        <v>0</v>
      </c>
      <c r="R675">
        <v>0</v>
      </c>
      <c r="S675">
        <v>0</v>
      </c>
      <c r="T675">
        <v>0</v>
      </c>
      <c r="V675">
        <v>0</v>
      </c>
      <c r="W675">
        <v>8</v>
      </c>
      <c r="AA675">
        <v>0</v>
      </c>
      <c r="AB675">
        <v>19</v>
      </c>
      <c r="AC675">
        <v>10</v>
      </c>
      <c r="AD675">
        <v>8</v>
      </c>
      <c r="AQ675">
        <v>1260</v>
      </c>
      <c r="AR675">
        <v>116.655</v>
      </c>
      <c r="AS675">
        <v>146985.29999999999</v>
      </c>
    </row>
    <row r="676" spans="1:45" hidden="1">
      <c r="A676" t="s">
        <v>7</v>
      </c>
      <c r="B676" t="s">
        <v>744</v>
      </c>
      <c r="C676" t="s">
        <v>665</v>
      </c>
      <c r="D676" t="s">
        <v>375</v>
      </c>
      <c r="E676" t="s">
        <v>138</v>
      </c>
      <c r="F676" t="s">
        <v>376</v>
      </c>
      <c r="G676" t="s">
        <v>377</v>
      </c>
      <c r="I676">
        <v>0</v>
      </c>
      <c r="J676">
        <v>0</v>
      </c>
      <c r="K676">
        <v>0</v>
      </c>
      <c r="L676">
        <v>0</v>
      </c>
      <c r="M676">
        <v>0</v>
      </c>
      <c r="N676">
        <v>0</v>
      </c>
      <c r="O676">
        <v>0</v>
      </c>
      <c r="P676">
        <v>0</v>
      </c>
      <c r="Q676">
        <v>0</v>
      </c>
      <c r="R676">
        <v>0</v>
      </c>
      <c r="S676">
        <v>0</v>
      </c>
      <c r="T676">
        <v>0</v>
      </c>
      <c r="V676">
        <v>0</v>
      </c>
      <c r="W676">
        <v>0</v>
      </c>
      <c r="AA676">
        <v>0</v>
      </c>
      <c r="AQ676">
        <v>0</v>
      </c>
      <c r="AR676">
        <v>89.081999999999994</v>
      </c>
      <c r="AS676">
        <v>0</v>
      </c>
    </row>
    <row r="677" spans="1:45" hidden="1">
      <c r="A677" t="s">
        <v>7</v>
      </c>
      <c r="B677" t="s">
        <v>744</v>
      </c>
      <c r="C677" t="s">
        <v>158</v>
      </c>
      <c r="D677" t="s">
        <v>159</v>
      </c>
      <c r="E677" t="s">
        <v>138</v>
      </c>
      <c r="F677" t="s">
        <v>160</v>
      </c>
      <c r="G677" t="s">
        <v>161</v>
      </c>
      <c r="H677">
        <v>33</v>
      </c>
      <c r="I677">
        <v>6</v>
      </c>
      <c r="J677">
        <v>0</v>
      </c>
      <c r="K677">
        <v>0</v>
      </c>
      <c r="L677">
        <v>10</v>
      </c>
      <c r="M677">
        <v>2</v>
      </c>
      <c r="N677">
        <v>1</v>
      </c>
      <c r="O677">
        <v>39</v>
      </c>
      <c r="P677">
        <v>16</v>
      </c>
      <c r="Q677">
        <v>9</v>
      </c>
      <c r="R677">
        <v>5</v>
      </c>
      <c r="S677">
        <v>38</v>
      </c>
      <c r="T677">
        <v>1</v>
      </c>
      <c r="V677">
        <v>0</v>
      </c>
      <c r="W677">
        <v>15</v>
      </c>
      <c r="X677">
        <v>14</v>
      </c>
      <c r="Y677">
        <v>20</v>
      </c>
      <c r="AA677">
        <v>0</v>
      </c>
      <c r="AQ677">
        <v>209</v>
      </c>
      <c r="AR677">
        <v>66.66</v>
      </c>
      <c r="AS677">
        <v>13931.94</v>
      </c>
    </row>
    <row r="678" spans="1:45" hidden="1">
      <c r="A678" t="s">
        <v>7</v>
      </c>
      <c r="B678" t="s">
        <v>744</v>
      </c>
      <c r="C678" t="s">
        <v>666</v>
      </c>
      <c r="D678" t="s">
        <v>378</v>
      </c>
      <c r="E678" t="s">
        <v>138</v>
      </c>
      <c r="F678" t="s">
        <v>379</v>
      </c>
      <c r="G678" t="s">
        <v>380</v>
      </c>
      <c r="I678">
        <v>0</v>
      </c>
      <c r="J678">
        <v>0</v>
      </c>
      <c r="K678">
        <v>0</v>
      </c>
      <c r="L678">
        <v>0</v>
      </c>
      <c r="M678">
        <v>0</v>
      </c>
      <c r="N678">
        <v>0</v>
      </c>
      <c r="O678">
        <v>0</v>
      </c>
      <c r="Q678">
        <v>0</v>
      </c>
      <c r="R678">
        <v>0</v>
      </c>
      <c r="S678">
        <v>0</v>
      </c>
      <c r="T678">
        <v>0</v>
      </c>
      <c r="V678">
        <v>0</v>
      </c>
      <c r="W678">
        <v>0</v>
      </c>
      <c r="AA678">
        <v>0</v>
      </c>
      <c r="AQ678">
        <v>0</v>
      </c>
      <c r="AR678">
        <v>389.86</v>
      </c>
      <c r="AS678">
        <v>0</v>
      </c>
    </row>
    <row r="679" spans="1:45" hidden="1">
      <c r="A679" t="s">
        <v>7</v>
      </c>
      <c r="B679" t="s">
        <v>744</v>
      </c>
      <c r="C679" t="s">
        <v>667</v>
      </c>
      <c r="D679" t="s">
        <v>281</v>
      </c>
      <c r="E679" t="s">
        <v>138</v>
      </c>
      <c r="F679" t="s">
        <v>384</v>
      </c>
      <c r="G679" t="s">
        <v>165</v>
      </c>
      <c r="H679">
        <v>67</v>
      </c>
      <c r="I679">
        <v>0</v>
      </c>
      <c r="J679">
        <v>0</v>
      </c>
      <c r="K679">
        <v>0</v>
      </c>
      <c r="L679">
        <v>15</v>
      </c>
      <c r="M679">
        <v>2</v>
      </c>
      <c r="N679">
        <v>0</v>
      </c>
      <c r="O679">
        <v>30</v>
      </c>
      <c r="P679">
        <v>13</v>
      </c>
      <c r="Q679">
        <v>0</v>
      </c>
      <c r="R679">
        <v>0</v>
      </c>
      <c r="S679">
        <v>0</v>
      </c>
      <c r="T679">
        <v>0</v>
      </c>
      <c r="V679">
        <v>5</v>
      </c>
      <c r="W679">
        <v>0</v>
      </c>
      <c r="AA679">
        <v>0</v>
      </c>
      <c r="AQ679">
        <v>132</v>
      </c>
      <c r="AR679">
        <v>2227.0500000000002</v>
      </c>
      <c r="AS679">
        <v>293970.59999999998</v>
      </c>
    </row>
    <row r="680" spans="1:45" hidden="1">
      <c r="A680" t="s">
        <v>7</v>
      </c>
      <c r="B680" t="s">
        <v>744</v>
      </c>
      <c r="C680" t="s">
        <v>162</v>
      </c>
      <c r="D680" t="s">
        <v>281</v>
      </c>
      <c r="E680" t="s">
        <v>138</v>
      </c>
      <c r="F680" t="s">
        <v>164</v>
      </c>
      <c r="G680" t="s">
        <v>165</v>
      </c>
      <c r="H680">
        <v>7</v>
      </c>
      <c r="I680">
        <v>0</v>
      </c>
      <c r="J680">
        <v>0</v>
      </c>
      <c r="K680">
        <v>0</v>
      </c>
      <c r="L680">
        <v>8</v>
      </c>
      <c r="M680">
        <v>0</v>
      </c>
      <c r="N680">
        <v>0</v>
      </c>
      <c r="O680">
        <v>15</v>
      </c>
      <c r="P680">
        <v>0</v>
      </c>
      <c r="Q680">
        <v>0</v>
      </c>
      <c r="R680">
        <v>0</v>
      </c>
      <c r="S680">
        <v>0</v>
      </c>
      <c r="T680">
        <v>0</v>
      </c>
      <c r="V680">
        <v>0</v>
      </c>
      <c r="W680">
        <v>0</v>
      </c>
      <c r="AA680">
        <v>0</v>
      </c>
      <c r="AQ680">
        <v>30</v>
      </c>
      <c r="AR680">
        <v>4242</v>
      </c>
      <c r="AS680">
        <v>127260</v>
      </c>
    </row>
    <row r="681" spans="1:45" hidden="1">
      <c r="A681" t="s">
        <v>7</v>
      </c>
      <c r="B681" t="s">
        <v>744</v>
      </c>
      <c r="C681" t="s">
        <v>668</v>
      </c>
      <c r="D681" t="s">
        <v>381</v>
      </c>
      <c r="E681" t="s">
        <v>138</v>
      </c>
      <c r="F681" t="s">
        <v>382</v>
      </c>
      <c r="G681" t="s">
        <v>383</v>
      </c>
      <c r="I681">
        <v>0</v>
      </c>
      <c r="J681">
        <v>0</v>
      </c>
      <c r="K681">
        <v>0</v>
      </c>
      <c r="L681">
        <v>0</v>
      </c>
      <c r="M681">
        <v>0</v>
      </c>
      <c r="N681">
        <v>0</v>
      </c>
      <c r="P681">
        <v>0</v>
      </c>
      <c r="Q681">
        <v>0</v>
      </c>
      <c r="R681">
        <v>0</v>
      </c>
      <c r="S681">
        <v>0</v>
      </c>
      <c r="T681">
        <v>0</v>
      </c>
      <c r="V681">
        <v>0</v>
      </c>
      <c r="W681">
        <v>0</v>
      </c>
      <c r="AA681">
        <v>0</v>
      </c>
      <c r="AQ681">
        <v>0</v>
      </c>
      <c r="AR681">
        <v>39.39</v>
      </c>
      <c r="AS681">
        <v>0</v>
      </c>
    </row>
    <row r="682" spans="1:45" hidden="1">
      <c r="A682" t="s">
        <v>7</v>
      </c>
      <c r="B682" t="s">
        <v>744</v>
      </c>
      <c r="C682" t="s">
        <v>166</v>
      </c>
      <c r="D682" t="s">
        <v>282</v>
      </c>
      <c r="E682" t="s">
        <v>138</v>
      </c>
      <c r="F682" t="s">
        <v>168</v>
      </c>
      <c r="G682" t="s">
        <v>169</v>
      </c>
      <c r="H682">
        <v>30807</v>
      </c>
      <c r="I682">
        <v>0</v>
      </c>
      <c r="J682">
        <v>0</v>
      </c>
      <c r="K682">
        <v>0</v>
      </c>
      <c r="L682">
        <v>10404</v>
      </c>
      <c r="M682">
        <v>4120</v>
      </c>
      <c r="N682">
        <v>0</v>
      </c>
      <c r="O682">
        <v>24476</v>
      </c>
      <c r="P682">
        <v>13587</v>
      </c>
      <c r="Q682">
        <v>0</v>
      </c>
      <c r="R682">
        <v>0</v>
      </c>
      <c r="S682">
        <v>0</v>
      </c>
      <c r="T682">
        <v>0</v>
      </c>
      <c r="V682">
        <v>2500</v>
      </c>
      <c r="W682">
        <v>0</v>
      </c>
      <c r="X682">
        <v>0</v>
      </c>
      <c r="AA682">
        <v>0</v>
      </c>
      <c r="AQ682">
        <v>85894</v>
      </c>
      <c r="AR682">
        <v>1.111</v>
      </c>
      <c r="AS682">
        <v>95428.233999999997</v>
      </c>
    </row>
    <row r="683" spans="1:45" hidden="1">
      <c r="A683" t="s">
        <v>7</v>
      </c>
      <c r="B683" t="s">
        <v>744</v>
      </c>
      <c r="C683" t="s">
        <v>669</v>
      </c>
      <c r="D683" t="s">
        <v>385</v>
      </c>
      <c r="E683" t="s">
        <v>138</v>
      </c>
      <c r="F683" t="s">
        <v>386</v>
      </c>
      <c r="G683" t="s">
        <v>387</v>
      </c>
      <c r="H683">
        <v>1</v>
      </c>
      <c r="I683">
        <v>0</v>
      </c>
      <c r="J683">
        <v>0</v>
      </c>
      <c r="K683">
        <v>1</v>
      </c>
      <c r="L683">
        <v>1</v>
      </c>
      <c r="M683">
        <v>1</v>
      </c>
      <c r="N683">
        <v>0</v>
      </c>
      <c r="O683">
        <v>1</v>
      </c>
      <c r="P683">
        <v>1</v>
      </c>
      <c r="Q683">
        <v>0</v>
      </c>
      <c r="R683">
        <v>0</v>
      </c>
      <c r="S683">
        <v>0</v>
      </c>
      <c r="T683">
        <v>0</v>
      </c>
      <c r="AQ683">
        <v>6</v>
      </c>
      <c r="AR683">
        <v>22270.5</v>
      </c>
      <c r="AS683">
        <v>133623</v>
      </c>
    </row>
    <row r="684" spans="1:45" hidden="1">
      <c r="A684" t="s">
        <v>7</v>
      </c>
      <c r="B684" t="s">
        <v>744</v>
      </c>
      <c r="C684" t="s">
        <v>670</v>
      </c>
      <c r="D684" t="s">
        <v>385</v>
      </c>
      <c r="E684" t="s">
        <v>138</v>
      </c>
      <c r="F684" t="s">
        <v>388</v>
      </c>
      <c r="G684" t="s">
        <v>389</v>
      </c>
      <c r="T684">
        <v>0</v>
      </c>
      <c r="AQ684">
        <v>0</v>
      </c>
      <c r="AR684">
        <v>0.22220000000000001</v>
      </c>
      <c r="AS684">
        <v>0</v>
      </c>
    </row>
    <row r="685" spans="1:45" hidden="1">
      <c r="A685" t="s">
        <v>7</v>
      </c>
      <c r="B685" t="s">
        <v>744</v>
      </c>
      <c r="C685" t="s">
        <v>671</v>
      </c>
      <c r="D685" t="s">
        <v>393</v>
      </c>
      <c r="E685" t="s">
        <v>138</v>
      </c>
      <c r="F685" t="s">
        <v>394</v>
      </c>
      <c r="G685" t="s">
        <v>395</v>
      </c>
      <c r="T685">
        <v>0</v>
      </c>
      <c r="AQ685">
        <v>0</v>
      </c>
      <c r="AR685">
        <v>99.99</v>
      </c>
      <c r="AS685">
        <v>0</v>
      </c>
    </row>
    <row r="686" spans="1:45" hidden="1">
      <c r="A686" t="s">
        <v>7</v>
      </c>
      <c r="B686" t="s">
        <v>744</v>
      </c>
      <c r="C686" t="s">
        <v>672</v>
      </c>
      <c r="D686" t="s">
        <v>393</v>
      </c>
      <c r="E686" t="s">
        <v>138</v>
      </c>
      <c r="F686" t="s">
        <v>396</v>
      </c>
      <c r="G686" t="s">
        <v>395</v>
      </c>
      <c r="T686">
        <v>0</v>
      </c>
      <c r="AQ686">
        <v>0</v>
      </c>
      <c r="AR686">
        <v>99.99</v>
      </c>
      <c r="AS686">
        <v>0</v>
      </c>
    </row>
    <row r="687" spans="1:45" hidden="1">
      <c r="A687" t="s">
        <v>7</v>
      </c>
      <c r="B687" t="s">
        <v>744</v>
      </c>
      <c r="C687" t="s">
        <v>673</v>
      </c>
      <c r="D687" t="s">
        <v>393</v>
      </c>
      <c r="E687" t="s">
        <v>138</v>
      </c>
      <c r="F687" t="s">
        <v>397</v>
      </c>
      <c r="G687" t="s">
        <v>395</v>
      </c>
      <c r="T687">
        <v>0</v>
      </c>
      <c r="AQ687">
        <v>0</v>
      </c>
      <c r="AR687">
        <v>66.66</v>
      </c>
      <c r="AS687">
        <v>0</v>
      </c>
    </row>
    <row r="688" spans="1:45" hidden="1">
      <c r="A688" t="s">
        <v>7</v>
      </c>
      <c r="B688" t="s">
        <v>744</v>
      </c>
      <c r="C688" t="s">
        <v>674</v>
      </c>
      <c r="D688" t="s">
        <v>287</v>
      </c>
      <c r="E688" t="s">
        <v>138</v>
      </c>
      <c r="F688" t="s">
        <v>402</v>
      </c>
      <c r="G688" t="s">
        <v>403</v>
      </c>
      <c r="T688">
        <v>0</v>
      </c>
      <c r="AQ688">
        <v>0</v>
      </c>
      <c r="AR688">
        <v>318150</v>
      </c>
      <c r="AS688">
        <v>0</v>
      </c>
    </row>
    <row r="689" spans="1:45" hidden="1">
      <c r="A689" t="s">
        <v>7</v>
      </c>
      <c r="B689" t="s">
        <v>744</v>
      </c>
      <c r="C689" t="s">
        <v>675</v>
      </c>
      <c r="D689" t="s">
        <v>390</v>
      </c>
      <c r="E689" t="s">
        <v>138</v>
      </c>
      <c r="F689" t="s">
        <v>391</v>
      </c>
      <c r="G689" t="s">
        <v>392</v>
      </c>
      <c r="T689">
        <v>0</v>
      </c>
      <c r="AQ689">
        <v>0</v>
      </c>
      <c r="AR689">
        <v>1336.23</v>
      </c>
      <c r="AS689">
        <v>0</v>
      </c>
    </row>
    <row r="690" spans="1:45" hidden="1">
      <c r="A690" t="s">
        <v>7</v>
      </c>
      <c r="B690" t="s">
        <v>744</v>
      </c>
      <c r="C690" t="s">
        <v>676</v>
      </c>
      <c r="D690" t="s">
        <v>398</v>
      </c>
      <c r="E690" t="s">
        <v>138</v>
      </c>
      <c r="F690" t="s">
        <v>399</v>
      </c>
      <c r="G690" t="s">
        <v>400</v>
      </c>
      <c r="T690">
        <v>0</v>
      </c>
      <c r="AQ690">
        <v>0</v>
      </c>
      <c r="AR690">
        <v>14475.825000000001</v>
      </c>
      <c r="AS690">
        <v>0</v>
      </c>
    </row>
    <row r="691" spans="1:45" hidden="1">
      <c r="A691" t="s">
        <v>7</v>
      </c>
      <c r="B691" t="s">
        <v>744</v>
      </c>
      <c r="C691" t="s">
        <v>170</v>
      </c>
      <c r="D691" t="s">
        <v>171</v>
      </c>
      <c r="E691" t="s">
        <v>172</v>
      </c>
      <c r="F691" t="s">
        <v>173</v>
      </c>
      <c r="G691" t="s">
        <v>152</v>
      </c>
      <c r="H691">
        <v>37276</v>
      </c>
      <c r="I691">
        <v>353</v>
      </c>
      <c r="J691">
        <v>621</v>
      </c>
      <c r="K691">
        <v>7802</v>
      </c>
      <c r="L691">
        <v>27255</v>
      </c>
      <c r="M691">
        <v>4120</v>
      </c>
      <c r="N691">
        <v>684</v>
      </c>
      <c r="O691">
        <v>34085</v>
      </c>
      <c r="P691">
        <v>21366</v>
      </c>
      <c r="Q691">
        <v>656</v>
      </c>
      <c r="R691">
        <v>359</v>
      </c>
      <c r="S691">
        <v>2124</v>
      </c>
      <c r="T691">
        <v>1234</v>
      </c>
      <c r="U691">
        <v>310</v>
      </c>
      <c r="V691">
        <v>2775</v>
      </c>
      <c r="W691">
        <v>294</v>
      </c>
      <c r="X691">
        <v>440</v>
      </c>
      <c r="Y691">
        <v>1385</v>
      </c>
      <c r="AA691">
        <v>757</v>
      </c>
      <c r="AB691">
        <v>828</v>
      </c>
      <c r="AC691">
        <v>238</v>
      </c>
      <c r="AD691">
        <v>179</v>
      </c>
      <c r="AQ691">
        <v>145141</v>
      </c>
      <c r="AR691">
        <v>1.2726</v>
      </c>
      <c r="AS691">
        <v>184706.43659999999</v>
      </c>
    </row>
    <row r="692" spans="1:45" hidden="1">
      <c r="A692" t="s">
        <v>7</v>
      </c>
      <c r="B692" t="s">
        <v>744</v>
      </c>
      <c r="C692" t="s">
        <v>677</v>
      </c>
      <c r="D692" t="s">
        <v>405</v>
      </c>
      <c r="E692" t="s">
        <v>172</v>
      </c>
      <c r="F692" t="s">
        <v>406</v>
      </c>
      <c r="G692" t="s">
        <v>407</v>
      </c>
      <c r="H692">
        <v>56</v>
      </c>
      <c r="I692">
        <v>8</v>
      </c>
      <c r="J692">
        <v>8</v>
      </c>
      <c r="K692">
        <v>10</v>
      </c>
      <c r="L692">
        <v>35</v>
      </c>
      <c r="M692">
        <v>0</v>
      </c>
      <c r="N692">
        <v>8</v>
      </c>
      <c r="O692">
        <v>56</v>
      </c>
      <c r="P692">
        <v>28</v>
      </c>
      <c r="Q692">
        <v>12</v>
      </c>
      <c r="R692">
        <v>11</v>
      </c>
      <c r="S692">
        <v>4</v>
      </c>
      <c r="T692">
        <v>10</v>
      </c>
      <c r="V692">
        <v>0</v>
      </c>
      <c r="W692">
        <v>0</v>
      </c>
      <c r="Y692">
        <v>8</v>
      </c>
      <c r="AA692">
        <v>17</v>
      </c>
      <c r="AB692">
        <v>0</v>
      </c>
      <c r="AQ692">
        <v>271</v>
      </c>
      <c r="AR692">
        <v>47.47</v>
      </c>
      <c r="AS692">
        <v>12864.37</v>
      </c>
    </row>
    <row r="693" spans="1:45" hidden="1">
      <c r="A693" t="s">
        <v>7</v>
      </c>
      <c r="B693" t="s">
        <v>744</v>
      </c>
      <c r="C693" t="s">
        <v>678</v>
      </c>
      <c r="D693" t="s">
        <v>408</v>
      </c>
      <c r="E693" t="s">
        <v>172</v>
      </c>
      <c r="F693" t="s">
        <v>409</v>
      </c>
      <c r="G693" t="s">
        <v>410</v>
      </c>
      <c r="I693">
        <v>0</v>
      </c>
      <c r="K693">
        <v>0</v>
      </c>
      <c r="L693">
        <v>0</v>
      </c>
      <c r="M693">
        <v>0</v>
      </c>
      <c r="N693">
        <v>0</v>
      </c>
      <c r="O693">
        <v>0</v>
      </c>
      <c r="P693">
        <v>0</v>
      </c>
      <c r="Q693">
        <v>0</v>
      </c>
      <c r="R693">
        <v>0</v>
      </c>
      <c r="S693">
        <v>0</v>
      </c>
      <c r="V693">
        <v>0</v>
      </c>
      <c r="W693">
        <v>0</v>
      </c>
      <c r="AB693">
        <v>0</v>
      </c>
      <c r="AQ693">
        <v>0</v>
      </c>
      <c r="AR693">
        <v>1.0605</v>
      </c>
      <c r="AS693">
        <v>0</v>
      </c>
    </row>
    <row r="694" spans="1:45" hidden="1">
      <c r="A694" t="s">
        <v>7</v>
      </c>
      <c r="B694" t="s">
        <v>744</v>
      </c>
      <c r="C694" t="s">
        <v>679</v>
      </c>
      <c r="D694" t="s">
        <v>411</v>
      </c>
      <c r="E694" t="s">
        <v>172</v>
      </c>
      <c r="F694" t="s">
        <v>412</v>
      </c>
      <c r="G694" t="s">
        <v>413</v>
      </c>
      <c r="H694">
        <v>30</v>
      </c>
      <c r="I694">
        <v>0</v>
      </c>
      <c r="J694">
        <v>0</v>
      </c>
      <c r="K694">
        <v>0</v>
      </c>
      <c r="L694">
        <v>71</v>
      </c>
      <c r="M694">
        <v>0</v>
      </c>
      <c r="N694">
        <v>0</v>
      </c>
      <c r="O694">
        <v>19</v>
      </c>
      <c r="P694">
        <v>2</v>
      </c>
      <c r="Q694">
        <v>0</v>
      </c>
      <c r="R694">
        <v>0</v>
      </c>
      <c r="S694">
        <v>0</v>
      </c>
      <c r="V694">
        <v>0</v>
      </c>
      <c r="AB694">
        <v>0</v>
      </c>
      <c r="AQ694">
        <v>122</v>
      </c>
      <c r="AR694">
        <v>37.1175</v>
      </c>
      <c r="AS694">
        <v>4528.335</v>
      </c>
    </row>
    <row r="695" spans="1:45" hidden="1">
      <c r="A695" t="s">
        <v>7</v>
      </c>
      <c r="B695" t="s">
        <v>744</v>
      </c>
      <c r="C695" t="s">
        <v>680</v>
      </c>
      <c r="D695" t="s">
        <v>414</v>
      </c>
      <c r="E695" t="s">
        <v>172</v>
      </c>
      <c r="F695" t="s">
        <v>415</v>
      </c>
      <c r="G695" t="s">
        <v>224</v>
      </c>
      <c r="I695">
        <v>0</v>
      </c>
      <c r="J695">
        <v>0</v>
      </c>
      <c r="K695">
        <v>0</v>
      </c>
      <c r="L695">
        <v>0</v>
      </c>
      <c r="M695">
        <v>0</v>
      </c>
      <c r="N695">
        <v>0</v>
      </c>
      <c r="O695">
        <v>1</v>
      </c>
      <c r="P695">
        <v>0</v>
      </c>
      <c r="Q695">
        <v>0</v>
      </c>
      <c r="R695">
        <v>0</v>
      </c>
      <c r="V695">
        <v>0</v>
      </c>
      <c r="AB695">
        <v>0</v>
      </c>
      <c r="AQ695">
        <v>1</v>
      </c>
      <c r="AR695">
        <v>42.42</v>
      </c>
      <c r="AS695">
        <v>42.42</v>
      </c>
    </row>
    <row r="696" spans="1:45" hidden="1">
      <c r="A696" t="s">
        <v>7</v>
      </c>
      <c r="B696" t="s">
        <v>744</v>
      </c>
      <c r="C696" t="s">
        <v>681</v>
      </c>
      <c r="D696" t="s">
        <v>416</v>
      </c>
      <c r="E696" t="s">
        <v>172</v>
      </c>
      <c r="F696" t="s">
        <v>417</v>
      </c>
      <c r="G696" t="s">
        <v>418</v>
      </c>
      <c r="H696">
        <v>2048</v>
      </c>
      <c r="I696">
        <v>0</v>
      </c>
      <c r="J696">
        <v>0</v>
      </c>
      <c r="K696">
        <v>3</v>
      </c>
      <c r="L696">
        <v>0</v>
      </c>
      <c r="M696">
        <v>0</v>
      </c>
      <c r="N696">
        <v>0</v>
      </c>
      <c r="O696">
        <v>3500</v>
      </c>
      <c r="P696">
        <v>1940</v>
      </c>
      <c r="Q696">
        <v>0</v>
      </c>
      <c r="S696">
        <v>200</v>
      </c>
      <c r="T696">
        <v>0</v>
      </c>
      <c r="Y696">
        <v>1385</v>
      </c>
      <c r="AB696">
        <v>0</v>
      </c>
      <c r="AQ696">
        <v>9076</v>
      </c>
      <c r="AR696">
        <v>0.32319999999999999</v>
      </c>
      <c r="AS696">
        <v>2933.3631999999998</v>
      </c>
    </row>
    <row r="697" spans="1:45" hidden="1">
      <c r="A697" t="s">
        <v>7</v>
      </c>
      <c r="B697" t="s">
        <v>744</v>
      </c>
      <c r="C697" t="s">
        <v>682</v>
      </c>
      <c r="D697" t="s">
        <v>419</v>
      </c>
      <c r="E697" t="s">
        <v>172</v>
      </c>
      <c r="F697" t="s">
        <v>420</v>
      </c>
      <c r="G697" t="s">
        <v>421</v>
      </c>
      <c r="H697">
        <v>21</v>
      </c>
      <c r="I697">
        <v>0</v>
      </c>
      <c r="J697">
        <v>0</v>
      </c>
      <c r="K697">
        <v>10</v>
      </c>
      <c r="L697">
        <v>51</v>
      </c>
      <c r="M697">
        <v>0</v>
      </c>
      <c r="N697">
        <v>0</v>
      </c>
      <c r="O697">
        <v>19</v>
      </c>
      <c r="P697">
        <v>9</v>
      </c>
      <c r="Q697">
        <v>0</v>
      </c>
      <c r="R697">
        <v>0</v>
      </c>
      <c r="S697">
        <v>1</v>
      </c>
      <c r="AB697">
        <v>0</v>
      </c>
      <c r="AQ697">
        <v>111</v>
      </c>
      <c r="AR697">
        <v>42.42</v>
      </c>
      <c r="AS697">
        <v>4708.62</v>
      </c>
    </row>
    <row r="698" spans="1:45" hidden="1">
      <c r="A698" t="s">
        <v>7</v>
      </c>
      <c r="B698" t="s">
        <v>744</v>
      </c>
      <c r="C698" t="s">
        <v>683</v>
      </c>
      <c r="D698" t="s">
        <v>422</v>
      </c>
      <c r="E698" t="s">
        <v>172</v>
      </c>
      <c r="F698" t="s">
        <v>423</v>
      </c>
      <c r="G698" t="s">
        <v>407</v>
      </c>
      <c r="I698">
        <v>0</v>
      </c>
      <c r="J698">
        <v>0</v>
      </c>
      <c r="K698">
        <v>0</v>
      </c>
      <c r="L698">
        <v>0</v>
      </c>
      <c r="M698">
        <v>0</v>
      </c>
      <c r="N698">
        <v>0</v>
      </c>
      <c r="O698">
        <v>0</v>
      </c>
      <c r="P698">
        <v>0</v>
      </c>
      <c r="Q698">
        <v>0</v>
      </c>
      <c r="R698">
        <v>0</v>
      </c>
      <c r="S698">
        <v>0</v>
      </c>
      <c r="V698">
        <v>0</v>
      </c>
      <c r="AB698">
        <v>0</v>
      </c>
      <c r="AQ698">
        <v>0</v>
      </c>
      <c r="AR698">
        <v>47.47</v>
      </c>
      <c r="AS698">
        <v>0</v>
      </c>
    </row>
    <row r="699" spans="1:45" hidden="1">
      <c r="A699" t="s">
        <v>7</v>
      </c>
      <c r="B699" t="s">
        <v>744</v>
      </c>
      <c r="C699" t="s">
        <v>684</v>
      </c>
      <c r="D699" t="s">
        <v>427</v>
      </c>
      <c r="E699" t="s">
        <v>172</v>
      </c>
      <c r="F699" t="s">
        <v>428</v>
      </c>
      <c r="G699" t="s">
        <v>429</v>
      </c>
      <c r="H699">
        <v>6</v>
      </c>
      <c r="I699">
        <v>0</v>
      </c>
      <c r="J699">
        <v>0</v>
      </c>
      <c r="K699">
        <v>1</v>
      </c>
      <c r="L699">
        <v>2</v>
      </c>
      <c r="M699">
        <v>4</v>
      </c>
      <c r="N699">
        <v>0</v>
      </c>
      <c r="O699">
        <v>4</v>
      </c>
      <c r="P699">
        <v>2</v>
      </c>
      <c r="Q699">
        <v>0</v>
      </c>
      <c r="R699">
        <v>0</v>
      </c>
      <c r="S699">
        <v>0</v>
      </c>
      <c r="V699">
        <v>0</v>
      </c>
      <c r="AB699">
        <v>0</v>
      </c>
      <c r="AQ699">
        <v>19</v>
      </c>
      <c r="AR699">
        <v>636.29999999999995</v>
      </c>
      <c r="AS699">
        <v>12089.7</v>
      </c>
    </row>
    <row r="700" spans="1:45" hidden="1">
      <c r="A700" t="s">
        <v>7</v>
      </c>
      <c r="B700" t="s">
        <v>744</v>
      </c>
      <c r="C700" t="s">
        <v>174</v>
      </c>
      <c r="D700" t="s">
        <v>175</v>
      </c>
      <c r="E700" t="s">
        <v>172</v>
      </c>
      <c r="F700" t="s">
        <v>176</v>
      </c>
      <c r="G700" t="s">
        <v>177</v>
      </c>
      <c r="H700">
        <v>8</v>
      </c>
      <c r="I700">
        <v>0</v>
      </c>
      <c r="J700">
        <v>0</v>
      </c>
      <c r="K700">
        <v>1</v>
      </c>
      <c r="L700">
        <v>1</v>
      </c>
      <c r="M700">
        <v>0</v>
      </c>
      <c r="N700">
        <v>0</v>
      </c>
      <c r="O700">
        <v>5</v>
      </c>
      <c r="P700">
        <v>2</v>
      </c>
      <c r="Q700">
        <v>0</v>
      </c>
      <c r="R700">
        <v>0</v>
      </c>
      <c r="S700">
        <v>0</v>
      </c>
      <c r="V700">
        <v>0</v>
      </c>
      <c r="AB700">
        <v>0</v>
      </c>
      <c r="AQ700">
        <v>17</v>
      </c>
      <c r="AR700">
        <v>424.2</v>
      </c>
      <c r="AS700">
        <v>7211.4</v>
      </c>
    </row>
    <row r="701" spans="1:45" hidden="1">
      <c r="A701" t="s">
        <v>7</v>
      </c>
      <c r="B701" t="s">
        <v>744</v>
      </c>
      <c r="C701" t="s">
        <v>685</v>
      </c>
      <c r="D701" t="s">
        <v>430</v>
      </c>
      <c r="E701" t="s">
        <v>172</v>
      </c>
      <c r="F701" t="s">
        <v>433</v>
      </c>
      <c r="G701" t="s">
        <v>432</v>
      </c>
      <c r="H701">
        <v>1</v>
      </c>
      <c r="I701">
        <v>0</v>
      </c>
      <c r="J701">
        <v>0</v>
      </c>
      <c r="K701">
        <v>1</v>
      </c>
      <c r="L701">
        <v>0</v>
      </c>
      <c r="M701">
        <v>0</v>
      </c>
      <c r="N701">
        <v>0</v>
      </c>
      <c r="O701">
        <v>5</v>
      </c>
      <c r="P701">
        <v>2</v>
      </c>
      <c r="Q701">
        <v>0</v>
      </c>
      <c r="S701">
        <v>0</v>
      </c>
      <c r="V701">
        <v>0</v>
      </c>
      <c r="AB701">
        <v>0</v>
      </c>
      <c r="AQ701">
        <v>9</v>
      </c>
      <c r="AR701">
        <v>1908.9</v>
      </c>
      <c r="AS701">
        <v>17180.099999999999</v>
      </c>
    </row>
    <row r="702" spans="1:45" hidden="1">
      <c r="A702" t="s">
        <v>7</v>
      </c>
      <c r="B702" t="s">
        <v>744</v>
      </c>
      <c r="C702" t="s">
        <v>686</v>
      </c>
      <c r="D702" t="s">
        <v>430</v>
      </c>
      <c r="E702" t="s">
        <v>172</v>
      </c>
      <c r="F702" t="s">
        <v>431</v>
      </c>
      <c r="G702" t="s">
        <v>432</v>
      </c>
      <c r="I702">
        <v>0</v>
      </c>
      <c r="J702">
        <v>0</v>
      </c>
      <c r="K702">
        <v>0</v>
      </c>
      <c r="L702">
        <v>0</v>
      </c>
      <c r="M702">
        <v>0</v>
      </c>
      <c r="N702">
        <v>0</v>
      </c>
      <c r="O702">
        <v>0</v>
      </c>
      <c r="P702">
        <v>0</v>
      </c>
      <c r="Q702">
        <v>0</v>
      </c>
      <c r="R702">
        <v>0</v>
      </c>
      <c r="S702">
        <v>0</v>
      </c>
      <c r="V702">
        <v>0</v>
      </c>
      <c r="X702">
        <v>1</v>
      </c>
      <c r="AB702">
        <v>0</v>
      </c>
      <c r="AQ702">
        <v>1</v>
      </c>
      <c r="AR702">
        <v>2121</v>
      </c>
      <c r="AS702">
        <v>2121</v>
      </c>
    </row>
    <row r="703" spans="1:45" hidden="1">
      <c r="A703" t="s">
        <v>7</v>
      </c>
      <c r="B703" t="s">
        <v>744</v>
      </c>
      <c r="C703" t="s">
        <v>687</v>
      </c>
      <c r="D703" t="s">
        <v>430</v>
      </c>
      <c r="E703" t="s">
        <v>172</v>
      </c>
      <c r="F703" t="s">
        <v>438</v>
      </c>
      <c r="G703" t="s">
        <v>432</v>
      </c>
      <c r="I703">
        <v>0</v>
      </c>
      <c r="J703">
        <v>0</v>
      </c>
      <c r="K703">
        <v>0</v>
      </c>
      <c r="L703">
        <v>0</v>
      </c>
      <c r="M703">
        <v>0</v>
      </c>
      <c r="N703">
        <v>0</v>
      </c>
      <c r="O703">
        <v>0</v>
      </c>
      <c r="P703">
        <v>0</v>
      </c>
      <c r="Q703">
        <v>0</v>
      </c>
      <c r="R703">
        <v>0</v>
      </c>
      <c r="S703">
        <v>0</v>
      </c>
      <c r="V703">
        <v>0</v>
      </c>
      <c r="AB703">
        <v>0</v>
      </c>
      <c r="AQ703">
        <v>0</v>
      </c>
      <c r="AR703">
        <v>2439.15</v>
      </c>
      <c r="AS703">
        <v>0</v>
      </c>
    </row>
    <row r="704" spans="1:45" hidden="1">
      <c r="A704" t="s">
        <v>7</v>
      </c>
      <c r="B704" t="s">
        <v>744</v>
      </c>
      <c r="C704" t="s">
        <v>688</v>
      </c>
      <c r="D704" t="s">
        <v>430</v>
      </c>
      <c r="E704" t="s">
        <v>172</v>
      </c>
      <c r="F704" t="s">
        <v>434</v>
      </c>
      <c r="G704" t="s">
        <v>432</v>
      </c>
      <c r="H704">
        <v>3</v>
      </c>
      <c r="I704">
        <v>0</v>
      </c>
      <c r="J704">
        <v>0</v>
      </c>
      <c r="K704">
        <v>0</v>
      </c>
      <c r="L704">
        <v>1</v>
      </c>
      <c r="M704">
        <v>0</v>
      </c>
      <c r="N704">
        <v>0</v>
      </c>
      <c r="O704">
        <v>0</v>
      </c>
      <c r="P704">
        <v>0</v>
      </c>
      <c r="Q704">
        <v>0</v>
      </c>
      <c r="R704">
        <v>0</v>
      </c>
      <c r="S704">
        <v>0</v>
      </c>
      <c r="V704">
        <v>0</v>
      </c>
      <c r="AB704">
        <v>0</v>
      </c>
      <c r="AQ704">
        <v>4</v>
      </c>
      <c r="AR704">
        <v>2651.25</v>
      </c>
      <c r="AS704">
        <v>10605</v>
      </c>
    </row>
    <row r="705" spans="1:45" hidden="1">
      <c r="A705" t="s">
        <v>7</v>
      </c>
      <c r="B705" t="s">
        <v>744</v>
      </c>
      <c r="C705" t="s">
        <v>645</v>
      </c>
      <c r="D705" t="s">
        <v>435</v>
      </c>
      <c r="E705" t="s">
        <v>172</v>
      </c>
      <c r="F705" t="s">
        <v>436</v>
      </c>
      <c r="G705" t="s">
        <v>437</v>
      </c>
      <c r="I705">
        <v>0</v>
      </c>
      <c r="J705">
        <v>0</v>
      </c>
      <c r="K705">
        <v>0</v>
      </c>
      <c r="L705">
        <v>0</v>
      </c>
      <c r="M705">
        <v>0</v>
      </c>
      <c r="N705">
        <v>0</v>
      </c>
      <c r="O705">
        <v>0</v>
      </c>
      <c r="P705">
        <v>0</v>
      </c>
      <c r="Q705">
        <v>0</v>
      </c>
      <c r="R705">
        <v>0</v>
      </c>
      <c r="S705">
        <v>0</v>
      </c>
      <c r="V705">
        <v>0</v>
      </c>
      <c r="AB705">
        <v>0</v>
      </c>
      <c r="AQ705">
        <v>0</v>
      </c>
      <c r="AR705">
        <v>0.28000000000000003</v>
      </c>
    </row>
    <row r="706" spans="1:45" hidden="1">
      <c r="A706" t="s">
        <v>7</v>
      </c>
      <c r="B706" t="s">
        <v>744</v>
      </c>
      <c r="C706" t="s">
        <v>689</v>
      </c>
      <c r="D706" t="s">
        <v>439</v>
      </c>
      <c r="E706" t="s">
        <v>172</v>
      </c>
      <c r="F706" t="s">
        <v>690</v>
      </c>
      <c r="G706" t="s">
        <v>441</v>
      </c>
      <c r="H706">
        <v>1</v>
      </c>
      <c r="I706">
        <v>0</v>
      </c>
      <c r="J706">
        <v>0</v>
      </c>
      <c r="K706">
        <v>1</v>
      </c>
      <c r="L706">
        <v>0</v>
      </c>
      <c r="M706">
        <v>0</v>
      </c>
      <c r="N706">
        <v>0</v>
      </c>
      <c r="O706">
        <v>2</v>
      </c>
      <c r="P706">
        <v>0</v>
      </c>
      <c r="Q706">
        <v>0</v>
      </c>
      <c r="R706">
        <v>0</v>
      </c>
      <c r="S706">
        <v>0</v>
      </c>
      <c r="V706">
        <v>0</v>
      </c>
      <c r="AB706">
        <v>0</v>
      </c>
      <c r="AQ706">
        <v>4</v>
      </c>
      <c r="AR706">
        <v>318.14999999999998</v>
      </c>
      <c r="AS706">
        <v>1272.5999999999999</v>
      </c>
    </row>
    <row r="707" spans="1:45" hidden="1">
      <c r="A707" t="s">
        <v>7</v>
      </c>
      <c r="B707" t="s">
        <v>744</v>
      </c>
      <c r="C707" t="s">
        <v>691</v>
      </c>
      <c r="D707" t="s">
        <v>439</v>
      </c>
      <c r="E707" t="s">
        <v>172</v>
      </c>
      <c r="F707" t="s">
        <v>442</v>
      </c>
      <c r="G707" t="s">
        <v>441</v>
      </c>
      <c r="H707">
        <v>8</v>
      </c>
      <c r="I707">
        <v>0</v>
      </c>
      <c r="J707">
        <v>0</v>
      </c>
      <c r="K707">
        <v>0</v>
      </c>
      <c r="L707">
        <v>12</v>
      </c>
      <c r="M707">
        <v>0</v>
      </c>
      <c r="N707">
        <v>0</v>
      </c>
      <c r="O707">
        <v>4</v>
      </c>
      <c r="P707">
        <v>2</v>
      </c>
      <c r="Q707">
        <v>0</v>
      </c>
      <c r="R707">
        <v>0</v>
      </c>
      <c r="S707">
        <v>0</v>
      </c>
      <c r="V707">
        <v>0</v>
      </c>
      <c r="W707">
        <v>1</v>
      </c>
      <c r="AB707">
        <v>0</v>
      </c>
      <c r="AQ707">
        <v>27</v>
      </c>
      <c r="AR707">
        <v>1272.5999999999999</v>
      </c>
      <c r="AS707">
        <v>34360.199999999997</v>
      </c>
    </row>
    <row r="708" spans="1:45" hidden="1">
      <c r="A708" t="s">
        <v>7</v>
      </c>
      <c r="B708" t="s">
        <v>744</v>
      </c>
      <c r="C708" t="s">
        <v>692</v>
      </c>
      <c r="D708" t="s">
        <v>439</v>
      </c>
      <c r="E708" t="s">
        <v>172</v>
      </c>
      <c r="F708" t="s">
        <v>443</v>
      </c>
      <c r="G708" t="s">
        <v>441</v>
      </c>
      <c r="I708">
        <v>0</v>
      </c>
      <c r="J708">
        <v>0</v>
      </c>
      <c r="K708">
        <v>0</v>
      </c>
      <c r="L708">
        <v>0</v>
      </c>
      <c r="M708">
        <v>0</v>
      </c>
      <c r="N708">
        <v>0</v>
      </c>
      <c r="O708">
        <v>2</v>
      </c>
      <c r="P708">
        <v>0</v>
      </c>
      <c r="Q708">
        <v>0</v>
      </c>
      <c r="R708">
        <v>0</v>
      </c>
      <c r="S708">
        <v>0</v>
      </c>
      <c r="V708">
        <v>0</v>
      </c>
      <c r="AB708">
        <v>0</v>
      </c>
      <c r="AQ708">
        <v>2</v>
      </c>
      <c r="AR708">
        <v>1590.75</v>
      </c>
      <c r="AS708">
        <v>3181.5</v>
      </c>
    </row>
    <row r="709" spans="1:45" hidden="1">
      <c r="A709" t="s">
        <v>7</v>
      </c>
      <c r="B709" t="s">
        <v>744</v>
      </c>
      <c r="C709" t="s">
        <v>693</v>
      </c>
      <c r="D709" t="s">
        <v>439</v>
      </c>
      <c r="E709" t="s">
        <v>172</v>
      </c>
      <c r="F709" t="s">
        <v>440</v>
      </c>
      <c r="G709" t="s">
        <v>441</v>
      </c>
      <c r="H709">
        <v>3</v>
      </c>
      <c r="I709">
        <v>0</v>
      </c>
      <c r="J709">
        <v>0</v>
      </c>
      <c r="K709">
        <v>0</v>
      </c>
      <c r="L709">
        <v>0</v>
      </c>
      <c r="M709">
        <v>0</v>
      </c>
      <c r="N709">
        <v>0</v>
      </c>
      <c r="O709">
        <v>0</v>
      </c>
      <c r="P709">
        <v>0</v>
      </c>
      <c r="Q709">
        <v>0</v>
      </c>
      <c r="R709">
        <v>0</v>
      </c>
      <c r="S709">
        <v>0</v>
      </c>
      <c r="V709">
        <v>0</v>
      </c>
      <c r="AB709">
        <v>0</v>
      </c>
      <c r="AQ709">
        <v>3</v>
      </c>
      <c r="AR709">
        <v>1590.75</v>
      </c>
      <c r="AS709">
        <v>4772.25</v>
      </c>
    </row>
    <row r="710" spans="1:45" hidden="1">
      <c r="A710" t="s">
        <v>7</v>
      </c>
      <c r="B710" t="s">
        <v>744</v>
      </c>
      <c r="C710" t="s">
        <v>694</v>
      </c>
      <c r="D710" t="s">
        <v>439</v>
      </c>
      <c r="E710" t="s">
        <v>172</v>
      </c>
      <c r="F710" t="s">
        <v>695</v>
      </c>
      <c r="G710" t="s">
        <v>441</v>
      </c>
      <c r="I710">
        <v>0</v>
      </c>
      <c r="J710">
        <v>0</v>
      </c>
      <c r="K710">
        <v>0</v>
      </c>
      <c r="L710">
        <v>0</v>
      </c>
      <c r="M710">
        <v>0</v>
      </c>
      <c r="N710">
        <v>0</v>
      </c>
      <c r="O710">
        <v>7</v>
      </c>
      <c r="P710">
        <v>0</v>
      </c>
      <c r="Q710">
        <v>0</v>
      </c>
      <c r="R710">
        <v>0</v>
      </c>
      <c r="S710">
        <v>0</v>
      </c>
      <c r="V710">
        <v>0</v>
      </c>
      <c r="AB710">
        <v>0</v>
      </c>
      <c r="AQ710">
        <v>7</v>
      </c>
      <c r="AR710">
        <v>1802.85</v>
      </c>
      <c r="AS710">
        <v>12619.95</v>
      </c>
    </row>
    <row r="711" spans="1:45" hidden="1">
      <c r="A711" t="s">
        <v>7</v>
      </c>
      <c r="B711" t="s">
        <v>744</v>
      </c>
      <c r="C711" t="s">
        <v>696</v>
      </c>
      <c r="D711" t="s">
        <v>446</v>
      </c>
      <c r="E711" t="s">
        <v>172</v>
      </c>
      <c r="F711" t="s">
        <v>447</v>
      </c>
      <c r="G711" t="s">
        <v>448</v>
      </c>
      <c r="I711">
        <v>0</v>
      </c>
      <c r="J711">
        <v>0</v>
      </c>
      <c r="K711">
        <v>0</v>
      </c>
      <c r="L711">
        <v>0</v>
      </c>
      <c r="M711">
        <v>0</v>
      </c>
      <c r="N711">
        <v>0</v>
      </c>
      <c r="O711">
        <v>0</v>
      </c>
      <c r="P711">
        <v>0</v>
      </c>
      <c r="Q711">
        <v>0</v>
      </c>
      <c r="R711">
        <v>0</v>
      </c>
      <c r="S711">
        <v>0</v>
      </c>
      <c r="AQ711">
        <v>0</v>
      </c>
      <c r="AR711">
        <v>10.605</v>
      </c>
      <c r="AS711">
        <v>0</v>
      </c>
    </row>
    <row r="712" spans="1:45" hidden="1">
      <c r="A712" t="s">
        <v>7</v>
      </c>
      <c r="B712" t="s">
        <v>744</v>
      </c>
      <c r="C712" t="s">
        <v>178</v>
      </c>
      <c r="D712" t="s">
        <v>179</v>
      </c>
      <c r="E712" t="s">
        <v>172</v>
      </c>
      <c r="F712" t="s">
        <v>180</v>
      </c>
      <c r="G712" t="s">
        <v>181</v>
      </c>
      <c r="H712">
        <v>355</v>
      </c>
      <c r="I712">
        <v>0</v>
      </c>
      <c r="J712">
        <v>0</v>
      </c>
      <c r="K712">
        <v>0</v>
      </c>
      <c r="L712">
        <v>247</v>
      </c>
      <c r="M712">
        <v>41</v>
      </c>
      <c r="N712">
        <v>8</v>
      </c>
      <c r="O712">
        <v>356</v>
      </c>
      <c r="P712">
        <v>143</v>
      </c>
      <c r="Q712">
        <v>0</v>
      </c>
      <c r="R712">
        <v>0</v>
      </c>
      <c r="S712">
        <v>0</v>
      </c>
      <c r="T712">
        <v>10</v>
      </c>
      <c r="U712">
        <v>4</v>
      </c>
      <c r="V712">
        <v>29</v>
      </c>
      <c r="W712">
        <v>0</v>
      </c>
      <c r="AC712">
        <v>5</v>
      </c>
      <c r="AD712">
        <v>3</v>
      </c>
      <c r="AQ712">
        <v>1201</v>
      </c>
      <c r="AR712">
        <v>106.05</v>
      </c>
      <c r="AS712">
        <v>127366.05</v>
      </c>
    </row>
    <row r="713" spans="1:45" hidden="1">
      <c r="A713" t="s">
        <v>7</v>
      </c>
      <c r="B713" t="s">
        <v>744</v>
      </c>
      <c r="C713" t="s">
        <v>182</v>
      </c>
      <c r="D713" t="s">
        <v>179</v>
      </c>
      <c r="E713" t="s">
        <v>172</v>
      </c>
      <c r="F713" t="s">
        <v>183</v>
      </c>
      <c r="G713" t="s">
        <v>152</v>
      </c>
      <c r="H713">
        <v>37276</v>
      </c>
      <c r="I713">
        <v>353</v>
      </c>
      <c r="J713">
        <v>621</v>
      </c>
      <c r="K713">
        <v>7802</v>
      </c>
      <c r="L713">
        <v>27255</v>
      </c>
      <c r="M713">
        <v>4120</v>
      </c>
      <c r="N713">
        <v>684</v>
      </c>
      <c r="O713">
        <v>34085</v>
      </c>
      <c r="P713">
        <v>21366</v>
      </c>
      <c r="Q713">
        <v>656</v>
      </c>
      <c r="R713">
        <v>359</v>
      </c>
      <c r="S713">
        <v>2124</v>
      </c>
      <c r="T713">
        <v>1234</v>
      </c>
      <c r="U713">
        <v>310</v>
      </c>
      <c r="V713">
        <v>2775</v>
      </c>
      <c r="W713">
        <v>294</v>
      </c>
      <c r="X713">
        <v>440</v>
      </c>
      <c r="Y713">
        <v>1385</v>
      </c>
      <c r="AA713">
        <v>757</v>
      </c>
      <c r="AB713">
        <v>828</v>
      </c>
      <c r="AQ713">
        <v>144724</v>
      </c>
      <c r="AR713">
        <v>0.1515</v>
      </c>
      <c r="AS713">
        <v>21925.686000000002</v>
      </c>
    </row>
    <row r="714" spans="1:45" hidden="1">
      <c r="A714" t="s">
        <v>7</v>
      </c>
      <c r="B714" t="s">
        <v>744</v>
      </c>
      <c r="C714" t="s">
        <v>697</v>
      </c>
      <c r="D714" t="s">
        <v>449</v>
      </c>
      <c r="E714" t="s">
        <v>172</v>
      </c>
      <c r="F714" t="s">
        <v>450</v>
      </c>
      <c r="G714" t="s">
        <v>451</v>
      </c>
      <c r="H714">
        <v>1</v>
      </c>
      <c r="I714">
        <v>0</v>
      </c>
      <c r="J714">
        <v>0</v>
      </c>
      <c r="K714">
        <v>1</v>
      </c>
      <c r="L714">
        <v>2</v>
      </c>
      <c r="M714">
        <v>1</v>
      </c>
      <c r="N714">
        <v>0</v>
      </c>
      <c r="O714">
        <v>3</v>
      </c>
      <c r="P714">
        <v>1</v>
      </c>
      <c r="Q714">
        <v>0</v>
      </c>
      <c r="R714">
        <v>0</v>
      </c>
      <c r="S714">
        <v>0</v>
      </c>
      <c r="AQ714">
        <v>9</v>
      </c>
      <c r="AR714">
        <v>1908.9</v>
      </c>
      <c r="AS714">
        <v>17180.099999999999</v>
      </c>
    </row>
    <row r="715" spans="1:45" hidden="1">
      <c r="A715" t="s">
        <v>7</v>
      </c>
      <c r="B715" t="s">
        <v>744</v>
      </c>
      <c r="C715" t="s">
        <v>698</v>
      </c>
      <c r="D715" t="s">
        <v>424</v>
      </c>
      <c r="E715" t="s">
        <v>172</v>
      </c>
      <c r="F715" t="s">
        <v>425</v>
      </c>
      <c r="G715" t="s">
        <v>426</v>
      </c>
      <c r="N715">
        <v>1</v>
      </c>
      <c r="Q715">
        <v>1</v>
      </c>
      <c r="R715">
        <v>0</v>
      </c>
      <c r="AQ715">
        <v>2</v>
      </c>
      <c r="AR715">
        <v>132.5625</v>
      </c>
      <c r="AS715">
        <v>265.125</v>
      </c>
    </row>
    <row r="716" spans="1:45" hidden="1">
      <c r="A716" t="s">
        <v>7</v>
      </c>
      <c r="B716" t="s">
        <v>744</v>
      </c>
      <c r="C716" t="s">
        <v>699</v>
      </c>
      <c r="D716" t="s">
        <v>287</v>
      </c>
      <c r="E716" t="s">
        <v>172</v>
      </c>
      <c r="F716" t="s">
        <v>452</v>
      </c>
      <c r="G716" t="s">
        <v>453</v>
      </c>
      <c r="J716">
        <v>0</v>
      </c>
      <c r="K716">
        <v>0</v>
      </c>
      <c r="L716">
        <v>0</v>
      </c>
      <c r="M716">
        <v>0</v>
      </c>
      <c r="N716">
        <v>0</v>
      </c>
      <c r="P716">
        <v>0</v>
      </c>
      <c r="Q716">
        <v>0</v>
      </c>
      <c r="R716">
        <v>0</v>
      </c>
      <c r="AQ716">
        <v>0</v>
      </c>
      <c r="AR716">
        <v>3181.5</v>
      </c>
      <c r="AS716">
        <v>0</v>
      </c>
    </row>
    <row r="717" spans="1:45" hidden="1">
      <c r="A717" t="s">
        <v>7</v>
      </c>
      <c r="B717" t="s">
        <v>744</v>
      </c>
      <c r="C717" t="s">
        <v>700</v>
      </c>
      <c r="D717" t="s">
        <v>287</v>
      </c>
      <c r="E717" t="s">
        <v>172</v>
      </c>
      <c r="F717" t="s">
        <v>454</v>
      </c>
      <c r="G717" t="s">
        <v>455</v>
      </c>
      <c r="H717">
        <v>2</v>
      </c>
      <c r="K717">
        <v>1</v>
      </c>
      <c r="L717">
        <v>2</v>
      </c>
      <c r="M717">
        <v>1</v>
      </c>
      <c r="O717">
        <v>2</v>
      </c>
      <c r="P717">
        <v>1</v>
      </c>
      <c r="AQ717">
        <v>9</v>
      </c>
      <c r="AR717">
        <v>318150</v>
      </c>
      <c r="AS717">
        <v>2863350</v>
      </c>
    </row>
    <row r="718" spans="1:45" hidden="1">
      <c r="A718" t="s">
        <v>7</v>
      </c>
      <c r="B718" t="s">
        <v>744</v>
      </c>
      <c r="C718" t="s">
        <v>701</v>
      </c>
      <c r="D718" t="s">
        <v>287</v>
      </c>
      <c r="E718" t="s">
        <v>172</v>
      </c>
      <c r="F718" t="s">
        <v>456</v>
      </c>
      <c r="G718" t="s">
        <v>457</v>
      </c>
      <c r="H718">
        <v>1</v>
      </c>
      <c r="L718">
        <v>1</v>
      </c>
      <c r="O718">
        <v>1</v>
      </c>
      <c r="AQ718">
        <v>3</v>
      </c>
      <c r="AR718">
        <v>238612.5</v>
      </c>
      <c r="AS718">
        <v>715837.5</v>
      </c>
    </row>
    <row r="719" spans="1:45" hidden="1">
      <c r="A719" t="s">
        <v>7</v>
      </c>
      <c r="B719" t="s">
        <v>744</v>
      </c>
      <c r="C719" t="s">
        <v>184</v>
      </c>
      <c r="D719" t="s">
        <v>185</v>
      </c>
      <c r="E719" t="s">
        <v>186</v>
      </c>
      <c r="F719" t="s">
        <v>187</v>
      </c>
      <c r="G719" t="s">
        <v>188</v>
      </c>
      <c r="H719">
        <v>1</v>
      </c>
      <c r="I719">
        <v>0</v>
      </c>
      <c r="J719">
        <v>0</v>
      </c>
      <c r="K719">
        <v>1</v>
      </c>
      <c r="L719">
        <v>3</v>
      </c>
      <c r="M719">
        <v>0</v>
      </c>
      <c r="N719">
        <v>0</v>
      </c>
      <c r="O719">
        <v>5</v>
      </c>
      <c r="P719">
        <v>1</v>
      </c>
      <c r="Q719">
        <v>0</v>
      </c>
      <c r="AQ719">
        <v>11</v>
      </c>
      <c r="AR719">
        <v>2121</v>
      </c>
      <c r="AS719">
        <v>23331</v>
      </c>
    </row>
    <row r="720" spans="1:45" hidden="1">
      <c r="A720" t="s">
        <v>7</v>
      </c>
      <c r="B720" t="s">
        <v>744</v>
      </c>
      <c r="C720" t="s">
        <v>189</v>
      </c>
      <c r="D720" t="s">
        <v>190</v>
      </c>
      <c r="E720" t="s">
        <v>186</v>
      </c>
      <c r="F720" t="s">
        <v>191</v>
      </c>
      <c r="G720" t="s">
        <v>192</v>
      </c>
      <c r="H720">
        <v>5</v>
      </c>
      <c r="I720">
        <v>0</v>
      </c>
      <c r="J720">
        <v>0</v>
      </c>
      <c r="K720">
        <v>2</v>
      </c>
      <c r="L720">
        <v>3</v>
      </c>
      <c r="M720">
        <v>0</v>
      </c>
      <c r="N720">
        <v>0</v>
      </c>
      <c r="O720">
        <v>9</v>
      </c>
      <c r="P720">
        <v>9</v>
      </c>
      <c r="Q720">
        <v>0</v>
      </c>
      <c r="AQ720">
        <v>28</v>
      </c>
      <c r="AR720">
        <v>1060.5</v>
      </c>
      <c r="AS720">
        <v>29694</v>
      </c>
    </row>
    <row r="721" spans="1:45" hidden="1">
      <c r="A721" t="s">
        <v>7</v>
      </c>
      <c r="B721" t="s">
        <v>744</v>
      </c>
      <c r="C721" t="s">
        <v>702</v>
      </c>
      <c r="D721" t="s">
        <v>190</v>
      </c>
      <c r="E721" t="s">
        <v>186</v>
      </c>
      <c r="F721" t="s">
        <v>458</v>
      </c>
      <c r="G721" t="s">
        <v>459</v>
      </c>
      <c r="H721">
        <v>1</v>
      </c>
      <c r="J721">
        <v>0</v>
      </c>
      <c r="K721">
        <v>0</v>
      </c>
      <c r="L721">
        <v>1</v>
      </c>
      <c r="M721">
        <v>0</v>
      </c>
      <c r="N721">
        <v>0</v>
      </c>
      <c r="O721">
        <v>1</v>
      </c>
      <c r="P721">
        <v>0</v>
      </c>
      <c r="Q721">
        <v>0</v>
      </c>
      <c r="AQ721">
        <v>3</v>
      </c>
      <c r="AR721">
        <v>1590.75</v>
      </c>
      <c r="AS721">
        <v>4772.25</v>
      </c>
    </row>
    <row r="722" spans="1:45" hidden="1">
      <c r="A722" t="s">
        <v>7</v>
      </c>
      <c r="B722" t="s">
        <v>744</v>
      </c>
      <c r="C722" t="s">
        <v>193</v>
      </c>
      <c r="D722" t="s">
        <v>194</v>
      </c>
      <c r="E722" t="s">
        <v>186</v>
      </c>
      <c r="F722" t="s">
        <v>195</v>
      </c>
      <c r="G722" t="s">
        <v>152</v>
      </c>
      <c r="H722">
        <v>37276</v>
      </c>
      <c r="I722">
        <v>353</v>
      </c>
      <c r="J722">
        <v>621</v>
      </c>
      <c r="K722">
        <v>7802</v>
      </c>
      <c r="L722">
        <v>27255</v>
      </c>
      <c r="M722">
        <v>4120</v>
      </c>
      <c r="N722">
        <v>684</v>
      </c>
      <c r="O722">
        <v>34085</v>
      </c>
      <c r="P722">
        <v>21366</v>
      </c>
      <c r="Q722">
        <v>656</v>
      </c>
      <c r="R722">
        <v>359</v>
      </c>
      <c r="S722">
        <v>2124</v>
      </c>
      <c r="T722">
        <v>1234</v>
      </c>
      <c r="U722">
        <v>310</v>
      </c>
      <c r="V722">
        <v>2775</v>
      </c>
      <c r="W722">
        <v>294</v>
      </c>
      <c r="X722">
        <v>440</v>
      </c>
      <c r="Y722">
        <v>1385</v>
      </c>
      <c r="AA722">
        <v>757</v>
      </c>
      <c r="AB722">
        <v>974</v>
      </c>
      <c r="AC722">
        <v>238</v>
      </c>
      <c r="AD722">
        <v>179</v>
      </c>
      <c r="AQ722">
        <v>145287</v>
      </c>
      <c r="AR722">
        <v>0.63629999999999998</v>
      </c>
      <c r="AS722">
        <v>92446.118100000007</v>
      </c>
    </row>
    <row r="723" spans="1:45" hidden="1">
      <c r="A723" t="s">
        <v>7</v>
      </c>
      <c r="B723" t="s">
        <v>744</v>
      </c>
      <c r="C723" t="s">
        <v>197</v>
      </c>
      <c r="D723" t="s">
        <v>198</v>
      </c>
      <c r="E723" t="s">
        <v>186</v>
      </c>
      <c r="F723" t="s">
        <v>199</v>
      </c>
      <c r="G723" t="s">
        <v>200</v>
      </c>
      <c r="H723">
        <v>1</v>
      </c>
      <c r="I723">
        <v>0</v>
      </c>
      <c r="J723">
        <v>0</v>
      </c>
      <c r="K723">
        <v>1</v>
      </c>
      <c r="L723">
        <v>1</v>
      </c>
      <c r="M723">
        <v>1</v>
      </c>
      <c r="N723">
        <v>0</v>
      </c>
      <c r="O723">
        <v>1</v>
      </c>
      <c r="P723">
        <v>1</v>
      </c>
      <c r="Q723">
        <v>0</v>
      </c>
      <c r="S723">
        <v>0</v>
      </c>
      <c r="AQ723">
        <v>6</v>
      </c>
      <c r="AR723">
        <v>4984.3500000000004</v>
      </c>
      <c r="AS723">
        <v>29906.1</v>
      </c>
    </row>
    <row r="724" spans="1:45" hidden="1">
      <c r="A724" t="s">
        <v>7</v>
      </c>
      <c r="B724" t="s">
        <v>744</v>
      </c>
      <c r="C724" t="s">
        <v>201</v>
      </c>
      <c r="D724" t="s">
        <v>202</v>
      </c>
      <c r="E724" t="s">
        <v>186</v>
      </c>
      <c r="F724" t="s">
        <v>203</v>
      </c>
      <c r="G724" t="s">
        <v>204</v>
      </c>
      <c r="H724">
        <v>30</v>
      </c>
      <c r="I724">
        <v>0</v>
      </c>
      <c r="J724">
        <v>0</v>
      </c>
      <c r="K724">
        <v>20</v>
      </c>
      <c r="L724">
        <v>30</v>
      </c>
      <c r="M724">
        <v>20</v>
      </c>
      <c r="N724">
        <v>0</v>
      </c>
      <c r="O724">
        <v>30</v>
      </c>
      <c r="P724">
        <v>20</v>
      </c>
      <c r="Q724">
        <v>0</v>
      </c>
      <c r="S724">
        <v>0</v>
      </c>
      <c r="AQ724">
        <v>150</v>
      </c>
      <c r="AR724">
        <v>31.815000000000001</v>
      </c>
      <c r="AS724">
        <v>4772.25</v>
      </c>
    </row>
    <row r="725" spans="1:45" hidden="1">
      <c r="A725" t="s">
        <v>7</v>
      </c>
      <c r="B725" t="s">
        <v>744</v>
      </c>
      <c r="C725" t="s">
        <v>703</v>
      </c>
      <c r="D725" t="s">
        <v>460</v>
      </c>
      <c r="E725" t="s">
        <v>186</v>
      </c>
      <c r="F725" t="s">
        <v>461</v>
      </c>
      <c r="G725" t="s">
        <v>462</v>
      </c>
      <c r="H725">
        <v>1</v>
      </c>
      <c r="I725">
        <v>0</v>
      </c>
      <c r="J725">
        <v>0</v>
      </c>
      <c r="K725">
        <v>0</v>
      </c>
      <c r="L725">
        <v>1</v>
      </c>
      <c r="M725">
        <v>0</v>
      </c>
      <c r="N725">
        <v>0</v>
      </c>
      <c r="O725">
        <v>1</v>
      </c>
      <c r="P725">
        <v>0</v>
      </c>
      <c r="Q725">
        <v>0</v>
      </c>
      <c r="S725">
        <v>0</v>
      </c>
      <c r="AQ725">
        <v>3</v>
      </c>
      <c r="AR725">
        <v>15907.5</v>
      </c>
      <c r="AS725">
        <v>47722.5</v>
      </c>
    </row>
    <row r="726" spans="1:45" hidden="1">
      <c r="A726" t="s">
        <v>7</v>
      </c>
      <c r="B726" t="s">
        <v>744</v>
      </c>
      <c r="C726" t="s">
        <v>704</v>
      </c>
      <c r="D726" t="s">
        <v>468</v>
      </c>
      <c r="E726" t="s">
        <v>186</v>
      </c>
      <c r="F726" t="s">
        <v>469</v>
      </c>
      <c r="G726" t="s">
        <v>470</v>
      </c>
      <c r="I726">
        <v>0</v>
      </c>
      <c r="J726">
        <v>0</v>
      </c>
      <c r="K726">
        <v>0</v>
      </c>
      <c r="L726">
        <v>0</v>
      </c>
      <c r="M726">
        <v>0</v>
      </c>
      <c r="N726">
        <v>0</v>
      </c>
      <c r="O726">
        <v>0</v>
      </c>
      <c r="P726">
        <v>0</v>
      </c>
      <c r="Q726">
        <v>0</v>
      </c>
      <c r="S726">
        <v>0</v>
      </c>
      <c r="AQ726">
        <v>0</v>
      </c>
      <c r="AR726">
        <v>159.07499999999999</v>
      </c>
      <c r="AS726">
        <v>0</v>
      </c>
    </row>
    <row r="727" spans="1:45" hidden="1">
      <c r="A727" t="s">
        <v>7</v>
      </c>
      <c r="B727" t="s">
        <v>744</v>
      </c>
      <c r="C727" t="s">
        <v>705</v>
      </c>
      <c r="D727" t="s">
        <v>463</v>
      </c>
      <c r="E727" t="s">
        <v>186</v>
      </c>
      <c r="F727" t="s">
        <v>466</v>
      </c>
      <c r="G727" t="s">
        <v>467</v>
      </c>
      <c r="I727">
        <v>0</v>
      </c>
      <c r="K727">
        <v>0</v>
      </c>
      <c r="L727">
        <v>0</v>
      </c>
      <c r="M727">
        <v>0</v>
      </c>
      <c r="N727">
        <v>0</v>
      </c>
      <c r="O727">
        <v>0</v>
      </c>
      <c r="P727">
        <v>0</v>
      </c>
      <c r="Q727">
        <v>0</v>
      </c>
      <c r="S727">
        <v>0</v>
      </c>
      <c r="AQ727">
        <v>0</v>
      </c>
      <c r="AR727">
        <v>509.04</v>
      </c>
      <c r="AS727">
        <v>0</v>
      </c>
    </row>
    <row r="728" spans="1:45" hidden="1">
      <c r="A728" t="s">
        <v>7</v>
      </c>
      <c r="B728" t="s">
        <v>744</v>
      </c>
      <c r="C728" t="s">
        <v>706</v>
      </c>
      <c r="D728" t="s">
        <v>463</v>
      </c>
      <c r="E728" t="s">
        <v>186</v>
      </c>
      <c r="F728" t="s">
        <v>464</v>
      </c>
      <c r="G728" t="s">
        <v>465</v>
      </c>
      <c r="I728">
        <v>0</v>
      </c>
      <c r="J728">
        <v>0</v>
      </c>
      <c r="K728">
        <v>0</v>
      </c>
      <c r="L728">
        <v>0</v>
      </c>
      <c r="M728">
        <v>0</v>
      </c>
      <c r="N728">
        <v>0</v>
      </c>
      <c r="O728">
        <v>0</v>
      </c>
      <c r="P728">
        <v>0</v>
      </c>
      <c r="Q728">
        <v>0</v>
      </c>
      <c r="S728">
        <v>0</v>
      </c>
      <c r="AQ728">
        <v>0</v>
      </c>
      <c r="AR728">
        <v>1060.5</v>
      </c>
      <c r="AS728">
        <v>0</v>
      </c>
    </row>
    <row r="729" spans="1:45" hidden="1">
      <c r="A729" t="s">
        <v>7</v>
      </c>
      <c r="B729" t="s">
        <v>744</v>
      </c>
      <c r="C729" t="s">
        <v>707</v>
      </c>
      <c r="D729" t="s">
        <v>471</v>
      </c>
      <c r="E729" t="s">
        <v>186</v>
      </c>
      <c r="F729" t="s">
        <v>472</v>
      </c>
      <c r="G729" t="s">
        <v>473</v>
      </c>
      <c r="I729">
        <v>0</v>
      </c>
      <c r="J729">
        <v>0</v>
      </c>
      <c r="K729">
        <v>0</v>
      </c>
      <c r="L729">
        <v>0</v>
      </c>
      <c r="M729">
        <v>0</v>
      </c>
      <c r="N729">
        <v>0</v>
      </c>
      <c r="O729">
        <v>0</v>
      </c>
      <c r="P729">
        <v>0</v>
      </c>
      <c r="Q729">
        <v>0</v>
      </c>
      <c r="S729">
        <v>0</v>
      </c>
      <c r="AQ729">
        <v>0</v>
      </c>
      <c r="AR729">
        <v>15377.25</v>
      </c>
      <c r="AS729">
        <v>0</v>
      </c>
    </row>
    <row r="730" spans="1:45" hidden="1">
      <c r="A730" t="s">
        <v>7</v>
      </c>
      <c r="B730" t="s">
        <v>744</v>
      </c>
      <c r="C730" t="s">
        <v>205</v>
      </c>
      <c r="D730" t="s">
        <v>206</v>
      </c>
      <c r="E730" t="s">
        <v>207</v>
      </c>
      <c r="F730" t="s">
        <v>208</v>
      </c>
      <c r="G730" t="s">
        <v>209</v>
      </c>
      <c r="H730">
        <v>37276</v>
      </c>
      <c r="I730">
        <v>353</v>
      </c>
      <c r="J730">
        <v>621</v>
      </c>
      <c r="K730">
        <v>7802</v>
      </c>
      <c r="L730">
        <v>27255</v>
      </c>
      <c r="M730">
        <v>4120</v>
      </c>
      <c r="N730">
        <v>684</v>
      </c>
      <c r="O730">
        <v>34085</v>
      </c>
      <c r="P730">
        <v>21366</v>
      </c>
      <c r="Q730">
        <v>656</v>
      </c>
      <c r="R730">
        <v>359</v>
      </c>
      <c r="S730">
        <v>2124</v>
      </c>
      <c r="T730">
        <v>1234</v>
      </c>
      <c r="U730">
        <v>310</v>
      </c>
      <c r="V730">
        <v>2775</v>
      </c>
      <c r="W730">
        <v>294</v>
      </c>
      <c r="X730">
        <v>440</v>
      </c>
      <c r="Y730">
        <v>1385</v>
      </c>
      <c r="Z730">
        <v>93</v>
      </c>
      <c r="AA730">
        <v>757</v>
      </c>
      <c r="AB730">
        <v>828</v>
      </c>
      <c r="AC730">
        <v>238</v>
      </c>
      <c r="AD730">
        <v>179</v>
      </c>
      <c r="AQ730">
        <v>145234</v>
      </c>
      <c r="AR730">
        <v>0.16159999999999999</v>
      </c>
      <c r="AS730">
        <v>23469.814399999999</v>
      </c>
    </row>
    <row r="731" spans="1:45" hidden="1">
      <c r="A731" t="s">
        <v>7</v>
      </c>
      <c r="B731" t="s">
        <v>744</v>
      </c>
      <c r="C731" t="s">
        <v>210</v>
      </c>
      <c r="D731" t="s">
        <v>211</v>
      </c>
      <c r="E731" t="s">
        <v>207</v>
      </c>
      <c r="F731" t="s">
        <v>212</v>
      </c>
      <c r="G731" t="s">
        <v>209</v>
      </c>
      <c r="H731">
        <v>33348</v>
      </c>
      <c r="I731">
        <v>0</v>
      </c>
      <c r="J731">
        <v>621</v>
      </c>
      <c r="K731">
        <v>4000</v>
      </c>
      <c r="L731">
        <v>27255</v>
      </c>
      <c r="M731">
        <v>666</v>
      </c>
      <c r="N731">
        <v>0</v>
      </c>
      <c r="O731">
        <v>30100</v>
      </c>
      <c r="P731">
        <v>6515</v>
      </c>
      <c r="Q731">
        <v>10</v>
      </c>
      <c r="S731">
        <v>26</v>
      </c>
      <c r="Y731">
        <v>31</v>
      </c>
      <c r="AA731">
        <v>70</v>
      </c>
      <c r="AB731">
        <v>828</v>
      </c>
      <c r="AC731">
        <v>238</v>
      </c>
      <c r="AD731">
        <v>0</v>
      </c>
      <c r="AQ731">
        <v>103708</v>
      </c>
      <c r="AR731">
        <v>0.63629999999999998</v>
      </c>
      <c r="AS731">
        <v>65989.400399999999</v>
      </c>
    </row>
    <row r="732" spans="1:45" hidden="1">
      <c r="A732" t="s">
        <v>7</v>
      </c>
      <c r="B732" t="s">
        <v>744</v>
      </c>
      <c r="C732" t="s">
        <v>213</v>
      </c>
      <c r="D732" t="s">
        <v>214</v>
      </c>
      <c r="E732" t="s">
        <v>207</v>
      </c>
      <c r="F732" t="s">
        <v>215</v>
      </c>
      <c r="G732" t="s">
        <v>152</v>
      </c>
      <c r="H732">
        <v>8791</v>
      </c>
      <c r="I732">
        <v>58</v>
      </c>
      <c r="J732">
        <v>163</v>
      </c>
      <c r="K732">
        <v>1420</v>
      </c>
      <c r="L732">
        <v>3500</v>
      </c>
      <c r="M732">
        <v>928</v>
      </c>
      <c r="N732">
        <v>115</v>
      </c>
      <c r="O732">
        <v>10750</v>
      </c>
      <c r="P732">
        <v>5232</v>
      </c>
      <c r="Q732">
        <v>400</v>
      </c>
      <c r="R732">
        <v>90</v>
      </c>
      <c r="S732">
        <v>400</v>
      </c>
      <c r="T732">
        <v>390</v>
      </c>
      <c r="U732">
        <v>90</v>
      </c>
      <c r="V732">
        <v>740</v>
      </c>
      <c r="W732">
        <v>38</v>
      </c>
      <c r="X732">
        <v>180</v>
      </c>
      <c r="Y732">
        <v>180</v>
      </c>
      <c r="Z732">
        <v>33</v>
      </c>
      <c r="AA732">
        <v>180</v>
      </c>
      <c r="AB732">
        <v>103</v>
      </c>
      <c r="AC732">
        <v>23</v>
      </c>
      <c r="AD732">
        <v>53</v>
      </c>
      <c r="AQ732">
        <v>33857</v>
      </c>
      <c r="AR732">
        <v>0.32319999999999999</v>
      </c>
      <c r="AS732">
        <v>10942.582399999999</v>
      </c>
    </row>
    <row r="733" spans="1:45" hidden="1">
      <c r="A733" t="s">
        <v>7</v>
      </c>
      <c r="B733" t="s">
        <v>744</v>
      </c>
      <c r="C733" t="s">
        <v>255</v>
      </c>
      <c r="D733" t="s">
        <v>256</v>
      </c>
      <c r="E733" t="s">
        <v>207</v>
      </c>
      <c r="F733" t="s">
        <v>257</v>
      </c>
      <c r="G733" t="s">
        <v>258</v>
      </c>
      <c r="H733">
        <v>273</v>
      </c>
      <c r="O733">
        <v>386</v>
      </c>
      <c r="P733">
        <v>172</v>
      </c>
      <c r="AQ733">
        <v>831</v>
      </c>
      <c r="AR733">
        <v>31.815000000000001</v>
      </c>
      <c r="AS733">
        <v>26438.264999999999</v>
      </c>
    </row>
    <row r="734" spans="1:45" hidden="1">
      <c r="A734" t="s">
        <v>7</v>
      </c>
      <c r="B734" t="s">
        <v>744</v>
      </c>
      <c r="C734" t="s">
        <v>217</v>
      </c>
      <c r="D734" t="s">
        <v>218</v>
      </c>
      <c r="E734" t="s">
        <v>207</v>
      </c>
      <c r="F734" t="s">
        <v>219</v>
      </c>
      <c r="G734" t="s">
        <v>220</v>
      </c>
      <c r="H734">
        <v>447</v>
      </c>
      <c r="I734">
        <v>4</v>
      </c>
      <c r="J734">
        <v>7</v>
      </c>
      <c r="K734">
        <v>86</v>
      </c>
      <c r="L734">
        <v>245</v>
      </c>
      <c r="M734">
        <v>41</v>
      </c>
      <c r="N734">
        <v>3</v>
      </c>
      <c r="O734">
        <v>394</v>
      </c>
      <c r="P734">
        <v>170</v>
      </c>
      <c r="Q734">
        <v>7</v>
      </c>
      <c r="R734">
        <v>2</v>
      </c>
      <c r="S734">
        <v>12</v>
      </c>
      <c r="T734">
        <v>13</v>
      </c>
      <c r="U734">
        <v>1</v>
      </c>
      <c r="V734">
        <v>21</v>
      </c>
      <c r="W734">
        <v>5</v>
      </c>
      <c r="X734">
        <v>5</v>
      </c>
      <c r="Y734">
        <v>12</v>
      </c>
      <c r="Z734">
        <v>2</v>
      </c>
      <c r="AA734">
        <v>8</v>
      </c>
      <c r="AB734">
        <v>5</v>
      </c>
      <c r="AC734">
        <v>1</v>
      </c>
      <c r="AD734">
        <v>0</v>
      </c>
      <c r="AQ734">
        <v>1491</v>
      </c>
      <c r="AR734">
        <v>9.5950000000000006</v>
      </c>
      <c r="AS734">
        <v>14306.145</v>
      </c>
    </row>
    <row r="735" spans="1:45" hidden="1">
      <c r="A735" t="s">
        <v>7</v>
      </c>
      <c r="B735" t="s">
        <v>744</v>
      </c>
      <c r="C735" t="s">
        <v>708</v>
      </c>
      <c r="D735" t="s">
        <v>474</v>
      </c>
      <c r="E735" t="s">
        <v>207</v>
      </c>
      <c r="F735" t="s">
        <v>475</v>
      </c>
      <c r="G735" t="s">
        <v>476</v>
      </c>
      <c r="I735">
        <v>0</v>
      </c>
      <c r="J735">
        <v>0</v>
      </c>
      <c r="K735">
        <v>0</v>
      </c>
      <c r="M735">
        <v>0</v>
      </c>
      <c r="N735">
        <v>0</v>
      </c>
      <c r="O735">
        <v>20</v>
      </c>
      <c r="P735">
        <v>0</v>
      </c>
      <c r="Q735">
        <v>0</v>
      </c>
      <c r="R735">
        <v>0</v>
      </c>
      <c r="S735">
        <v>0</v>
      </c>
      <c r="AQ735">
        <v>20</v>
      </c>
      <c r="AR735">
        <v>79.790000000000006</v>
      </c>
      <c r="AS735">
        <v>1595.8</v>
      </c>
    </row>
    <row r="736" spans="1:45" hidden="1">
      <c r="A736" t="s">
        <v>7</v>
      </c>
      <c r="B736" t="s">
        <v>744</v>
      </c>
      <c r="C736" t="s">
        <v>709</v>
      </c>
      <c r="D736" t="s">
        <v>477</v>
      </c>
      <c r="E736" t="s">
        <v>207</v>
      </c>
      <c r="F736" t="s">
        <v>478</v>
      </c>
      <c r="G736" t="s">
        <v>479</v>
      </c>
      <c r="H736">
        <v>21</v>
      </c>
      <c r="I736">
        <v>0</v>
      </c>
      <c r="J736">
        <v>1</v>
      </c>
      <c r="K736">
        <v>10</v>
      </c>
      <c r="L736">
        <v>51</v>
      </c>
      <c r="M736">
        <v>0</v>
      </c>
      <c r="N736">
        <v>0</v>
      </c>
      <c r="O736">
        <v>19</v>
      </c>
      <c r="P736">
        <v>9</v>
      </c>
      <c r="Q736">
        <v>1</v>
      </c>
      <c r="R736">
        <v>1</v>
      </c>
      <c r="S736">
        <v>1</v>
      </c>
      <c r="AC736">
        <v>1</v>
      </c>
      <c r="AD736">
        <v>0</v>
      </c>
      <c r="AQ736">
        <v>115</v>
      </c>
      <c r="AR736">
        <v>2.121</v>
      </c>
      <c r="AS736">
        <v>243.91499999999999</v>
      </c>
    </row>
    <row r="737" spans="1:45" hidden="1">
      <c r="A737" t="s">
        <v>7</v>
      </c>
      <c r="B737" t="s">
        <v>744</v>
      </c>
      <c r="C737" t="s">
        <v>221</v>
      </c>
      <c r="D737" t="s">
        <v>222</v>
      </c>
      <c r="E737" t="s">
        <v>207</v>
      </c>
      <c r="F737" t="s">
        <v>223</v>
      </c>
      <c r="G737" t="s">
        <v>224</v>
      </c>
      <c r="H737">
        <v>2</v>
      </c>
      <c r="I737">
        <v>0</v>
      </c>
      <c r="J737">
        <v>0</v>
      </c>
      <c r="K737">
        <v>0</v>
      </c>
      <c r="L737">
        <v>1</v>
      </c>
      <c r="M737">
        <v>0</v>
      </c>
      <c r="N737">
        <v>0</v>
      </c>
      <c r="O737">
        <v>1</v>
      </c>
      <c r="P737">
        <v>1</v>
      </c>
      <c r="Q737">
        <v>0</v>
      </c>
      <c r="R737">
        <v>0</v>
      </c>
      <c r="S737">
        <v>0</v>
      </c>
      <c r="AQ737">
        <v>5</v>
      </c>
      <c r="AR737">
        <v>2651.25</v>
      </c>
      <c r="AS737">
        <v>13256.25</v>
      </c>
    </row>
    <row r="738" spans="1:45" hidden="1">
      <c r="A738" t="s">
        <v>7</v>
      </c>
      <c r="B738" t="s">
        <v>744</v>
      </c>
      <c r="C738" t="s">
        <v>225</v>
      </c>
      <c r="D738" t="s">
        <v>226</v>
      </c>
      <c r="E738" t="s">
        <v>207</v>
      </c>
      <c r="F738" t="s">
        <v>227</v>
      </c>
      <c r="G738" t="s">
        <v>228</v>
      </c>
      <c r="H738">
        <v>93</v>
      </c>
      <c r="I738">
        <v>1</v>
      </c>
      <c r="J738">
        <v>0</v>
      </c>
      <c r="K738">
        <v>3</v>
      </c>
      <c r="L738">
        <v>107</v>
      </c>
      <c r="M738">
        <v>0</v>
      </c>
      <c r="N738">
        <v>7</v>
      </c>
      <c r="O738">
        <v>176</v>
      </c>
      <c r="P738">
        <v>78</v>
      </c>
      <c r="Q738">
        <v>0</v>
      </c>
      <c r="R738">
        <v>0</v>
      </c>
      <c r="S738">
        <v>4</v>
      </c>
      <c r="T738">
        <v>13</v>
      </c>
      <c r="V738">
        <v>17</v>
      </c>
      <c r="W738">
        <v>0</v>
      </c>
      <c r="X738">
        <v>0</v>
      </c>
      <c r="AC738">
        <v>0</v>
      </c>
      <c r="AD738">
        <v>0</v>
      </c>
      <c r="AQ738">
        <v>499</v>
      </c>
      <c r="AR738">
        <v>21.21</v>
      </c>
      <c r="AS738">
        <v>10583.79</v>
      </c>
    </row>
    <row r="739" spans="1:45" hidden="1">
      <c r="A739" t="s">
        <v>7</v>
      </c>
      <c r="B739" t="s">
        <v>744</v>
      </c>
      <c r="C739" t="s">
        <v>710</v>
      </c>
      <c r="D739" t="s">
        <v>480</v>
      </c>
      <c r="E739" t="s">
        <v>207</v>
      </c>
      <c r="F739" t="s">
        <v>481</v>
      </c>
      <c r="G739" t="s">
        <v>482</v>
      </c>
      <c r="I739">
        <v>0</v>
      </c>
      <c r="J739">
        <v>0</v>
      </c>
      <c r="K739">
        <v>0</v>
      </c>
      <c r="L739">
        <v>1</v>
      </c>
      <c r="M739">
        <v>0</v>
      </c>
      <c r="N739">
        <v>0</v>
      </c>
      <c r="O739">
        <v>0</v>
      </c>
      <c r="P739">
        <v>0</v>
      </c>
      <c r="Q739">
        <v>0</v>
      </c>
      <c r="R739">
        <v>0</v>
      </c>
      <c r="S739">
        <v>0</v>
      </c>
      <c r="AQ739">
        <v>1</v>
      </c>
      <c r="AR739">
        <v>1272.5999999999999</v>
      </c>
      <c r="AS739">
        <v>1272.5999999999999</v>
      </c>
    </row>
    <row r="740" spans="1:45" hidden="1">
      <c r="A740" t="s">
        <v>7</v>
      </c>
      <c r="B740" t="s">
        <v>744</v>
      </c>
      <c r="C740" t="s">
        <v>711</v>
      </c>
      <c r="D740" t="s">
        <v>488</v>
      </c>
      <c r="E740" t="s">
        <v>207</v>
      </c>
      <c r="F740" t="s">
        <v>489</v>
      </c>
      <c r="G740" t="s">
        <v>490</v>
      </c>
      <c r="I740">
        <v>0</v>
      </c>
      <c r="J740">
        <v>0</v>
      </c>
      <c r="K740">
        <v>0</v>
      </c>
      <c r="L740">
        <v>0</v>
      </c>
      <c r="M740">
        <v>0</v>
      </c>
      <c r="N740">
        <v>0</v>
      </c>
      <c r="O740">
        <v>0</v>
      </c>
      <c r="P740">
        <v>0</v>
      </c>
      <c r="Q740">
        <v>0</v>
      </c>
      <c r="R740">
        <v>0</v>
      </c>
      <c r="S740">
        <v>0</v>
      </c>
      <c r="AQ740">
        <v>0</v>
      </c>
      <c r="AR740">
        <v>0.5353</v>
      </c>
      <c r="AS740">
        <v>0</v>
      </c>
    </row>
    <row r="741" spans="1:45" hidden="1">
      <c r="A741" t="s">
        <v>7</v>
      </c>
      <c r="B741" t="s">
        <v>744</v>
      </c>
      <c r="C741" t="s">
        <v>712</v>
      </c>
      <c r="D741" t="s">
        <v>483</v>
      </c>
      <c r="E741" t="s">
        <v>207</v>
      </c>
      <c r="F741" t="s">
        <v>484</v>
      </c>
      <c r="G741" t="s">
        <v>392</v>
      </c>
      <c r="I741">
        <v>0</v>
      </c>
      <c r="J741">
        <v>0</v>
      </c>
      <c r="K741">
        <v>0</v>
      </c>
      <c r="L741">
        <v>0</v>
      </c>
      <c r="M741">
        <v>0</v>
      </c>
      <c r="N741">
        <v>0</v>
      </c>
      <c r="O741">
        <v>0</v>
      </c>
      <c r="P741">
        <v>0</v>
      </c>
      <c r="Q741">
        <v>0</v>
      </c>
      <c r="R741">
        <v>0</v>
      </c>
      <c r="S741">
        <v>0</v>
      </c>
      <c r="AQ741">
        <v>0</v>
      </c>
      <c r="AR741">
        <v>2121</v>
      </c>
      <c r="AS741">
        <v>0</v>
      </c>
    </row>
    <row r="742" spans="1:45" hidden="1">
      <c r="A742" t="s">
        <v>7</v>
      </c>
      <c r="B742" t="s">
        <v>744</v>
      </c>
      <c r="C742" t="s">
        <v>713</v>
      </c>
      <c r="D742" t="s">
        <v>485</v>
      </c>
      <c r="E742" t="s">
        <v>207</v>
      </c>
      <c r="F742" t="s">
        <v>486</v>
      </c>
      <c r="G742" t="s">
        <v>487</v>
      </c>
      <c r="I742">
        <v>0</v>
      </c>
      <c r="J742">
        <v>0</v>
      </c>
      <c r="K742">
        <v>0</v>
      </c>
      <c r="L742">
        <v>0</v>
      </c>
      <c r="M742">
        <v>0</v>
      </c>
      <c r="N742">
        <v>0</v>
      </c>
      <c r="O742">
        <v>6</v>
      </c>
      <c r="P742">
        <v>0</v>
      </c>
      <c r="Q742">
        <v>0</v>
      </c>
      <c r="R742">
        <v>0</v>
      </c>
      <c r="S742">
        <v>0</v>
      </c>
      <c r="AQ742">
        <v>6</v>
      </c>
      <c r="AR742">
        <v>265.125</v>
      </c>
      <c r="AS742">
        <v>1590.75</v>
      </c>
    </row>
    <row r="743" spans="1:45" hidden="1">
      <c r="A743" t="s">
        <v>7</v>
      </c>
      <c r="B743" t="s">
        <v>744</v>
      </c>
      <c r="C743" t="s">
        <v>229</v>
      </c>
      <c r="D743" t="s">
        <v>230</v>
      </c>
      <c r="E743" t="s">
        <v>231</v>
      </c>
      <c r="F743" t="s">
        <v>232</v>
      </c>
      <c r="G743" t="s">
        <v>233</v>
      </c>
      <c r="H743">
        <v>6</v>
      </c>
      <c r="I743">
        <v>0</v>
      </c>
      <c r="J743">
        <v>0</v>
      </c>
      <c r="K743">
        <v>2</v>
      </c>
      <c r="L743">
        <v>5</v>
      </c>
      <c r="M743">
        <v>4</v>
      </c>
      <c r="N743">
        <v>1</v>
      </c>
      <c r="O743">
        <v>9</v>
      </c>
      <c r="P743">
        <v>11</v>
      </c>
      <c r="Q743">
        <v>1</v>
      </c>
      <c r="R743">
        <v>0</v>
      </c>
      <c r="S743">
        <v>0</v>
      </c>
      <c r="AQ743">
        <v>39</v>
      </c>
      <c r="AR743">
        <v>1484.7</v>
      </c>
      <c r="AS743">
        <v>57903.3</v>
      </c>
    </row>
    <row r="744" spans="1:45" hidden="1">
      <c r="A744" t="s">
        <v>7</v>
      </c>
      <c r="B744" t="s">
        <v>744</v>
      </c>
      <c r="C744" t="s">
        <v>234</v>
      </c>
      <c r="D744" t="s">
        <v>230</v>
      </c>
      <c r="E744" t="s">
        <v>231</v>
      </c>
      <c r="F744" t="s">
        <v>285</v>
      </c>
      <c r="G744" t="s">
        <v>233</v>
      </c>
      <c r="H744">
        <v>14</v>
      </c>
      <c r="I744">
        <v>0</v>
      </c>
      <c r="J744">
        <v>0</v>
      </c>
      <c r="K744">
        <v>2</v>
      </c>
      <c r="L744">
        <v>13</v>
      </c>
      <c r="M744">
        <v>0</v>
      </c>
      <c r="N744">
        <v>0</v>
      </c>
      <c r="O744">
        <v>10</v>
      </c>
      <c r="P744">
        <v>0</v>
      </c>
      <c r="Q744">
        <v>0</v>
      </c>
      <c r="R744">
        <v>0</v>
      </c>
      <c r="S744">
        <v>0</v>
      </c>
      <c r="AQ744">
        <v>39</v>
      </c>
      <c r="AR744">
        <v>1696.8</v>
      </c>
      <c r="AS744">
        <v>66175.199999999997</v>
      </c>
    </row>
    <row r="745" spans="1:45" hidden="1">
      <c r="A745" t="s">
        <v>7</v>
      </c>
      <c r="B745" t="s">
        <v>744</v>
      </c>
      <c r="C745" t="s">
        <v>714</v>
      </c>
      <c r="D745" t="s">
        <v>230</v>
      </c>
      <c r="E745" t="s">
        <v>231</v>
      </c>
      <c r="F745" t="s">
        <v>491</v>
      </c>
      <c r="G745" t="s">
        <v>233</v>
      </c>
      <c r="I745">
        <v>0</v>
      </c>
      <c r="J745">
        <v>0</v>
      </c>
      <c r="K745">
        <v>0</v>
      </c>
      <c r="L745">
        <v>0</v>
      </c>
      <c r="M745">
        <v>0</v>
      </c>
      <c r="N745">
        <v>0</v>
      </c>
      <c r="O745">
        <v>0</v>
      </c>
      <c r="P745">
        <v>0</v>
      </c>
      <c r="Q745">
        <v>0</v>
      </c>
      <c r="R745">
        <v>0</v>
      </c>
      <c r="S745">
        <v>0</v>
      </c>
      <c r="AQ745">
        <v>0</v>
      </c>
      <c r="AR745">
        <v>1908.9</v>
      </c>
      <c r="AS745">
        <v>0</v>
      </c>
    </row>
    <row r="746" spans="1:45" hidden="1">
      <c r="A746" t="s">
        <v>7</v>
      </c>
      <c r="B746" t="s">
        <v>744</v>
      </c>
      <c r="C746" t="s">
        <v>236</v>
      </c>
      <c r="D746" t="s">
        <v>237</v>
      </c>
      <c r="E746" t="s">
        <v>231</v>
      </c>
      <c r="F746" t="s">
        <v>238</v>
      </c>
      <c r="G746" t="s">
        <v>239</v>
      </c>
      <c r="J746">
        <v>0</v>
      </c>
      <c r="K746">
        <v>0</v>
      </c>
      <c r="L746">
        <v>0</v>
      </c>
      <c r="M746">
        <v>0</v>
      </c>
      <c r="N746">
        <v>0</v>
      </c>
      <c r="O746">
        <v>0</v>
      </c>
      <c r="P746">
        <v>0</v>
      </c>
      <c r="Q746">
        <v>0</v>
      </c>
      <c r="R746">
        <v>0</v>
      </c>
      <c r="S746">
        <v>0</v>
      </c>
      <c r="AQ746">
        <v>0</v>
      </c>
      <c r="AR746">
        <v>265.125</v>
      </c>
      <c r="AS746">
        <v>0</v>
      </c>
    </row>
    <row r="747" spans="1:45" hidden="1">
      <c r="A747" t="s">
        <v>7</v>
      </c>
      <c r="B747" t="s">
        <v>744</v>
      </c>
      <c r="C747" t="s">
        <v>715</v>
      </c>
      <c r="D747" t="s">
        <v>492</v>
      </c>
      <c r="E747" t="s">
        <v>231</v>
      </c>
      <c r="F747" t="s">
        <v>493</v>
      </c>
      <c r="G747" t="s">
        <v>494</v>
      </c>
      <c r="I747">
        <v>0</v>
      </c>
      <c r="J747">
        <v>0</v>
      </c>
      <c r="K747">
        <v>0</v>
      </c>
      <c r="L747">
        <v>0</v>
      </c>
      <c r="M747">
        <v>0</v>
      </c>
      <c r="N747">
        <v>0</v>
      </c>
      <c r="O747">
        <v>0</v>
      </c>
      <c r="P747">
        <v>0</v>
      </c>
      <c r="Q747">
        <v>0</v>
      </c>
      <c r="R747">
        <v>0</v>
      </c>
      <c r="S747">
        <v>0</v>
      </c>
      <c r="AQ747">
        <v>0</v>
      </c>
      <c r="AR747">
        <v>742.35</v>
      </c>
      <c r="AS747">
        <v>0</v>
      </c>
    </row>
    <row r="748" spans="1:45" hidden="1">
      <c r="A748" t="s">
        <v>7</v>
      </c>
      <c r="B748" t="s">
        <v>744</v>
      </c>
      <c r="C748" t="s">
        <v>716</v>
      </c>
      <c r="D748" t="s">
        <v>495</v>
      </c>
      <c r="E748" t="s">
        <v>231</v>
      </c>
      <c r="F748" t="s">
        <v>496</v>
      </c>
      <c r="G748" t="s">
        <v>497</v>
      </c>
      <c r="I748">
        <v>0</v>
      </c>
      <c r="J748">
        <v>0</v>
      </c>
      <c r="K748">
        <v>0</v>
      </c>
      <c r="L748">
        <v>0</v>
      </c>
      <c r="M748">
        <v>0</v>
      </c>
      <c r="N748">
        <v>0</v>
      </c>
      <c r="O748">
        <v>0</v>
      </c>
      <c r="P748">
        <v>0</v>
      </c>
      <c r="Q748">
        <v>0</v>
      </c>
      <c r="R748">
        <v>0</v>
      </c>
      <c r="S748">
        <v>0</v>
      </c>
      <c r="AQ748">
        <v>0</v>
      </c>
      <c r="AR748">
        <v>848.4</v>
      </c>
      <c r="AS748">
        <v>0</v>
      </c>
    </row>
    <row r="749" spans="1:45" hidden="1">
      <c r="A749" t="s">
        <v>7</v>
      </c>
      <c r="B749" t="s">
        <v>744</v>
      </c>
      <c r="C749" t="s">
        <v>717</v>
      </c>
      <c r="D749" t="s">
        <v>498</v>
      </c>
      <c r="E749" t="s">
        <v>242</v>
      </c>
      <c r="F749" t="s">
        <v>499</v>
      </c>
      <c r="G749" t="s">
        <v>500</v>
      </c>
      <c r="H749">
        <v>43854</v>
      </c>
      <c r="I749">
        <v>415</v>
      </c>
      <c r="J749">
        <v>730</v>
      </c>
      <c r="K749">
        <v>9179</v>
      </c>
      <c r="L749">
        <v>32065</v>
      </c>
      <c r="M749">
        <v>4487</v>
      </c>
      <c r="N749">
        <v>805</v>
      </c>
      <c r="O749">
        <v>40100</v>
      </c>
      <c r="P749">
        <v>25135</v>
      </c>
      <c r="Q749">
        <v>772</v>
      </c>
      <c r="R749">
        <v>423</v>
      </c>
      <c r="S749">
        <v>2499</v>
      </c>
      <c r="T749">
        <v>1142</v>
      </c>
      <c r="U749">
        <v>381</v>
      </c>
      <c r="V749">
        <v>3264</v>
      </c>
      <c r="W749">
        <v>346</v>
      </c>
      <c r="X749">
        <v>440</v>
      </c>
      <c r="Y749">
        <v>1630</v>
      </c>
      <c r="AA749">
        <v>514.52</v>
      </c>
      <c r="AB749">
        <v>974</v>
      </c>
      <c r="AC749">
        <v>280</v>
      </c>
      <c r="AD749">
        <v>210</v>
      </c>
      <c r="AQ749">
        <v>169645.52</v>
      </c>
      <c r="AR749">
        <v>1.4341999999999999</v>
      </c>
      <c r="AS749">
        <v>243305.604784</v>
      </c>
    </row>
    <row r="750" spans="1:45" hidden="1">
      <c r="A750" t="s">
        <v>7</v>
      </c>
      <c r="B750" t="s">
        <v>744</v>
      </c>
      <c r="C750" t="s">
        <v>718</v>
      </c>
      <c r="D750" t="s">
        <v>504</v>
      </c>
      <c r="E750" t="s">
        <v>242</v>
      </c>
      <c r="F750" t="s">
        <v>505</v>
      </c>
      <c r="G750" t="s">
        <v>506</v>
      </c>
      <c r="AQ750">
        <v>0</v>
      </c>
      <c r="AR750">
        <v>0.84840000000000004</v>
      </c>
      <c r="AS750">
        <v>0</v>
      </c>
    </row>
    <row r="751" spans="1:45" hidden="1">
      <c r="A751" t="s">
        <v>7</v>
      </c>
      <c r="B751" t="s">
        <v>744</v>
      </c>
      <c r="C751" t="s">
        <v>719</v>
      </c>
      <c r="D751" t="s">
        <v>501</v>
      </c>
      <c r="E751" t="s">
        <v>242</v>
      </c>
      <c r="F751" t="s">
        <v>502</v>
      </c>
      <c r="G751" t="s">
        <v>503</v>
      </c>
      <c r="AQ751">
        <v>0</v>
      </c>
      <c r="AR751">
        <v>1272.5999999999999</v>
      </c>
      <c r="AS751">
        <v>0</v>
      </c>
    </row>
    <row r="752" spans="1:45" hidden="1">
      <c r="A752" t="s">
        <v>7</v>
      </c>
      <c r="B752" t="s">
        <v>744</v>
      </c>
      <c r="C752" t="s">
        <v>720</v>
      </c>
      <c r="D752" t="s">
        <v>518</v>
      </c>
      <c r="E752" t="s">
        <v>242</v>
      </c>
      <c r="F752" t="s">
        <v>519</v>
      </c>
      <c r="G752" t="s">
        <v>517</v>
      </c>
      <c r="AQ752">
        <v>0</v>
      </c>
      <c r="AR752">
        <v>3181.5</v>
      </c>
      <c r="AS752">
        <v>0</v>
      </c>
    </row>
    <row r="753" spans="1:45" hidden="1">
      <c r="A753" t="s">
        <v>7</v>
      </c>
      <c r="B753" t="s">
        <v>744</v>
      </c>
      <c r="C753" t="s">
        <v>721</v>
      </c>
      <c r="D753" t="s">
        <v>520</v>
      </c>
      <c r="E753" t="s">
        <v>242</v>
      </c>
      <c r="F753" t="s">
        <v>521</v>
      </c>
      <c r="G753" t="s">
        <v>517</v>
      </c>
      <c r="AQ753">
        <v>0</v>
      </c>
      <c r="AR753">
        <v>2651.25</v>
      </c>
      <c r="AS753">
        <v>0</v>
      </c>
    </row>
    <row r="754" spans="1:45" hidden="1">
      <c r="A754" t="s">
        <v>7</v>
      </c>
      <c r="B754" t="s">
        <v>744</v>
      </c>
      <c r="C754" t="s">
        <v>240</v>
      </c>
      <c r="D754" t="s">
        <v>241</v>
      </c>
      <c r="E754" t="s">
        <v>242</v>
      </c>
      <c r="F754" t="s">
        <v>243</v>
      </c>
      <c r="G754" t="s">
        <v>244</v>
      </c>
      <c r="H754">
        <v>1</v>
      </c>
      <c r="I754">
        <v>0</v>
      </c>
      <c r="J754">
        <v>0</v>
      </c>
      <c r="K754">
        <v>0</v>
      </c>
      <c r="L754">
        <v>1</v>
      </c>
      <c r="M754">
        <v>0</v>
      </c>
      <c r="N754">
        <v>0</v>
      </c>
      <c r="O754">
        <v>3</v>
      </c>
      <c r="P754">
        <v>2</v>
      </c>
      <c r="Q754">
        <v>0</v>
      </c>
      <c r="R754">
        <v>0</v>
      </c>
      <c r="S754">
        <v>0</v>
      </c>
      <c r="T754">
        <v>0</v>
      </c>
      <c r="V754">
        <v>0</v>
      </c>
      <c r="W754">
        <v>0</v>
      </c>
      <c r="X754">
        <v>0</v>
      </c>
      <c r="Y754">
        <v>0</v>
      </c>
      <c r="Z754">
        <v>0</v>
      </c>
      <c r="AB754">
        <v>0</v>
      </c>
      <c r="AD754">
        <v>0</v>
      </c>
      <c r="AQ754">
        <v>7</v>
      </c>
      <c r="AR754">
        <v>318.14999999999998</v>
      </c>
      <c r="AS754">
        <v>2227.0500000000002</v>
      </c>
    </row>
    <row r="755" spans="1:45" hidden="1">
      <c r="A755" t="s">
        <v>7</v>
      </c>
      <c r="B755" t="s">
        <v>744</v>
      </c>
      <c r="C755" t="s">
        <v>245</v>
      </c>
      <c r="D755" t="s">
        <v>246</v>
      </c>
      <c r="E755" t="s">
        <v>242</v>
      </c>
      <c r="F755" t="s">
        <v>247</v>
      </c>
      <c r="G755" t="s">
        <v>248</v>
      </c>
      <c r="H755">
        <v>12</v>
      </c>
      <c r="I755">
        <v>0</v>
      </c>
      <c r="J755">
        <v>0</v>
      </c>
      <c r="K755">
        <v>1</v>
      </c>
      <c r="L755">
        <v>4</v>
      </c>
      <c r="M755">
        <v>1</v>
      </c>
      <c r="N755">
        <v>1</v>
      </c>
      <c r="O755">
        <v>26</v>
      </c>
      <c r="P755">
        <v>4</v>
      </c>
      <c r="Q755">
        <v>1</v>
      </c>
      <c r="R755">
        <v>0</v>
      </c>
      <c r="S755">
        <v>1</v>
      </c>
      <c r="T755">
        <v>0</v>
      </c>
      <c r="V755">
        <v>0</v>
      </c>
      <c r="W755">
        <v>0</v>
      </c>
      <c r="X755">
        <v>1</v>
      </c>
      <c r="Y755">
        <v>0</v>
      </c>
      <c r="Z755">
        <v>0</v>
      </c>
      <c r="AB755">
        <v>0</v>
      </c>
      <c r="AD755">
        <v>0</v>
      </c>
      <c r="AQ755">
        <v>52</v>
      </c>
      <c r="AR755">
        <v>265.125</v>
      </c>
      <c r="AS755">
        <v>13786.5</v>
      </c>
    </row>
    <row r="756" spans="1:45" hidden="1">
      <c r="A756" t="s">
        <v>7</v>
      </c>
      <c r="B756" t="s">
        <v>744</v>
      </c>
      <c r="C756" t="s">
        <v>259</v>
      </c>
      <c r="D756" t="s">
        <v>260</v>
      </c>
      <c r="E756" t="s">
        <v>242</v>
      </c>
      <c r="F756" t="s">
        <v>261</v>
      </c>
      <c r="G756" t="s">
        <v>262</v>
      </c>
      <c r="AQ756">
        <v>0</v>
      </c>
      <c r="AR756">
        <v>318.14999999999998</v>
      </c>
      <c r="AS756">
        <v>0</v>
      </c>
    </row>
    <row r="757" spans="1:45" hidden="1">
      <c r="A757" t="s">
        <v>7</v>
      </c>
      <c r="B757" t="s">
        <v>744</v>
      </c>
      <c r="C757" t="s">
        <v>722</v>
      </c>
      <c r="D757" t="s">
        <v>507</v>
      </c>
      <c r="E757" t="s">
        <v>242</v>
      </c>
      <c r="F757" t="s">
        <v>508</v>
      </c>
      <c r="G757" t="s">
        <v>509</v>
      </c>
      <c r="AQ757">
        <v>0</v>
      </c>
      <c r="AR757">
        <v>2121</v>
      </c>
      <c r="AS757">
        <v>0</v>
      </c>
    </row>
    <row r="758" spans="1:45" hidden="1">
      <c r="A758" t="s">
        <v>7</v>
      </c>
      <c r="B758" t="s">
        <v>744</v>
      </c>
      <c r="C758" t="s">
        <v>723</v>
      </c>
      <c r="D758" t="s">
        <v>510</v>
      </c>
      <c r="E758" t="s">
        <v>242</v>
      </c>
      <c r="F758" t="s">
        <v>511</v>
      </c>
      <c r="G758" t="s">
        <v>512</v>
      </c>
      <c r="AQ758">
        <v>0</v>
      </c>
      <c r="AR758">
        <v>212.1</v>
      </c>
      <c r="AS758">
        <v>0</v>
      </c>
    </row>
    <row r="759" spans="1:45" hidden="1">
      <c r="A759" t="s">
        <v>7</v>
      </c>
      <c r="B759" t="s">
        <v>744</v>
      </c>
      <c r="C759" t="s">
        <v>724</v>
      </c>
      <c r="D759" t="s">
        <v>526</v>
      </c>
      <c r="E759" t="s">
        <v>242</v>
      </c>
      <c r="F759" t="s">
        <v>527</v>
      </c>
      <c r="G759" t="s">
        <v>528</v>
      </c>
      <c r="AQ759">
        <v>0</v>
      </c>
      <c r="AR759">
        <v>0.42420000000000002</v>
      </c>
      <c r="AS759">
        <v>0</v>
      </c>
    </row>
    <row r="760" spans="1:45" hidden="1">
      <c r="A760" t="s">
        <v>7</v>
      </c>
      <c r="B760" t="s">
        <v>744</v>
      </c>
      <c r="C760" t="s">
        <v>725</v>
      </c>
      <c r="D760" t="s">
        <v>529</v>
      </c>
      <c r="E760" t="s">
        <v>242</v>
      </c>
      <c r="F760" t="s">
        <v>530</v>
      </c>
      <c r="G760" t="s">
        <v>531</v>
      </c>
      <c r="AQ760">
        <v>0</v>
      </c>
      <c r="AR760">
        <v>212.1</v>
      </c>
      <c r="AS760">
        <v>0</v>
      </c>
    </row>
    <row r="761" spans="1:45" hidden="1">
      <c r="A761" t="s">
        <v>7</v>
      </c>
      <c r="B761" t="s">
        <v>744</v>
      </c>
      <c r="C761" t="s">
        <v>726</v>
      </c>
      <c r="D761" t="s">
        <v>532</v>
      </c>
      <c r="E761" t="s">
        <v>242</v>
      </c>
      <c r="F761" t="s">
        <v>533</v>
      </c>
      <c r="G761" t="s">
        <v>534</v>
      </c>
      <c r="AQ761">
        <v>0</v>
      </c>
      <c r="AR761">
        <v>21.21</v>
      </c>
      <c r="AS761">
        <v>0</v>
      </c>
    </row>
    <row r="762" spans="1:45" hidden="1">
      <c r="A762" t="s">
        <v>7</v>
      </c>
      <c r="B762" t="s">
        <v>744</v>
      </c>
      <c r="C762" t="s">
        <v>727</v>
      </c>
      <c r="D762" t="s">
        <v>287</v>
      </c>
      <c r="E762" t="s">
        <v>242</v>
      </c>
      <c r="F762" t="s">
        <v>537</v>
      </c>
      <c r="G762" t="s">
        <v>538</v>
      </c>
      <c r="AQ762">
        <v>0</v>
      </c>
      <c r="AR762">
        <v>127.26</v>
      </c>
      <c r="AS762">
        <v>0</v>
      </c>
    </row>
    <row r="763" spans="1:45" hidden="1">
      <c r="A763" t="s">
        <v>7</v>
      </c>
      <c r="B763" t="s">
        <v>744</v>
      </c>
      <c r="C763" t="s">
        <v>728</v>
      </c>
      <c r="D763" t="s">
        <v>287</v>
      </c>
      <c r="E763" t="s">
        <v>242</v>
      </c>
      <c r="F763" t="s">
        <v>535</v>
      </c>
      <c r="G763" t="s">
        <v>536</v>
      </c>
      <c r="AQ763">
        <v>0</v>
      </c>
      <c r="AR763">
        <v>424.2</v>
      </c>
      <c r="AS763">
        <v>0</v>
      </c>
    </row>
    <row r="764" spans="1:45" hidden="1">
      <c r="A764" t="s">
        <v>7</v>
      </c>
      <c r="B764" t="s">
        <v>744</v>
      </c>
      <c r="C764" t="s">
        <v>729</v>
      </c>
      <c r="D764" t="s">
        <v>522</v>
      </c>
      <c r="E764" t="s">
        <v>242</v>
      </c>
      <c r="F764" t="s">
        <v>523</v>
      </c>
      <c r="G764" t="s">
        <v>517</v>
      </c>
      <c r="AQ764">
        <v>0</v>
      </c>
      <c r="AR764">
        <v>1272.5999999999999</v>
      </c>
      <c r="AS764">
        <v>0</v>
      </c>
    </row>
    <row r="765" spans="1:45" hidden="1">
      <c r="A765" t="s">
        <v>7</v>
      </c>
      <c r="B765" t="s">
        <v>744</v>
      </c>
      <c r="C765" t="s">
        <v>730</v>
      </c>
      <c r="D765" t="s">
        <v>515</v>
      </c>
      <c r="E765" t="s">
        <v>242</v>
      </c>
      <c r="F765" t="s">
        <v>516</v>
      </c>
      <c r="G765" t="s">
        <v>517</v>
      </c>
      <c r="AQ765">
        <v>0</v>
      </c>
      <c r="AR765">
        <v>3181.5</v>
      </c>
      <c r="AS765">
        <v>0</v>
      </c>
    </row>
    <row r="766" spans="1:45" hidden="1">
      <c r="A766" t="s">
        <v>7</v>
      </c>
      <c r="B766" t="s">
        <v>744</v>
      </c>
      <c r="C766" t="s">
        <v>731</v>
      </c>
      <c r="D766" t="s">
        <v>524</v>
      </c>
      <c r="E766" t="s">
        <v>242</v>
      </c>
      <c r="F766" t="s">
        <v>525</v>
      </c>
      <c r="G766" t="s">
        <v>503</v>
      </c>
      <c r="AQ766">
        <v>0</v>
      </c>
      <c r="AR766">
        <v>15907.5</v>
      </c>
      <c r="AS766">
        <v>0</v>
      </c>
    </row>
    <row r="767" spans="1:45" hidden="1">
      <c r="A767" t="s">
        <v>7</v>
      </c>
      <c r="B767" t="s">
        <v>744</v>
      </c>
      <c r="C767" t="s">
        <v>732</v>
      </c>
      <c r="D767" t="s">
        <v>513</v>
      </c>
      <c r="E767" t="s">
        <v>242</v>
      </c>
      <c r="F767" t="s">
        <v>514</v>
      </c>
      <c r="G767" t="s">
        <v>453</v>
      </c>
      <c r="AQ767">
        <v>0</v>
      </c>
      <c r="AR767">
        <v>848.4</v>
      </c>
      <c r="AS767">
        <v>0</v>
      </c>
    </row>
    <row r="768" spans="1:45" hidden="1">
      <c r="A768" t="s">
        <v>7</v>
      </c>
      <c r="B768" t="s">
        <v>744</v>
      </c>
      <c r="C768" t="s">
        <v>733</v>
      </c>
      <c r="D768" t="s">
        <v>287</v>
      </c>
      <c r="E768" t="s">
        <v>242</v>
      </c>
      <c r="F768" t="s">
        <v>539</v>
      </c>
      <c r="G768" t="s">
        <v>540</v>
      </c>
      <c r="AQ768">
        <v>0</v>
      </c>
      <c r="AR768">
        <v>8.08</v>
      </c>
      <c r="AS768">
        <v>0</v>
      </c>
    </row>
    <row r="769" spans="1:45" hidden="1">
      <c r="A769" t="s">
        <v>7</v>
      </c>
      <c r="B769" t="s">
        <v>744</v>
      </c>
      <c r="C769" t="s">
        <v>734</v>
      </c>
      <c r="D769" t="s">
        <v>287</v>
      </c>
      <c r="E769" t="s">
        <v>242</v>
      </c>
      <c r="F769" t="s">
        <v>541</v>
      </c>
      <c r="G769" t="s">
        <v>540</v>
      </c>
      <c r="AQ769">
        <v>0</v>
      </c>
      <c r="AR769">
        <v>7.4740000000000002</v>
      </c>
      <c r="AS769">
        <v>0</v>
      </c>
    </row>
    <row r="770" spans="1:45" hidden="1">
      <c r="A770" t="s">
        <v>7</v>
      </c>
      <c r="B770" t="s">
        <v>744</v>
      </c>
      <c r="C770" t="s">
        <v>735</v>
      </c>
      <c r="D770" t="s">
        <v>543</v>
      </c>
      <c r="E770" t="s">
        <v>542</v>
      </c>
      <c r="F770" t="s">
        <v>544</v>
      </c>
      <c r="G770" t="s">
        <v>545</v>
      </c>
      <c r="AQ770">
        <v>0</v>
      </c>
      <c r="AR770">
        <v>0</v>
      </c>
      <c r="AS770">
        <v>0</v>
      </c>
    </row>
    <row r="771" spans="1:45" hidden="1">
      <c r="A771" t="s">
        <v>7</v>
      </c>
      <c r="B771" t="s">
        <v>744</v>
      </c>
      <c r="C771" t="s">
        <v>286</v>
      </c>
      <c r="D771" t="s">
        <v>287</v>
      </c>
      <c r="E771" t="s">
        <v>288</v>
      </c>
      <c r="F771" t="s">
        <v>289</v>
      </c>
      <c r="G771" t="s">
        <v>547</v>
      </c>
      <c r="AQ771">
        <v>0</v>
      </c>
      <c r="AR771">
        <v>0.05</v>
      </c>
      <c r="AS771">
        <v>332952.51133000001</v>
      </c>
    </row>
    <row r="772" spans="1:45" hidden="1">
      <c r="A772" t="s">
        <v>7</v>
      </c>
      <c r="B772" t="s">
        <v>744</v>
      </c>
      <c r="C772" t="s">
        <v>291</v>
      </c>
      <c r="D772" t="s">
        <v>287</v>
      </c>
      <c r="E772" t="s">
        <v>288</v>
      </c>
      <c r="F772" t="s">
        <v>292</v>
      </c>
      <c r="G772" t="s">
        <v>293</v>
      </c>
      <c r="AQ772">
        <v>0</v>
      </c>
      <c r="AR772">
        <v>6.0600000000000001E-2</v>
      </c>
      <c r="AS772">
        <v>0</v>
      </c>
    </row>
    <row r="773" spans="1:45" hidden="1">
      <c r="A773" t="s">
        <v>7</v>
      </c>
      <c r="B773" t="s">
        <v>744</v>
      </c>
      <c r="C773" t="s">
        <v>736</v>
      </c>
      <c r="D773" t="s">
        <v>287</v>
      </c>
      <c r="E773" t="s">
        <v>288</v>
      </c>
      <c r="F773" t="s">
        <v>550</v>
      </c>
      <c r="G773" t="s">
        <v>293</v>
      </c>
      <c r="AQ773">
        <v>0</v>
      </c>
      <c r="AR773">
        <v>5.0500000000000003E-2</v>
      </c>
      <c r="AS773">
        <v>0</v>
      </c>
    </row>
    <row r="774" spans="1:45" hidden="1">
      <c r="A774" t="s">
        <v>7</v>
      </c>
      <c r="B774" t="s">
        <v>744</v>
      </c>
      <c r="C774" t="s">
        <v>737</v>
      </c>
      <c r="D774" t="s">
        <v>287</v>
      </c>
      <c r="E774" t="s">
        <v>288</v>
      </c>
      <c r="F774" t="s">
        <v>548</v>
      </c>
      <c r="G774" t="s">
        <v>293</v>
      </c>
      <c r="AQ774">
        <v>0</v>
      </c>
      <c r="AR774">
        <v>0.1111</v>
      </c>
      <c r="AS774">
        <v>0</v>
      </c>
    </row>
    <row r="775" spans="1:45" hidden="1">
      <c r="A775" t="s">
        <v>7</v>
      </c>
      <c r="B775" t="s">
        <v>744</v>
      </c>
      <c r="C775" t="s">
        <v>738</v>
      </c>
      <c r="D775" t="s">
        <v>287</v>
      </c>
      <c r="E775" t="s">
        <v>288</v>
      </c>
      <c r="F775" t="s">
        <v>549</v>
      </c>
      <c r="G775" t="s">
        <v>293</v>
      </c>
      <c r="AQ775">
        <v>0</v>
      </c>
      <c r="AR775">
        <v>0.10100000000000001</v>
      </c>
      <c r="AS775">
        <v>0</v>
      </c>
    </row>
    <row r="776" spans="1:45" hidden="1">
      <c r="A776" t="s">
        <v>28</v>
      </c>
      <c r="B776" t="s">
        <v>744</v>
      </c>
      <c r="C776" t="s">
        <v>641</v>
      </c>
      <c r="D776" t="s">
        <v>324</v>
      </c>
      <c r="E776" t="s">
        <v>323</v>
      </c>
      <c r="F776" t="s">
        <v>325</v>
      </c>
      <c r="G776" t="s">
        <v>326</v>
      </c>
      <c r="I776">
        <v>14125</v>
      </c>
      <c r="M776">
        <v>8981</v>
      </c>
      <c r="N776">
        <v>4097</v>
      </c>
      <c r="Q776">
        <v>13923</v>
      </c>
      <c r="AQ776">
        <v>41126</v>
      </c>
      <c r="AR776">
        <v>1.35E-2</v>
      </c>
      <c r="AS776">
        <v>555.20100000000002</v>
      </c>
    </row>
    <row r="777" spans="1:45" hidden="1">
      <c r="A777" t="s">
        <v>28</v>
      </c>
      <c r="B777" t="s">
        <v>744</v>
      </c>
      <c r="C777" t="s">
        <v>642</v>
      </c>
      <c r="D777" t="s">
        <v>327</v>
      </c>
      <c r="E777" t="s">
        <v>323</v>
      </c>
      <c r="F777" t="s">
        <v>328</v>
      </c>
      <c r="G777" t="s">
        <v>329</v>
      </c>
      <c r="AQ777">
        <v>0</v>
      </c>
      <c r="AR777">
        <v>5.9330000000000001E-2</v>
      </c>
      <c r="AS777">
        <v>0</v>
      </c>
    </row>
    <row r="778" spans="1:45" hidden="1">
      <c r="A778" t="s">
        <v>28</v>
      </c>
      <c r="B778" t="s">
        <v>744</v>
      </c>
      <c r="C778" t="s">
        <v>643</v>
      </c>
      <c r="D778" t="s">
        <v>330</v>
      </c>
      <c r="E778" t="s">
        <v>323</v>
      </c>
      <c r="F778" t="s">
        <v>745</v>
      </c>
      <c r="G778" t="s">
        <v>329</v>
      </c>
      <c r="AQ778">
        <v>0</v>
      </c>
      <c r="AR778">
        <v>0.1</v>
      </c>
      <c r="AS778">
        <v>0</v>
      </c>
    </row>
    <row r="779" spans="1:45" hidden="1">
      <c r="A779" t="s">
        <v>28</v>
      </c>
      <c r="B779" t="s">
        <v>744</v>
      </c>
      <c r="C779" t="s">
        <v>644</v>
      </c>
      <c r="D779" t="s">
        <v>332</v>
      </c>
      <c r="E779" t="s">
        <v>323</v>
      </c>
      <c r="F779" t="s">
        <v>333</v>
      </c>
      <c r="G779" t="s">
        <v>329</v>
      </c>
      <c r="AQ779">
        <v>0</v>
      </c>
      <c r="AR779">
        <v>0.125</v>
      </c>
      <c r="AS779">
        <v>0</v>
      </c>
    </row>
    <row r="780" spans="1:45" hidden="1">
      <c r="A780" t="s">
        <v>28</v>
      </c>
      <c r="B780" t="s">
        <v>744</v>
      </c>
      <c r="C780" t="s">
        <v>645</v>
      </c>
      <c r="D780" t="s">
        <v>334</v>
      </c>
      <c r="E780" t="s">
        <v>323</v>
      </c>
      <c r="F780" t="s">
        <v>746</v>
      </c>
      <c r="G780" t="s">
        <v>329</v>
      </c>
      <c r="AQ780">
        <v>0</v>
      </c>
      <c r="AR780">
        <v>0.28000000000000003</v>
      </c>
    </row>
    <row r="781" spans="1:45" hidden="1">
      <c r="A781" t="s">
        <v>28</v>
      </c>
      <c r="B781" t="s">
        <v>744</v>
      </c>
      <c r="C781" t="s">
        <v>646</v>
      </c>
      <c r="D781" t="s">
        <v>137</v>
      </c>
      <c r="E781" t="s">
        <v>138</v>
      </c>
      <c r="F781" t="s">
        <v>337</v>
      </c>
      <c r="G781" t="s">
        <v>140</v>
      </c>
      <c r="N781">
        <v>1</v>
      </c>
      <c r="AQ781">
        <v>1</v>
      </c>
      <c r="AR781">
        <v>212.1</v>
      </c>
      <c r="AS781">
        <v>212.1</v>
      </c>
    </row>
    <row r="782" spans="1:45" hidden="1">
      <c r="A782" t="s">
        <v>28</v>
      </c>
      <c r="B782" t="s">
        <v>744</v>
      </c>
      <c r="C782" t="s">
        <v>136</v>
      </c>
      <c r="D782" t="s">
        <v>137</v>
      </c>
      <c r="E782" t="s">
        <v>138</v>
      </c>
      <c r="F782" t="s">
        <v>139</v>
      </c>
      <c r="G782" t="s">
        <v>140</v>
      </c>
      <c r="I782">
        <v>1</v>
      </c>
      <c r="M782">
        <v>2</v>
      </c>
      <c r="N782">
        <v>1</v>
      </c>
      <c r="Q782">
        <v>1</v>
      </c>
      <c r="AQ782">
        <v>5</v>
      </c>
      <c r="AR782">
        <v>1696.8</v>
      </c>
      <c r="AS782">
        <v>8484</v>
      </c>
    </row>
    <row r="783" spans="1:45" hidden="1">
      <c r="A783" t="s">
        <v>28</v>
      </c>
      <c r="B783" t="s">
        <v>744</v>
      </c>
      <c r="C783" t="s">
        <v>143</v>
      </c>
      <c r="D783" t="s">
        <v>137</v>
      </c>
      <c r="E783" t="s">
        <v>138</v>
      </c>
      <c r="F783" t="s">
        <v>277</v>
      </c>
      <c r="G783" t="s">
        <v>140</v>
      </c>
      <c r="AQ783">
        <v>0</v>
      </c>
      <c r="AR783">
        <v>3923.85</v>
      </c>
      <c r="AS783">
        <v>0</v>
      </c>
    </row>
    <row r="784" spans="1:45" hidden="1">
      <c r="A784" t="s">
        <v>28</v>
      </c>
      <c r="B784" t="s">
        <v>744</v>
      </c>
      <c r="C784" t="s">
        <v>647</v>
      </c>
      <c r="D784" t="s">
        <v>137</v>
      </c>
      <c r="E784" t="s">
        <v>138</v>
      </c>
      <c r="F784" t="s">
        <v>338</v>
      </c>
      <c r="G784" t="s">
        <v>140</v>
      </c>
      <c r="AQ784">
        <v>0</v>
      </c>
      <c r="AR784">
        <v>6893.25</v>
      </c>
      <c r="AS784">
        <v>0</v>
      </c>
    </row>
    <row r="785" spans="1:45" hidden="1">
      <c r="A785" t="s">
        <v>28</v>
      </c>
      <c r="B785" t="s">
        <v>744</v>
      </c>
      <c r="C785" t="s">
        <v>648</v>
      </c>
      <c r="D785" t="s">
        <v>342</v>
      </c>
      <c r="E785" t="s">
        <v>138</v>
      </c>
      <c r="F785" t="s">
        <v>343</v>
      </c>
      <c r="G785" t="s">
        <v>140</v>
      </c>
      <c r="AQ785">
        <v>0</v>
      </c>
      <c r="AR785">
        <v>13786.5</v>
      </c>
      <c r="AS785">
        <v>0</v>
      </c>
    </row>
    <row r="786" spans="1:45" hidden="1">
      <c r="A786" t="s">
        <v>28</v>
      </c>
      <c r="B786" t="s">
        <v>744</v>
      </c>
      <c r="C786" t="s">
        <v>649</v>
      </c>
      <c r="D786" t="s">
        <v>344</v>
      </c>
      <c r="E786" t="s">
        <v>138</v>
      </c>
      <c r="F786" t="s">
        <v>345</v>
      </c>
      <c r="G786" t="s">
        <v>346</v>
      </c>
      <c r="I786">
        <v>3</v>
      </c>
      <c r="AQ786">
        <v>3</v>
      </c>
      <c r="AR786">
        <v>11.11</v>
      </c>
      <c r="AS786">
        <v>33.33</v>
      </c>
    </row>
    <row r="787" spans="1:45" hidden="1">
      <c r="A787" t="s">
        <v>28</v>
      </c>
      <c r="B787" t="s">
        <v>744</v>
      </c>
      <c r="C787" t="s">
        <v>650</v>
      </c>
      <c r="D787" t="s">
        <v>339</v>
      </c>
      <c r="E787" t="s">
        <v>138</v>
      </c>
      <c r="F787" t="s">
        <v>340</v>
      </c>
      <c r="G787" t="s">
        <v>341</v>
      </c>
      <c r="AQ787">
        <v>0</v>
      </c>
      <c r="AR787">
        <v>557.52</v>
      </c>
      <c r="AS787">
        <v>0</v>
      </c>
    </row>
    <row r="788" spans="1:45" hidden="1">
      <c r="A788" t="s">
        <v>28</v>
      </c>
      <c r="B788" t="s">
        <v>744</v>
      </c>
      <c r="C788" t="s">
        <v>651</v>
      </c>
      <c r="D788" t="s">
        <v>347</v>
      </c>
      <c r="E788" t="s">
        <v>138</v>
      </c>
      <c r="F788" t="s">
        <v>350</v>
      </c>
      <c r="G788" t="s">
        <v>349</v>
      </c>
      <c r="H788">
        <v>14</v>
      </c>
      <c r="J788">
        <v>1</v>
      </c>
      <c r="AQ788">
        <v>15</v>
      </c>
      <c r="AR788">
        <v>234.32</v>
      </c>
      <c r="AS788">
        <v>3514.8</v>
      </c>
    </row>
    <row r="789" spans="1:45" hidden="1">
      <c r="A789" t="s">
        <v>28</v>
      </c>
      <c r="B789" t="s">
        <v>744</v>
      </c>
      <c r="C789" t="s">
        <v>652</v>
      </c>
      <c r="D789" t="s">
        <v>347</v>
      </c>
      <c r="E789" t="s">
        <v>138</v>
      </c>
      <c r="F789" t="s">
        <v>348</v>
      </c>
      <c r="G789" t="s">
        <v>349</v>
      </c>
      <c r="H789">
        <v>10</v>
      </c>
      <c r="J789">
        <v>1</v>
      </c>
      <c r="AQ789">
        <v>11</v>
      </c>
      <c r="AR789">
        <v>456.52</v>
      </c>
      <c r="AS789">
        <v>5021.72</v>
      </c>
    </row>
    <row r="790" spans="1:45" hidden="1">
      <c r="A790" t="s">
        <v>28</v>
      </c>
      <c r="B790" t="s">
        <v>744</v>
      </c>
      <c r="C790" t="s">
        <v>653</v>
      </c>
      <c r="D790" t="s">
        <v>347</v>
      </c>
      <c r="E790" t="s">
        <v>138</v>
      </c>
      <c r="F790" t="s">
        <v>351</v>
      </c>
      <c r="G790" t="s">
        <v>349</v>
      </c>
      <c r="AQ790">
        <v>0</v>
      </c>
      <c r="AR790">
        <v>679.73</v>
      </c>
      <c r="AS790">
        <v>0</v>
      </c>
    </row>
    <row r="791" spans="1:45" hidden="1">
      <c r="A791" t="s">
        <v>28</v>
      </c>
      <c r="B791" t="s">
        <v>744</v>
      </c>
      <c r="C791" t="s">
        <v>654</v>
      </c>
      <c r="D791" t="s">
        <v>352</v>
      </c>
      <c r="E791" t="s">
        <v>138</v>
      </c>
      <c r="F791" t="s">
        <v>353</v>
      </c>
      <c r="G791" t="s">
        <v>354</v>
      </c>
      <c r="AQ791">
        <v>0</v>
      </c>
      <c r="AR791">
        <v>3923.85</v>
      </c>
      <c r="AS791">
        <v>0</v>
      </c>
    </row>
    <row r="792" spans="1:45" hidden="1">
      <c r="A792" t="s">
        <v>28</v>
      </c>
      <c r="B792" t="s">
        <v>744</v>
      </c>
      <c r="C792" t="s">
        <v>655</v>
      </c>
      <c r="D792" t="s">
        <v>355</v>
      </c>
      <c r="E792" t="s">
        <v>138</v>
      </c>
      <c r="F792" t="s">
        <v>356</v>
      </c>
      <c r="G792" t="s">
        <v>357</v>
      </c>
      <c r="AQ792">
        <v>0</v>
      </c>
      <c r="AR792">
        <v>556.51</v>
      </c>
      <c r="AS792">
        <v>0</v>
      </c>
    </row>
    <row r="793" spans="1:45" hidden="1">
      <c r="A793" t="s">
        <v>28</v>
      </c>
      <c r="B793" t="s">
        <v>744</v>
      </c>
      <c r="C793" t="s">
        <v>656</v>
      </c>
      <c r="D793" t="s">
        <v>358</v>
      </c>
      <c r="E793" t="s">
        <v>138</v>
      </c>
      <c r="F793" t="s">
        <v>359</v>
      </c>
      <c r="G793" t="s">
        <v>360</v>
      </c>
      <c r="AQ793">
        <v>0</v>
      </c>
      <c r="AR793">
        <v>334.31</v>
      </c>
      <c r="AS793">
        <v>0</v>
      </c>
    </row>
    <row r="794" spans="1:45" hidden="1">
      <c r="A794" t="s">
        <v>28</v>
      </c>
      <c r="B794" t="s">
        <v>744</v>
      </c>
      <c r="C794" t="s">
        <v>657</v>
      </c>
      <c r="D794" t="s">
        <v>361</v>
      </c>
      <c r="E794" t="s">
        <v>138</v>
      </c>
      <c r="F794" t="s">
        <v>362</v>
      </c>
      <c r="G794" t="s">
        <v>363</v>
      </c>
      <c r="AQ794">
        <v>0</v>
      </c>
      <c r="AR794">
        <v>1.0605</v>
      </c>
      <c r="AS794">
        <v>0</v>
      </c>
    </row>
    <row r="795" spans="1:45" hidden="1">
      <c r="A795" t="s">
        <v>28</v>
      </c>
      <c r="B795" t="s">
        <v>744</v>
      </c>
      <c r="C795" t="s">
        <v>658</v>
      </c>
      <c r="D795" t="s">
        <v>364</v>
      </c>
      <c r="E795" t="s">
        <v>138</v>
      </c>
      <c r="F795" t="s">
        <v>366</v>
      </c>
      <c r="G795" t="s">
        <v>363</v>
      </c>
      <c r="AQ795">
        <v>0</v>
      </c>
      <c r="AR795">
        <v>4.242</v>
      </c>
      <c r="AS795">
        <v>0</v>
      </c>
    </row>
    <row r="796" spans="1:45" hidden="1">
      <c r="A796" t="s">
        <v>28</v>
      </c>
      <c r="B796" t="s">
        <v>744</v>
      </c>
      <c r="C796" t="s">
        <v>659</v>
      </c>
      <c r="D796" t="s">
        <v>364</v>
      </c>
      <c r="E796" t="s">
        <v>138</v>
      </c>
      <c r="F796" t="s">
        <v>365</v>
      </c>
      <c r="G796" t="s">
        <v>363</v>
      </c>
      <c r="AQ796">
        <v>0</v>
      </c>
      <c r="AR796">
        <v>8.484</v>
      </c>
      <c r="AS796">
        <v>0</v>
      </c>
    </row>
    <row r="797" spans="1:45" hidden="1">
      <c r="A797" t="s">
        <v>28</v>
      </c>
      <c r="B797" t="s">
        <v>744</v>
      </c>
      <c r="C797" t="s">
        <v>660</v>
      </c>
      <c r="D797" t="s">
        <v>364</v>
      </c>
      <c r="E797" t="s">
        <v>138</v>
      </c>
      <c r="F797" t="s">
        <v>367</v>
      </c>
      <c r="G797" t="s">
        <v>363</v>
      </c>
      <c r="AQ797">
        <v>0</v>
      </c>
      <c r="AR797">
        <v>21.21</v>
      </c>
      <c r="AS797">
        <v>0</v>
      </c>
    </row>
    <row r="798" spans="1:45" hidden="1">
      <c r="A798" t="s">
        <v>28</v>
      </c>
      <c r="B798" t="s">
        <v>744</v>
      </c>
      <c r="C798" t="s">
        <v>278</v>
      </c>
      <c r="D798" t="s">
        <v>146</v>
      </c>
      <c r="E798" t="s">
        <v>138</v>
      </c>
      <c r="F798" t="s">
        <v>279</v>
      </c>
      <c r="G798" t="s">
        <v>148</v>
      </c>
      <c r="I798">
        <v>1</v>
      </c>
      <c r="AQ798">
        <v>1</v>
      </c>
      <c r="AR798">
        <v>1272.5999999999999</v>
      </c>
      <c r="AS798">
        <v>1272.5999999999999</v>
      </c>
    </row>
    <row r="799" spans="1:45" hidden="1">
      <c r="A799" t="s">
        <v>28</v>
      </c>
      <c r="B799" t="s">
        <v>744</v>
      </c>
      <c r="C799" t="s">
        <v>661</v>
      </c>
      <c r="D799" t="s">
        <v>146</v>
      </c>
      <c r="E799" t="s">
        <v>138</v>
      </c>
      <c r="F799" t="s">
        <v>368</v>
      </c>
      <c r="G799" t="s">
        <v>148</v>
      </c>
      <c r="AQ799">
        <v>0</v>
      </c>
      <c r="AR799">
        <v>2333.1</v>
      </c>
      <c r="AS799">
        <v>0</v>
      </c>
    </row>
    <row r="800" spans="1:45" hidden="1">
      <c r="A800" t="s">
        <v>28</v>
      </c>
      <c r="B800" t="s">
        <v>744</v>
      </c>
      <c r="C800" t="s">
        <v>662</v>
      </c>
      <c r="D800" t="s">
        <v>146</v>
      </c>
      <c r="E800" t="s">
        <v>138</v>
      </c>
      <c r="F800" t="s">
        <v>369</v>
      </c>
      <c r="G800" t="s">
        <v>148</v>
      </c>
      <c r="AQ800">
        <v>0</v>
      </c>
      <c r="AR800">
        <v>3711.75</v>
      </c>
      <c r="AS800">
        <v>0</v>
      </c>
    </row>
    <row r="801" spans="1:45" hidden="1">
      <c r="A801" t="s">
        <v>28</v>
      </c>
      <c r="B801" t="s">
        <v>744</v>
      </c>
      <c r="C801" t="s">
        <v>663</v>
      </c>
      <c r="D801" t="s">
        <v>146</v>
      </c>
      <c r="E801" t="s">
        <v>138</v>
      </c>
      <c r="F801" t="s">
        <v>370</v>
      </c>
      <c r="G801" t="s">
        <v>148</v>
      </c>
      <c r="AQ801">
        <v>0</v>
      </c>
      <c r="AR801">
        <v>5832.75</v>
      </c>
      <c r="AS801">
        <v>0</v>
      </c>
    </row>
    <row r="802" spans="1:45" hidden="1">
      <c r="A802" t="s">
        <v>28</v>
      </c>
      <c r="B802" t="s">
        <v>744</v>
      </c>
      <c r="C802" t="s">
        <v>664</v>
      </c>
      <c r="D802" t="s">
        <v>371</v>
      </c>
      <c r="E802" t="s">
        <v>138</v>
      </c>
      <c r="F802" t="s">
        <v>372</v>
      </c>
      <c r="G802" t="s">
        <v>373</v>
      </c>
      <c r="AQ802">
        <v>0</v>
      </c>
      <c r="AR802">
        <v>3711.75</v>
      </c>
      <c r="AS802">
        <v>0</v>
      </c>
    </row>
    <row r="803" spans="1:45" hidden="1">
      <c r="A803" t="s">
        <v>28</v>
      </c>
      <c r="B803" t="s">
        <v>744</v>
      </c>
      <c r="C803" t="s">
        <v>149</v>
      </c>
      <c r="D803" t="s">
        <v>280</v>
      </c>
      <c r="E803" t="s">
        <v>138</v>
      </c>
      <c r="F803" t="s">
        <v>151</v>
      </c>
      <c r="G803" t="s">
        <v>152</v>
      </c>
      <c r="H803">
        <v>20935</v>
      </c>
      <c r="I803">
        <v>997</v>
      </c>
      <c r="K803">
        <v>651</v>
      </c>
      <c r="M803">
        <v>1195</v>
      </c>
      <c r="N803">
        <v>666</v>
      </c>
      <c r="P803">
        <v>495</v>
      </c>
      <c r="Q803">
        <v>1465</v>
      </c>
      <c r="AA803">
        <v>65.53</v>
      </c>
      <c r="AC803">
        <v>65.53</v>
      </c>
      <c r="AD803">
        <v>100.4</v>
      </c>
      <c r="AQ803">
        <v>26635.46</v>
      </c>
      <c r="AR803">
        <v>1.111</v>
      </c>
      <c r="AS803">
        <v>29591.996060000001</v>
      </c>
    </row>
    <row r="804" spans="1:45" hidden="1">
      <c r="A804" t="s">
        <v>28</v>
      </c>
      <c r="B804" t="s">
        <v>744</v>
      </c>
      <c r="C804" t="s">
        <v>153</v>
      </c>
      <c r="D804" t="s">
        <v>154</v>
      </c>
      <c r="E804" t="s">
        <v>138</v>
      </c>
      <c r="F804" t="s">
        <v>155</v>
      </c>
      <c r="G804" t="s">
        <v>156</v>
      </c>
      <c r="H804">
        <v>448</v>
      </c>
      <c r="I804">
        <v>22</v>
      </c>
      <c r="K804">
        <v>20</v>
      </c>
      <c r="L804">
        <v>4</v>
      </c>
      <c r="N804">
        <v>18</v>
      </c>
      <c r="O804">
        <v>2</v>
      </c>
      <c r="AQ804">
        <v>514</v>
      </c>
      <c r="AR804">
        <v>116.655</v>
      </c>
      <c r="AS804">
        <v>59960.67</v>
      </c>
    </row>
    <row r="805" spans="1:45" hidden="1">
      <c r="A805" t="s">
        <v>28</v>
      </c>
      <c r="B805" t="s">
        <v>744</v>
      </c>
      <c r="C805" t="s">
        <v>665</v>
      </c>
      <c r="D805" t="s">
        <v>375</v>
      </c>
      <c r="E805" t="s">
        <v>138</v>
      </c>
      <c r="F805" t="s">
        <v>376</v>
      </c>
      <c r="G805" t="s">
        <v>377</v>
      </c>
      <c r="H805">
        <v>5</v>
      </c>
      <c r="I805">
        <v>8</v>
      </c>
      <c r="AQ805">
        <v>13</v>
      </c>
      <c r="AR805">
        <v>89.081999999999994</v>
      </c>
      <c r="AS805">
        <v>1158.066</v>
      </c>
    </row>
    <row r="806" spans="1:45" hidden="1">
      <c r="A806" t="s">
        <v>28</v>
      </c>
      <c r="B806" t="s">
        <v>744</v>
      </c>
      <c r="C806" t="s">
        <v>158</v>
      </c>
      <c r="D806" t="s">
        <v>159</v>
      </c>
      <c r="E806" t="s">
        <v>138</v>
      </c>
      <c r="F806" t="s">
        <v>160</v>
      </c>
      <c r="G806" t="s">
        <v>161</v>
      </c>
      <c r="H806">
        <v>14</v>
      </c>
      <c r="J806">
        <v>2</v>
      </c>
      <c r="L806">
        <v>4</v>
      </c>
      <c r="M806">
        <v>21</v>
      </c>
      <c r="N806">
        <v>4</v>
      </c>
      <c r="P806">
        <v>2</v>
      </c>
      <c r="Q806">
        <v>6</v>
      </c>
      <c r="AQ806">
        <v>53</v>
      </c>
      <c r="AR806">
        <v>66.66</v>
      </c>
      <c r="AS806">
        <v>3532.98</v>
      </c>
    </row>
    <row r="807" spans="1:45" hidden="1">
      <c r="A807" t="s">
        <v>28</v>
      </c>
      <c r="B807" t="s">
        <v>744</v>
      </c>
      <c r="C807" t="s">
        <v>666</v>
      </c>
      <c r="D807" t="s">
        <v>378</v>
      </c>
      <c r="E807" t="s">
        <v>138</v>
      </c>
      <c r="F807" t="s">
        <v>379</v>
      </c>
      <c r="G807" t="s">
        <v>380</v>
      </c>
      <c r="H807">
        <v>2</v>
      </c>
      <c r="AQ807">
        <v>2</v>
      </c>
      <c r="AR807">
        <v>389.86</v>
      </c>
      <c r="AS807">
        <v>779.72</v>
      </c>
    </row>
    <row r="808" spans="1:45" hidden="1">
      <c r="A808" t="s">
        <v>28</v>
      </c>
      <c r="B808" t="s">
        <v>744</v>
      </c>
      <c r="C808" t="s">
        <v>667</v>
      </c>
      <c r="D808" t="s">
        <v>281</v>
      </c>
      <c r="E808" t="s">
        <v>138</v>
      </c>
      <c r="F808" t="s">
        <v>384</v>
      </c>
      <c r="G808" t="s">
        <v>165</v>
      </c>
      <c r="H808">
        <v>4</v>
      </c>
      <c r="AQ808">
        <v>4</v>
      </c>
      <c r="AR808">
        <v>2227.0500000000002</v>
      </c>
      <c r="AS808">
        <v>8908.2000000000007</v>
      </c>
    </row>
    <row r="809" spans="1:45" hidden="1">
      <c r="A809" t="s">
        <v>28</v>
      </c>
      <c r="B809" t="s">
        <v>744</v>
      </c>
      <c r="C809" t="s">
        <v>162</v>
      </c>
      <c r="D809" t="s">
        <v>281</v>
      </c>
      <c r="E809" t="s">
        <v>138</v>
      </c>
      <c r="F809" t="s">
        <v>164</v>
      </c>
      <c r="G809" t="s">
        <v>165</v>
      </c>
      <c r="I809">
        <v>1</v>
      </c>
      <c r="AQ809">
        <v>1</v>
      </c>
      <c r="AR809">
        <v>4242</v>
      </c>
      <c r="AS809">
        <v>4242</v>
      </c>
    </row>
    <row r="810" spans="1:45" hidden="1">
      <c r="A810" t="s">
        <v>28</v>
      </c>
      <c r="B810" t="s">
        <v>744</v>
      </c>
      <c r="C810" t="s">
        <v>668</v>
      </c>
      <c r="D810" t="s">
        <v>381</v>
      </c>
      <c r="E810" t="s">
        <v>138</v>
      </c>
      <c r="F810" t="s">
        <v>382</v>
      </c>
      <c r="G810" t="s">
        <v>383</v>
      </c>
      <c r="AQ810">
        <v>0</v>
      </c>
      <c r="AR810">
        <v>39.39</v>
      </c>
      <c r="AS810">
        <v>0</v>
      </c>
    </row>
    <row r="811" spans="1:45" hidden="1">
      <c r="A811" t="s">
        <v>28</v>
      </c>
      <c r="B811" t="s">
        <v>744</v>
      </c>
      <c r="C811" t="s">
        <v>166</v>
      </c>
      <c r="D811" t="s">
        <v>282</v>
      </c>
      <c r="E811" t="s">
        <v>138</v>
      </c>
      <c r="F811" t="s">
        <v>168</v>
      </c>
      <c r="G811" t="s">
        <v>169</v>
      </c>
      <c r="H811">
        <v>3581</v>
      </c>
      <c r="K811">
        <v>651</v>
      </c>
      <c r="AQ811">
        <v>4232</v>
      </c>
      <c r="AR811">
        <v>1.111</v>
      </c>
      <c r="AS811">
        <v>4701.7520000000004</v>
      </c>
    </row>
    <row r="812" spans="1:45" hidden="1">
      <c r="A812" t="s">
        <v>28</v>
      </c>
      <c r="B812" t="s">
        <v>744</v>
      </c>
      <c r="C812" t="s">
        <v>669</v>
      </c>
      <c r="D812" t="s">
        <v>385</v>
      </c>
      <c r="E812" t="s">
        <v>138</v>
      </c>
      <c r="F812" t="s">
        <v>386</v>
      </c>
      <c r="G812" t="s">
        <v>387</v>
      </c>
      <c r="AQ812">
        <v>0</v>
      </c>
      <c r="AR812">
        <v>22270.5</v>
      </c>
      <c r="AS812">
        <v>0</v>
      </c>
    </row>
    <row r="813" spans="1:45" hidden="1">
      <c r="A813" t="s">
        <v>28</v>
      </c>
      <c r="B813" t="s">
        <v>744</v>
      </c>
      <c r="C813" t="s">
        <v>670</v>
      </c>
      <c r="D813" t="s">
        <v>385</v>
      </c>
      <c r="E813" t="s">
        <v>138</v>
      </c>
      <c r="F813" t="s">
        <v>388</v>
      </c>
      <c r="G813" t="s">
        <v>389</v>
      </c>
      <c r="H813">
        <v>140</v>
      </c>
      <c r="I813">
        <v>25</v>
      </c>
      <c r="J813">
        <v>10</v>
      </c>
      <c r="M813">
        <v>25</v>
      </c>
      <c r="N813">
        <v>25</v>
      </c>
      <c r="Q813">
        <v>25</v>
      </c>
      <c r="AQ813">
        <v>250</v>
      </c>
      <c r="AR813">
        <v>0.22220000000000001</v>
      </c>
      <c r="AS813">
        <v>55.55</v>
      </c>
    </row>
    <row r="814" spans="1:45" hidden="1">
      <c r="A814" t="s">
        <v>28</v>
      </c>
      <c r="B814" t="s">
        <v>744</v>
      </c>
      <c r="C814" t="s">
        <v>671</v>
      </c>
      <c r="D814" t="s">
        <v>393</v>
      </c>
      <c r="E814" t="s">
        <v>138</v>
      </c>
      <c r="F814" t="s">
        <v>394</v>
      </c>
      <c r="G814" t="s">
        <v>395</v>
      </c>
      <c r="AQ814">
        <v>0</v>
      </c>
      <c r="AR814">
        <v>99.99</v>
      </c>
      <c r="AS814">
        <v>0</v>
      </c>
    </row>
    <row r="815" spans="1:45" hidden="1">
      <c r="A815" t="s">
        <v>28</v>
      </c>
      <c r="B815" t="s">
        <v>744</v>
      </c>
      <c r="C815" t="s">
        <v>672</v>
      </c>
      <c r="D815" t="s">
        <v>393</v>
      </c>
      <c r="E815" t="s">
        <v>138</v>
      </c>
      <c r="F815" t="s">
        <v>396</v>
      </c>
      <c r="G815" t="s">
        <v>395</v>
      </c>
      <c r="AQ815">
        <v>0</v>
      </c>
      <c r="AR815">
        <v>99.99</v>
      </c>
      <c r="AS815">
        <v>0</v>
      </c>
    </row>
    <row r="816" spans="1:45" hidden="1">
      <c r="A816" t="s">
        <v>28</v>
      </c>
      <c r="B816" t="s">
        <v>744</v>
      </c>
      <c r="C816" t="s">
        <v>673</v>
      </c>
      <c r="D816" t="s">
        <v>393</v>
      </c>
      <c r="E816" t="s">
        <v>138</v>
      </c>
      <c r="F816" t="s">
        <v>397</v>
      </c>
      <c r="G816" t="s">
        <v>395</v>
      </c>
      <c r="AQ816">
        <v>0</v>
      </c>
      <c r="AR816">
        <v>66.66</v>
      </c>
      <c r="AS816">
        <v>0</v>
      </c>
    </row>
    <row r="817" spans="1:45" hidden="1">
      <c r="A817" t="s">
        <v>28</v>
      </c>
      <c r="B817" t="s">
        <v>744</v>
      </c>
      <c r="C817" t="s">
        <v>674</v>
      </c>
      <c r="D817" t="s">
        <v>287</v>
      </c>
      <c r="E817" t="s">
        <v>138</v>
      </c>
      <c r="F817" t="s">
        <v>402</v>
      </c>
      <c r="G817" t="s">
        <v>403</v>
      </c>
      <c r="AQ817">
        <v>0</v>
      </c>
      <c r="AR817">
        <v>318150</v>
      </c>
      <c r="AS817">
        <v>0</v>
      </c>
    </row>
    <row r="818" spans="1:45" hidden="1">
      <c r="A818" t="s">
        <v>28</v>
      </c>
      <c r="B818" t="s">
        <v>744</v>
      </c>
      <c r="C818" t="s">
        <v>675</v>
      </c>
      <c r="D818" t="s">
        <v>390</v>
      </c>
      <c r="E818" t="s">
        <v>138</v>
      </c>
      <c r="F818" t="s">
        <v>391</v>
      </c>
      <c r="G818" t="s">
        <v>392</v>
      </c>
      <c r="AQ818">
        <v>0</v>
      </c>
      <c r="AR818">
        <v>1336.23</v>
      </c>
      <c r="AS818">
        <v>0</v>
      </c>
    </row>
    <row r="819" spans="1:45" hidden="1">
      <c r="A819" t="s">
        <v>28</v>
      </c>
      <c r="B819" t="s">
        <v>744</v>
      </c>
      <c r="C819" t="s">
        <v>676</v>
      </c>
      <c r="D819" t="s">
        <v>398</v>
      </c>
      <c r="E819" t="s">
        <v>138</v>
      </c>
      <c r="F819" t="s">
        <v>399</v>
      </c>
      <c r="G819" t="s">
        <v>400</v>
      </c>
      <c r="AQ819">
        <v>0</v>
      </c>
      <c r="AR819">
        <v>14475.825000000001</v>
      </c>
      <c r="AS819">
        <v>0</v>
      </c>
    </row>
    <row r="820" spans="1:45" hidden="1">
      <c r="A820" t="s">
        <v>28</v>
      </c>
      <c r="B820" t="s">
        <v>744</v>
      </c>
      <c r="C820" t="s">
        <v>170</v>
      </c>
      <c r="D820" t="s">
        <v>171</v>
      </c>
      <c r="E820" t="s">
        <v>172</v>
      </c>
      <c r="F820" t="s">
        <v>173</v>
      </c>
      <c r="G820" t="s">
        <v>152</v>
      </c>
      <c r="H820">
        <v>26298</v>
      </c>
      <c r="I820">
        <v>1446</v>
      </c>
      <c r="J820">
        <v>1245</v>
      </c>
      <c r="K820">
        <v>1750</v>
      </c>
      <c r="L820">
        <v>315</v>
      </c>
      <c r="M820">
        <v>1195</v>
      </c>
      <c r="N820">
        <v>666</v>
      </c>
      <c r="O820">
        <v>52.8</v>
      </c>
      <c r="P820">
        <v>495</v>
      </c>
      <c r="Q820">
        <v>1465</v>
      </c>
      <c r="R820">
        <v>17</v>
      </c>
      <c r="AA820">
        <v>65.53</v>
      </c>
      <c r="AC820">
        <v>65.53</v>
      </c>
      <c r="AD820">
        <v>100.4</v>
      </c>
      <c r="AQ820">
        <v>35176.26</v>
      </c>
      <c r="AR820">
        <v>1.2726</v>
      </c>
      <c r="AS820">
        <v>44765.308475999998</v>
      </c>
    </row>
    <row r="821" spans="1:45" hidden="1">
      <c r="A821" t="s">
        <v>28</v>
      </c>
      <c r="B821" t="s">
        <v>744</v>
      </c>
      <c r="C821" t="s">
        <v>677</v>
      </c>
      <c r="D821" t="s">
        <v>405</v>
      </c>
      <c r="E821" t="s">
        <v>172</v>
      </c>
      <c r="F821" t="s">
        <v>406</v>
      </c>
      <c r="G821" t="s">
        <v>407</v>
      </c>
      <c r="H821">
        <v>240</v>
      </c>
      <c r="I821">
        <v>6</v>
      </c>
      <c r="M821">
        <v>6</v>
      </c>
      <c r="N821">
        <v>3</v>
      </c>
      <c r="AQ821">
        <v>255</v>
      </c>
      <c r="AR821">
        <v>47.47</v>
      </c>
      <c r="AS821">
        <v>12104.85</v>
      </c>
    </row>
    <row r="822" spans="1:45" hidden="1">
      <c r="A822" t="s">
        <v>28</v>
      </c>
      <c r="B822" t="s">
        <v>744</v>
      </c>
      <c r="C822" t="s">
        <v>678</v>
      </c>
      <c r="D822" t="s">
        <v>408</v>
      </c>
      <c r="E822" t="s">
        <v>172</v>
      </c>
      <c r="F822" t="s">
        <v>409</v>
      </c>
      <c r="G822" t="s">
        <v>410</v>
      </c>
      <c r="AQ822">
        <v>0</v>
      </c>
      <c r="AR822">
        <v>1.0605</v>
      </c>
      <c r="AS822">
        <v>0</v>
      </c>
    </row>
    <row r="823" spans="1:45" hidden="1">
      <c r="A823" t="s">
        <v>28</v>
      </c>
      <c r="B823" t="s">
        <v>744</v>
      </c>
      <c r="C823" t="s">
        <v>679</v>
      </c>
      <c r="D823" t="s">
        <v>411</v>
      </c>
      <c r="E823" t="s">
        <v>172</v>
      </c>
      <c r="F823" t="s">
        <v>412</v>
      </c>
      <c r="G823" t="s">
        <v>413</v>
      </c>
      <c r="AQ823">
        <v>0</v>
      </c>
      <c r="AR823">
        <v>37.1175</v>
      </c>
      <c r="AS823">
        <v>0</v>
      </c>
    </row>
    <row r="824" spans="1:45" hidden="1">
      <c r="A824" t="s">
        <v>28</v>
      </c>
      <c r="B824" t="s">
        <v>744</v>
      </c>
      <c r="C824" t="s">
        <v>680</v>
      </c>
      <c r="D824" t="s">
        <v>414</v>
      </c>
      <c r="E824" t="s">
        <v>172</v>
      </c>
      <c r="F824" t="s">
        <v>415</v>
      </c>
      <c r="G824" t="s">
        <v>224</v>
      </c>
      <c r="H824">
        <v>12</v>
      </c>
      <c r="I824">
        <v>1</v>
      </c>
      <c r="K824">
        <v>1</v>
      </c>
      <c r="M824">
        <v>1</v>
      </c>
      <c r="N824">
        <v>1</v>
      </c>
      <c r="P824">
        <v>1</v>
      </c>
      <c r="Q824">
        <v>1</v>
      </c>
      <c r="R824">
        <v>1</v>
      </c>
      <c r="AA824">
        <v>1</v>
      </c>
      <c r="AC824">
        <v>1</v>
      </c>
      <c r="AD824">
        <v>1</v>
      </c>
      <c r="AQ824">
        <v>22</v>
      </c>
      <c r="AR824">
        <v>42.42</v>
      </c>
      <c r="AS824">
        <v>933.24</v>
      </c>
    </row>
    <row r="825" spans="1:45" hidden="1">
      <c r="A825" t="s">
        <v>28</v>
      </c>
      <c r="B825" t="s">
        <v>744</v>
      </c>
      <c r="C825" t="s">
        <v>681</v>
      </c>
      <c r="D825" t="s">
        <v>416</v>
      </c>
      <c r="E825" t="s">
        <v>172</v>
      </c>
      <c r="F825" t="s">
        <v>417</v>
      </c>
      <c r="G825" t="s">
        <v>418</v>
      </c>
      <c r="H825">
        <v>60</v>
      </c>
      <c r="I825">
        <v>4177</v>
      </c>
      <c r="AQ825">
        <v>4237</v>
      </c>
      <c r="AR825">
        <v>0.32319999999999999</v>
      </c>
      <c r="AS825">
        <v>1369.3984</v>
      </c>
    </row>
    <row r="826" spans="1:45" hidden="1">
      <c r="A826" t="s">
        <v>28</v>
      </c>
      <c r="B826" t="s">
        <v>744</v>
      </c>
      <c r="C826" t="s">
        <v>682</v>
      </c>
      <c r="D826" t="s">
        <v>419</v>
      </c>
      <c r="E826" t="s">
        <v>172</v>
      </c>
      <c r="F826" t="s">
        <v>420</v>
      </c>
      <c r="G826" t="s">
        <v>421</v>
      </c>
      <c r="H826">
        <v>3</v>
      </c>
      <c r="AQ826">
        <v>3</v>
      </c>
      <c r="AR826">
        <v>42.42</v>
      </c>
      <c r="AS826">
        <v>127.26</v>
      </c>
    </row>
    <row r="827" spans="1:45" hidden="1">
      <c r="A827" t="s">
        <v>28</v>
      </c>
      <c r="B827" t="s">
        <v>744</v>
      </c>
      <c r="C827" t="s">
        <v>683</v>
      </c>
      <c r="D827" t="s">
        <v>422</v>
      </c>
      <c r="E827" t="s">
        <v>172</v>
      </c>
      <c r="F827" t="s">
        <v>423</v>
      </c>
      <c r="G827" t="s">
        <v>407</v>
      </c>
      <c r="AQ827">
        <v>0</v>
      </c>
      <c r="AR827">
        <v>47.47</v>
      </c>
      <c r="AS827">
        <v>0</v>
      </c>
    </row>
    <row r="828" spans="1:45" hidden="1">
      <c r="A828" t="s">
        <v>28</v>
      </c>
      <c r="B828" t="s">
        <v>744</v>
      </c>
      <c r="C828" t="s">
        <v>684</v>
      </c>
      <c r="D828" t="s">
        <v>427</v>
      </c>
      <c r="E828" t="s">
        <v>172</v>
      </c>
      <c r="F828" t="s">
        <v>428</v>
      </c>
      <c r="G828" t="s">
        <v>429</v>
      </c>
      <c r="H828">
        <v>3</v>
      </c>
      <c r="AQ828">
        <v>3</v>
      </c>
      <c r="AR828">
        <v>636.29999999999995</v>
      </c>
      <c r="AS828">
        <v>1908.9</v>
      </c>
    </row>
    <row r="829" spans="1:45" hidden="1">
      <c r="A829" t="s">
        <v>28</v>
      </c>
      <c r="B829" t="s">
        <v>744</v>
      </c>
      <c r="C829" t="s">
        <v>174</v>
      </c>
      <c r="D829" t="s">
        <v>175</v>
      </c>
      <c r="E829" t="s">
        <v>172</v>
      </c>
      <c r="F829" t="s">
        <v>176</v>
      </c>
      <c r="G829" t="s">
        <v>177</v>
      </c>
      <c r="H829">
        <v>1</v>
      </c>
      <c r="AQ829">
        <v>1</v>
      </c>
      <c r="AR829">
        <v>424.2</v>
      </c>
      <c r="AS829">
        <v>424.2</v>
      </c>
    </row>
    <row r="830" spans="1:45" hidden="1">
      <c r="A830" t="s">
        <v>28</v>
      </c>
      <c r="B830" t="s">
        <v>744</v>
      </c>
      <c r="C830" t="s">
        <v>685</v>
      </c>
      <c r="D830" t="s">
        <v>430</v>
      </c>
      <c r="E830" t="s">
        <v>172</v>
      </c>
      <c r="F830" t="s">
        <v>433</v>
      </c>
      <c r="G830" t="s">
        <v>432</v>
      </c>
      <c r="H830">
        <v>4</v>
      </c>
      <c r="AQ830">
        <v>4</v>
      </c>
      <c r="AR830">
        <v>1908.9</v>
      </c>
      <c r="AS830">
        <v>7635.6</v>
      </c>
    </row>
    <row r="831" spans="1:45" hidden="1">
      <c r="A831" t="s">
        <v>28</v>
      </c>
      <c r="B831" t="s">
        <v>744</v>
      </c>
      <c r="C831" t="s">
        <v>686</v>
      </c>
      <c r="D831" t="s">
        <v>430</v>
      </c>
      <c r="E831" t="s">
        <v>172</v>
      </c>
      <c r="F831" t="s">
        <v>431</v>
      </c>
      <c r="G831" t="s">
        <v>432</v>
      </c>
      <c r="AQ831">
        <v>0</v>
      </c>
      <c r="AR831">
        <v>2121</v>
      </c>
      <c r="AS831">
        <v>0</v>
      </c>
    </row>
    <row r="832" spans="1:45" hidden="1">
      <c r="A832" t="s">
        <v>28</v>
      </c>
      <c r="B832" t="s">
        <v>744</v>
      </c>
      <c r="C832" t="s">
        <v>687</v>
      </c>
      <c r="D832" t="s">
        <v>430</v>
      </c>
      <c r="E832" t="s">
        <v>172</v>
      </c>
      <c r="F832" t="s">
        <v>438</v>
      </c>
      <c r="G832" t="s">
        <v>432</v>
      </c>
      <c r="AQ832">
        <v>0</v>
      </c>
      <c r="AR832">
        <v>2439.15</v>
      </c>
      <c r="AS832">
        <v>0</v>
      </c>
    </row>
    <row r="833" spans="1:45" hidden="1">
      <c r="A833" t="s">
        <v>28</v>
      </c>
      <c r="B833" t="s">
        <v>744</v>
      </c>
      <c r="C833" t="s">
        <v>688</v>
      </c>
      <c r="D833" t="s">
        <v>430</v>
      </c>
      <c r="E833" t="s">
        <v>172</v>
      </c>
      <c r="F833" t="s">
        <v>434</v>
      </c>
      <c r="G833" t="s">
        <v>432</v>
      </c>
      <c r="AQ833">
        <v>0</v>
      </c>
      <c r="AR833">
        <v>2651.25</v>
      </c>
      <c r="AS833">
        <v>0</v>
      </c>
    </row>
    <row r="834" spans="1:45" hidden="1">
      <c r="A834" t="s">
        <v>28</v>
      </c>
      <c r="B834" t="s">
        <v>744</v>
      </c>
      <c r="C834" t="s">
        <v>645</v>
      </c>
      <c r="D834" t="s">
        <v>435</v>
      </c>
      <c r="E834" t="s">
        <v>172</v>
      </c>
      <c r="F834" t="s">
        <v>747</v>
      </c>
      <c r="G834" t="s">
        <v>437</v>
      </c>
      <c r="AQ834">
        <v>0</v>
      </c>
      <c r="AR834">
        <v>0.28000000000000003</v>
      </c>
    </row>
    <row r="835" spans="1:45" hidden="1">
      <c r="A835" t="s">
        <v>28</v>
      </c>
      <c r="B835" t="s">
        <v>744</v>
      </c>
      <c r="C835" t="s">
        <v>645</v>
      </c>
      <c r="D835" t="s">
        <v>435</v>
      </c>
      <c r="E835" t="s">
        <v>172</v>
      </c>
      <c r="F835" t="s">
        <v>436</v>
      </c>
      <c r="G835" t="s">
        <v>437</v>
      </c>
      <c r="AQ835">
        <v>0</v>
      </c>
      <c r="AR835">
        <v>0.28000000000000003</v>
      </c>
    </row>
    <row r="836" spans="1:45" hidden="1">
      <c r="A836" t="s">
        <v>28</v>
      </c>
      <c r="B836" t="s">
        <v>744</v>
      </c>
      <c r="C836" t="s">
        <v>689</v>
      </c>
      <c r="D836" t="s">
        <v>439</v>
      </c>
      <c r="E836" t="s">
        <v>172</v>
      </c>
      <c r="F836" t="s">
        <v>690</v>
      </c>
      <c r="G836" t="s">
        <v>441</v>
      </c>
      <c r="H836">
        <v>5</v>
      </c>
      <c r="AQ836">
        <v>5</v>
      </c>
      <c r="AR836">
        <v>318.14999999999998</v>
      </c>
      <c r="AS836">
        <v>1590.75</v>
      </c>
    </row>
    <row r="837" spans="1:45" hidden="1">
      <c r="A837" t="s">
        <v>28</v>
      </c>
      <c r="B837" t="s">
        <v>744</v>
      </c>
      <c r="C837" t="s">
        <v>691</v>
      </c>
      <c r="D837" t="s">
        <v>439</v>
      </c>
      <c r="E837" t="s">
        <v>172</v>
      </c>
      <c r="F837" t="s">
        <v>442</v>
      </c>
      <c r="G837" t="s">
        <v>441</v>
      </c>
      <c r="H837">
        <v>3</v>
      </c>
      <c r="AQ837">
        <v>3</v>
      </c>
      <c r="AR837">
        <v>1272.5999999999999</v>
      </c>
      <c r="AS837">
        <v>3817.8</v>
      </c>
    </row>
    <row r="838" spans="1:45" hidden="1">
      <c r="A838" t="s">
        <v>28</v>
      </c>
      <c r="B838" t="s">
        <v>744</v>
      </c>
      <c r="C838" t="s">
        <v>692</v>
      </c>
      <c r="D838" t="s">
        <v>439</v>
      </c>
      <c r="E838" t="s">
        <v>172</v>
      </c>
      <c r="F838" t="s">
        <v>443</v>
      </c>
      <c r="G838" t="s">
        <v>441</v>
      </c>
      <c r="AQ838">
        <v>0</v>
      </c>
      <c r="AR838">
        <v>1590.75</v>
      </c>
      <c r="AS838">
        <v>0</v>
      </c>
    </row>
    <row r="839" spans="1:45" hidden="1">
      <c r="A839" t="s">
        <v>28</v>
      </c>
      <c r="B839" t="s">
        <v>744</v>
      </c>
      <c r="C839" t="s">
        <v>693</v>
      </c>
      <c r="D839" t="s">
        <v>439</v>
      </c>
      <c r="E839" t="s">
        <v>172</v>
      </c>
      <c r="F839" t="s">
        <v>440</v>
      </c>
      <c r="G839" t="s">
        <v>441</v>
      </c>
      <c r="AQ839">
        <v>0</v>
      </c>
      <c r="AR839">
        <v>1590.75</v>
      </c>
      <c r="AS839">
        <v>0</v>
      </c>
    </row>
    <row r="840" spans="1:45" hidden="1">
      <c r="A840" t="s">
        <v>28</v>
      </c>
      <c r="B840" t="s">
        <v>744</v>
      </c>
      <c r="C840" t="s">
        <v>694</v>
      </c>
      <c r="D840" t="s">
        <v>439</v>
      </c>
      <c r="E840" t="s">
        <v>172</v>
      </c>
      <c r="F840" t="s">
        <v>695</v>
      </c>
      <c r="G840" t="s">
        <v>441</v>
      </c>
      <c r="AQ840">
        <v>0</v>
      </c>
      <c r="AR840">
        <v>1802.85</v>
      </c>
      <c r="AS840">
        <v>0</v>
      </c>
    </row>
    <row r="841" spans="1:45" hidden="1">
      <c r="A841" t="s">
        <v>28</v>
      </c>
      <c r="B841" t="s">
        <v>744</v>
      </c>
      <c r="C841" t="s">
        <v>696</v>
      </c>
      <c r="D841" t="s">
        <v>446</v>
      </c>
      <c r="E841" t="s">
        <v>172</v>
      </c>
      <c r="F841" t="s">
        <v>447</v>
      </c>
      <c r="G841" t="s">
        <v>448</v>
      </c>
      <c r="H841">
        <v>43</v>
      </c>
      <c r="AQ841">
        <v>43</v>
      </c>
      <c r="AR841">
        <v>10.605</v>
      </c>
      <c r="AS841">
        <v>456.01499999999999</v>
      </c>
    </row>
    <row r="842" spans="1:45" hidden="1">
      <c r="A842" t="s">
        <v>28</v>
      </c>
      <c r="B842" t="s">
        <v>744</v>
      </c>
      <c r="C842" t="s">
        <v>178</v>
      </c>
      <c r="D842" t="s">
        <v>179</v>
      </c>
      <c r="E842" t="s">
        <v>172</v>
      </c>
      <c r="F842" t="s">
        <v>180</v>
      </c>
      <c r="G842" t="s">
        <v>181</v>
      </c>
      <c r="I842">
        <v>2</v>
      </c>
      <c r="AQ842">
        <v>2</v>
      </c>
      <c r="AR842">
        <v>106.05</v>
      </c>
      <c r="AS842">
        <v>212.1</v>
      </c>
    </row>
    <row r="843" spans="1:45" hidden="1">
      <c r="A843" t="s">
        <v>28</v>
      </c>
      <c r="B843" t="s">
        <v>744</v>
      </c>
      <c r="C843" t="s">
        <v>182</v>
      </c>
      <c r="D843" t="s">
        <v>179</v>
      </c>
      <c r="E843" t="s">
        <v>172</v>
      </c>
      <c r="F843" t="s">
        <v>183</v>
      </c>
      <c r="G843" t="s">
        <v>152</v>
      </c>
      <c r="H843">
        <v>26733</v>
      </c>
      <c r="AQ843">
        <v>26733</v>
      </c>
      <c r="AR843">
        <v>0.1515</v>
      </c>
      <c r="AS843">
        <v>4050.0495000000001</v>
      </c>
    </row>
    <row r="844" spans="1:45" hidden="1">
      <c r="A844" t="s">
        <v>28</v>
      </c>
      <c r="B844" t="s">
        <v>744</v>
      </c>
      <c r="C844" t="s">
        <v>697</v>
      </c>
      <c r="D844" t="s">
        <v>449</v>
      </c>
      <c r="E844" t="s">
        <v>172</v>
      </c>
      <c r="F844" t="s">
        <v>450</v>
      </c>
      <c r="G844" t="s">
        <v>451</v>
      </c>
      <c r="H844">
        <v>1</v>
      </c>
      <c r="AQ844">
        <v>1</v>
      </c>
      <c r="AR844">
        <v>1908.9</v>
      </c>
      <c r="AS844">
        <v>1908.9</v>
      </c>
    </row>
    <row r="845" spans="1:45" hidden="1">
      <c r="A845" t="s">
        <v>28</v>
      </c>
      <c r="B845" t="s">
        <v>744</v>
      </c>
      <c r="C845" t="s">
        <v>698</v>
      </c>
      <c r="D845" t="s">
        <v>424</v>
      </c>
      <c r="E845" t="s">
        <v>172</v>
      </c>
      <c r="F845" t="s">
        <v>425</v>
      </c>
      <c r="G845" t="s">
        <v>426</v>
      </c>
      <c r="AQ845">
        <v>0</v>
      </c>
      <c r="AR845">
        <v>132.5625</v>
      </c>
      <c r="AS845">
        <v>0</v>
      </c>
    </row>
    <row r="846" spans="1:45" hidden="1">
      <c r="A846" t="s">
        <v>28</v>
      </c>
      <c r="B846" t="s">
        <v>744</v>
      </c>
      <c r="C846" t="s">
        <v>699</v>
      </c>
      <c r="D846" t="s">
        <v>287</v>
      </c>
      <c r="E846" t="s">
        <v>172</v>
      </c>
      <c r="F846" t="s">
        <v>452</v>
      </c>
      <c r="G846" t="s">
        <v>453</v>
      </c>
      <c r="AQ846">
        <v>0</v>
      </c>
      <c r="AR846">
        <v>3181.5</v>
      </c>
      <c r="AS846">
        <v>0</v>
      </c>
    </row>
    <row r="847" spans="1:45" hidden="1">
      <c r="A847" t="s">
        <v>28</v>
      </c>
      <c r="B847" t="s">
        <v>744</v>
      </c>
      <c r="C847" t="s">
        <v>700</v>
      </c>
      <c r="D847" t="s">
        <v>287</v>
      </c>
      <c r="E847" t="s">
        <v>172</v>
      </c>
      <c r="F847" t="s">
        <v>454</v>
      </c>
      <c r="G847" t="s">
        <v>455</v>
      </c>
      <c r="AQ847">
        <v>0</v>
      </c>
      <c r="AR847">
        <v>318150</v>
      </c>
      <c r="AS847">
        <v>0</v>
      </c>
    </row>
    <row r="848" spans="1:45" hidden="1">
      <c r="A848" t="s">
        <v>28</v>
      </c>
      <c r="B848" t="s">
        <v>744</v>
      </c>
      <c r="C848" t="s">
        <v>701</v>
      </c>
      <c r="D848" t="s">
        <v>287</v>
      </c>
      <c r="E848" t="s">
        <v>172</v>
      </c>
      <c r="F848" t="s">
        <v>456</v>
      </c>
      <c r="G848" t="s">
        <v>457</v>
      </c>
      <c r="AQ848">
        <v>0</v>
      </c>
      <c r="AR848">
        <v>238612.5</v>
      </c>
      <c r="AS848">
        <v>0</v>
      </c>
    </row>
    <row r="849" spans="1:45" hidden="1">
      <c r="A849" t="s">
        <v>28</v>
      </c>
      <c r="B849" t="s">
        <v>744</v>
      </c>
      <c r="C849" t="s">
        <v>184</v>
      </c>
      <c r="D849" t="s">
        <v>185</v>
      </c>
      <c r="E849" t="s">
        <v>186</v>
      </c>
      <c r="F849" t="s">
        <v>187</v>
      </c>
      <c r="G849" t="s">
        <v>188</v>
      </c>
      <c r="AQ849">
        <v>0</v>
      </c>
      <c r="AR849">
        <v>2121</v>
      </c>
      <c r="AS849">
        <v>0</v>
      </c>
    </row>
    <row r="850" spans="1:45" hidden="1">
      <c r="A850" t="s">
        <v>28</v>
      </c>
      <c r="B850" t="s">
        <v>744</v>
      </c>
      <c r="C850" t="s">
        <v>189</v>
      </c>
      <c r="D850" t="s">
        <v>190</v>
      </c>
      <c r="E850" t="s">
        <v>186</v>
      </c>
      <c r="F850" t="s">
        <v>191</v>
      </c>
      <c r="G850" t="s">
        <v>192</v>
      </c>
      <c r="H850">
        <v>3</v>
      </c>
      <c r="I850">
        <v>1</v>
      </c>
      <c r="AQ850">
        <v>4</v>
      </c>
      <c r="AR850">
        <v>1060.5</v>
      </c>
      <c r="AS850">
        <v>4242</v>
      </c>
    </row>
    <row r="851" spans="1:45" hidden="1">
      <c r="A851" t="s">
        <v>28</v>
      </c>
      <c r="B851" t="s">
        <v>744</v>
      </c>
      <c r="C851" t="s">
        <v>702</v>
      </c>
      <c r="D851" t="s">
        <v>190</v>
      </c>
      <c r="E851" t="s">
        <v>186</v>
      </c>
      <c r="F851" t="s">
        <v>458</v>
      </c>
      <c r="G851" t="s">
        <v>459</v>
      </c>
      <c r="H851">
        <v>1</v>
      </c>
      <c r="AQ851">
        <v>1</v>
      </c>
      <c r="AR851">
        <v>1590.75</v>
      </c>
      <c r="AS851">
        <v>1590.75</v>
      </c>
    </row>
    <row r="852" spans="1:45" hidden="1">
      <c r="A852" t="s">
        <v>28</v>
      </c>
      <c r="B852" t="s">
        <v>744</v>
      </c>
      <c r="C852" t="s">
        <v>193</v>
      </c>
      <c r="D852" t="s">
        <v>194</v>
      </c>
      <c r="E852" t="s">
        <v>186</v>
      </c>
      <c r="F852" t="s">
        <v>195</v>
      </c>
      <c r="G852" t="s">
        <v>152</v>
      </c>
      <c r="H852">
        <v>19554</v>
      </c>
      <c r="I852">
        <v>997</v>
      </c>
      <c r="J852">
        <v>1245</v>
      </c>
      <c r="K852">
        <v>651</v>
      </c>
      <c r="L852">
        <v>315</v>
      </c>
      <c r="M852">
        <v>1195</v>
      </c>
      <c r="N852">
        <v>666</v>
      </c>
      <c r="O852">
        <v>52.8</v>
      </c>
      <c r="P852">
        <v>495</v>
      </c>
      <c r="Q852">
        <v>1465</v>
      </c>
      <c r="R852">
        <v>17</v>
      </c>
      <c r="AA852">
        <v>65.53</v>
      </c>
      <c r="AC852">
        <v>65.53</v>
      </c>
      <c r="AD852">
        <v>100.4</v>
      </c>
      <c r="AQ852">
        <v>26884.26</v>
      </c>
      <c r="AR852">
        <v>0.63629999999999998</v>
      </c>
      <c r="AS852">
        <v>17106.454637999999</v>
      </c>
    </row>
    <row r="853" spans="1:45" hidden="1">
      <c r="A853" t="s">
        <v>28</v>
      </c>
      <c r="B853" t="s">
        <v>744</v>
      </c>
      <c r="C853" t="s">
        <v>197</v>
      </c>
      <c r="D853" t="s">
        <v>198</v>
      </c>
      <c r="E853" t="s">
        <v>186</v>
      </c>
      <c r="F853" t="s">
        <v>199</v>
      </c>
      <c r="G853" t="s">
        <v>200</v>
      </c>
      <c r="H853">
        <v>1</v>
      </c>
      <c r="I853">
        <v>1</v>
      </c>
      <c r="AQ853">
        <v>2</v>
      </c>
      <c r="AR853">
        <v>4984.3500000000004</v>
      </c>
      <c r="AS853">
        <v>9968.7000000000007</v>
      </c>
    </row>
    <row r="854" spans="1:45" hidden="1">
      <c r="A854" t="s">
        <v>28</v>
      </c>
      <c r="B854" t="s">
        <v>744</v>
      </c>
      <c r="C854" t="s">
        <v>201</v>
      </c>
      <c r="D854" t="s">
        <v>202</v>
      </c>
      <c r="E854" t="s">
        <v>186</v>
      </c>
      <c r="F854" t="s">
        <v>203</v>
      </c>
      <c r="G854" t="s">
        <v>204</v>
      </c>
      <c r="AQ854">
        <v>0</v>
      </c>
      <c r="AR854">
        <v>31.815000000000001</v>
      </c>
      <c r="AS854">
        <v>0</v>
      </c>
    </row>
    <row r="855" spans="1:45" hidden="1">
      <c r="A855" t="s">
        <v>28</v>
      </c>
      <c r="B855" t="s">
        <v>744</v>
      </c>
      <c r="C855" t="s">
        <v>703</v>
      </c>
      <c r="D855" t="s">
        <v>460</v>
      </c>
      <c r="E855" t="s">
        <v>186</v>
      </c>
      <c r="F855" t="s">
        <v>461</v>
      </c>
      <c r="G855" t="s">
        <v>462</v>
      </c>
      <c r="AQ855">
        <v>0</v>
      </c>
      <c r="AR855">
        <v>15907.5</v>
      </c>
      <c r="AS855">
        <v>0</v>
      </c>
    </row>
    <row r="856" spans="1:45" hidden="1">
      <c r="A856" t="s">
        <v>28</v>
      </c>
      <c r="B856" t="s">
        <v>744</v>
      </c>
      <c r="C856" t="s">
        <v>704</v>
      </c>
      <c r="D856" t="s">
        <v>468</v>
      </c>
      <c r="E856" t="s">
        <v>186</v>
      </c>
      <c r="F856" t="s">
        <v>469</v>
      </c>
      <c r="G856" t="s">
        <v>470</v>
      </c>
      <c r="AQ856">
        <v>0</v>
      </c>
      <c r="AR856">
        <v>159.07499999999999</v>
      </c>
      <c r="AS856">
        <v>0</v>
      </c>
    </row>
    <row r="857" spans="1:45" hidden="1">
      <c r="A857" t="s">
        <v>28</v>
      </c>
      <c r="B857" t="s">
        <v>744</v>
      </c>
      <c r="C857" t="s">
        <v>705</v>
      </c>
      <c r="D857" t="s">
        <v>463</v>
      </c>
      <c r="E857" t="s">
        <v>186</v>
      </c>
      <c r="F857" t="s">
        <v>466</v>
      </c>
      <c r="G857" t="s">
        <v>467</v>
      </c>
      <c r="AQ857">
        <v>0</v>
      </c>
      <c r="AR857">
        <v>509.04</v>
      </c>
      <c r="AS857">
        <v>0</v>
      </c>
    </row>
    <row r="858" spans="1:45" hidden="1">
      <c r="A858" t="s">
        <v>28</v>
      </c>
      <c r="B858" t="s">
        <v>744</v>
      </c>
      <c r="C858" t="s">
        <v>706</v>
      </c>
      <c r="D858" t="s">
        <v>463</v>
      </c>
      <c r="E858" t="s">
        <v>186</v>
      </c>
      <c r="F858" t="s">
        <v>464</v>
      </c>
      <c r="G858" t="s">
        <v>465</v>
      </c>
      <c r="AQ858">
        <v>0</v>
      </c>
      <c r="AR858">
        <v>1060.5</v>
      </c>
      <c r="AS858">
        <v>0</v>
      </c>
    </row>
    <row r="859" spans="1:45" hidden="1">
      <c r="A859" t="s">
        <v>28</v>
      </c>
      <c r="B859" t="s">
        <v>744</v>
      </c>
      <c r="C859" t="s">
        <v>707</v>
      </c>
      <c r="D859" t="s">
        <v>471</v>
      </c>
      <c r="E859" t="s">
        <v>186</v>
      </c>
      <c r="F859" t="s">
        <v>472</v>
      </c>
      <c r="G859" t="s">
        <v>473</v>
      </c>
      <c r="AQ859">
        <v>0</v>
      </c>
      <c r="AR859">
        <v>15377.25</v>
      </c>
      <c r="AS859">
        <v>0</v>
      </c>
    </row>
    <row r="860" spans="1:45" hidden="1">
      <c r="A860" t="s">
        <v>28</v>
      </c>
      <c r="B860" t="s">
        <v>744</v>
      </c>
      <c r="C860" t="s">
        <v>205</v>
      </c>
      <c r="D860" t="s">
        <v>206</v>
      </c>
      <c r="E860" t="s">
        <v>207</v>
      </c>
      <c r="F860" t="s">
        <v>208</v>
      </c>
      <c r="G860" t="s">
        <v>209</v>
      </c>
      <c r="H860">
        <v>5663</v>
      </c>
      <c r="AQ860">
        <v>5663</v>
      </c>
      <c r="AR860">
        <v>0.16159999999999999</v>
      </c>
      <c r="AS860">
        <v>915.14080000000001</v>
      </c>
    </row>
    <row r="861" spans="1:45" hidden="1">
      <c r="A861" t="s">
        <v>28</v>
      </c>
      <c r="B861" t="s">
        <v>744</v>
      </c>
      <c r="C861" t="s">
        <v>210</v>
      </c>
      <c r="D861" t="s">
        <v>211</v>
      </c>
      <c r="E861" t="s">
        <v>207</v>
      </c>
      <c r="F861" t="s">
        <v>212</v>
      </c>
      <c r="G861" t="s">
        <v>209</v>
      </c>
      <c r="H861">
        <v>19952</v>
      </c>
      <c r="I861">
        <v>1446</v>
      </c>
      <c r="K861">
        <v>1750</v>
      </c>
      <c r="M861">
        <v>1195</v>
      </c>
      <c r="N861">
        <v>666</v>
      </c>
      <c r="Q861">
        <v>1465</v>
      </c>
      <c r="AQ861">
        <v>26474</v>
      </c>
      <c r="AR861">
        <v>0.63629999999999998</v>
      </c>
      <c r="AS861">
        <v>16845.406200000001</v>
      </c>
    </row>
    <row r="862" spans="1:45" hidden="1">
      <c r="A862" t="s">
        <v>28</v>
      </c>
      <c r="B862" t="s">
        <v>744</v>
      </c>
      <c r="C862" t="s">
        <v>213</v>
      </c>
      <c r="D862" t="s">
        <v>214</v>
      </c>
      <c r="E862" t="s">
        <v>207</v>
      </c>
      <c r="F862" t="s">
        <v>215</v>
      </c>
      <c r="G862" t="s">
        <v>152</v>
      </c>
      <c r="H862">
        <v>21778</v>
      </c>
      <c r="I862">
        <v>1446</v>
      </c>
      <c r="J862">
        <v>1245</v>
      </c>
      <c r="K862">
        <v>1750</v>
      </c>
      <c r="L862">
        <v>315</v>
      </c>
      <c r="M862">
        <v>1195</v>
      </c>
      <c r="N862">
        <v>666</v>
      </c>
      <c r="O862">
        <v>52.8</v>
      </c>
      <c r="P862">
        <v>495</v>
      </c>
      <c r="Q862">
        <v>1465</v>
      </c>
      <c r="R862">
        <v>17</v>
      </c>
      <c r="AA862">
        <v>65.53</v>
      </c>
      <c r="AC862">
        <v>65.53</v>
      </c>
      <c r="AD862">
        <v>100.4</v>
      </c>
      <c r="AQ862">
        <v>30656.26</v>
      </c>
      <c r="AR862">
        <v>0.32319999999999999</v>
      </c>
      <c r="AS862">
        <v>9908.1032319999995</v>
      </c>
    </row>
    <row r="863" spans="1:45" hidden="1">
      <c r="A863" t="s">
        <v>28</v>
      </c>
      <c r="B863" t="s">
        <v>744</v>
      </c>
      <c r="C863" t="s">
        <v>255</v>
      </c>
      <c r="D863" t="s">
        <v>256</v>
      </c>
      <c r="E863" t="s">
        <v>207</v>
      </c>
      <c r="F863" t="s">
        <v>257</v>
      </c>
      <c r="G863" t="s">
        <v>258</v>
      </c>
      <c r="H863">
        <v>131</v>
      </c>
      <c r="I863">
        <v>9</v>
      </c>
      <c r="J863">
        <v>4</v>
      </c>
      <c r="K863">
        <v>12</v>
      </c>
      <c r="L863">
        <v>1</v>
      </c>
      <c r="M863">
        <v>2</v>
      </c>
      <c r="N863">
        <v>8</v>
      </c>
      <c r="P863">
        <v>4</v>
      </c>
      <c r="Q863">
        <v>5</v>
      </c>
      <c r="AQ863">
        <v>176</v>
      </c>
      <c r="AR863">
        <v>31.815000000000001</v>
      </c>
      <c r="AS863">
        <v>5599.44</v>
      </c>
    </row>
    <row r="864" spans="1:45" hidden="1">
      <c r="A864" t="s">
        <v>28</v>
      </c>
      <c r="B864" t="s">
        <v>744</v>
      </c>
      <c r="C864" t="s">
        <v>217</v>
      </c>
      <c r="D864" t="s">
        <v>218</v>
      </c>
      <c r="E864" t="s">
        <v>207</v>
      </c>
      <c r="F864" t="s">
        <v>219</v>
      </c>
      <c r="G864" t="s">
        <v>220</v>
      </c>
      <c r="H864">
        <v>261</v>
      </c>
      <c r="I864">
        <v>10</v>
      </c>
      <c r="J864">
        <v>15</v>
      </c>
      <c r="K864">
        <v>15</v>
      </c>
      <c r="L864">
        <v>3</v>
      </c>
      <c r="M864">
        <v>12</v>
      </c>
      <c r="N864">
        <v>11</v>
      </c>
      <c r="O864">
        <v>1</v>
      </c>
      <c r="P864">
        <v>6</v>
      </c>
      <c r="Q864">
        <v>23</v>
      </c>
      <c r="AA864">
        <v>1</v>
      </c>
      <c r="AC864">
        <v>1</v>
      </c>
      <c r="AD864">
        <v>2</v>
      </c>
      <c r="AQ864">
        <v>361</v>
      </c>
      <c r="AR864">
        <v>9.5950000000000006</v>
      </c>
      <c r="AS864">
        <v>3463.7950000000001</v>
      </c>
    </row>
    <row r="865" spans="1:45" hidden="1">
      <c r="A865" t="s">
        <v>28</v>
      </c>
      <c r="B865" t="s">
        <v>744</v>
      </c>
      <c r="C865" t="s">
        <v>708</v>
      </c>
      <c r="D865" t="s">
        <v>474</v>
      </c>
      <c r="E865" t="s">
        <v>207</v>
      </c>
      <c r="F865" t="s">
        <v>475</v>
      </c>
      <c r="G865" t="s">
        <v>476</v>
      </c>
      <c r="H865">
        <v>12</v>
      </c>
      <c r="AQ865">
        <v>12</v>
      </c>
      <c r="AR865">
        <v>79.790000000000006</v>
      </c>
      <c r="AS865">
        <v>957.48</v>
      </c>
    </row>
    <row r="866" spans="1:45" hidden="1">
      <c r="A866" t="s">
        <v>28</v>
      </c>
      <c r="B866" t="s">
        <v>744</v>
      </c>
      <c r="C866" t="s">
        <v>709</v>
      </c>
      <c r="D866" t="s">
        <v>477</v>
      </c>
      <c r="E866" t="s">
        <v>207</v>
      </c>
      <c r="F866" t="s">
        <v>478</v>
      </c>
      <c r="G866" t="s">
        <v>479</v>
      </c>
      <c r="AQ866">
        <v>0</v>
      </c>
      <c r="AR866">
        <v>2.121</v>
      </c>
      <c r="AS866">
        <v>0</v>
      </c>
    </row>
    <row r="867" spans="1:45" hidden="1">
      <c r="A867" t="s">
        <v>28</v>
      </c>
      <c r="B867" t="s">
        <v>744</v>
      </c>
      <c r="C867" t="s">
        <v>221</v>
      </c>
      <c r="D867" t="s">
        <v>222</v>
      </c>
      <c r="E867" t="s">
        <v>207</v>
      </c>
      <c r="F867" t="s">
        <v>223</v>
      </c>
      <c r="G867" t="s">
        <v>224</v>
      </c>
      <c r="H867">
        <v>1</v>
      </c>
      <c r="AQ867">
        <v>1</v>
      </c>
      <c r="AR867">
        <v>2651.25</v>
      </c>
      <c r="AS867">
        <v>2651.25</v>
      </c>
    </row>
    <row r="868" spans="1:45" hidden="1">
      <c r="A868" t="s">
        <v>28</v>
      </c>
      <c r="B868" t="s">
        <v>744</v>
      </c>
      <c r="C868" t="s">
        <v>225</v>
      </c>
      <c r="D868" t="s">
        <v>226</v>
      </c>
      <c r="E868" t="s">
        <v>207</v>
      </c>
      <c r="F868" t="s">
        <v>227</v>
      </c>
      <c r="G868" t="s">
        <v>228</v>
      </c>
      <c r="H868">
        <v>45</v>
      </c>
      <c r="Q868">
        <v>6</v>
      </c>
      <c r="AQ868">
        <v>51</v>
      </c>
      <c r="AR868">
        <v>21.21</v>
      </c>
      <c r="AS868">
        <v>1081.71</v>
      </c>
    </row>
    <row r="869" spans="1:45" hidden="1">
      <c r="A869" t="s">
        <v>28</v>
      </c>
      <c r="B869" t="s">
        <v>744</v>
      </c>
      <c r="C869" t="s">
        <v>710</v>
      </c>
      <c r="D869" t="s">
        <v>480</v>
      </c>
      <c r="E869" t="s">
        <v>207</v>
      </c>
      <c r="F869" t="s">
        <v>481</v>
      </c>
      <c r="G869" t="s">
        <v>482</v>
      </c>
      <c r="H869">
        <v>5</v>
      </c>
      <c r="AQ869">
        <v>5</v>
      </c>
      <c r="AR869">
        <v>1272.5999999999999</v>
      </c>
      <c r="AS869">
        <v>6363</v>
      </c>
    </row>
    <row r="870" spans="1:45" hidden="1">
      <c r="A870" t="s">
        <v>28</v>
      </c>
      <c r="B870" t="s">
        <v>744</v>
      </c>
      <c r="C870" t="s">
        <v>711</v>
      </c>
      <c r="D870" t="s">
        <v>488</v>
      </c>
      <c r="E870" t="s">
        <v>207</v>
      </c>
      <c r="F870" t="s">
        <v>489</v>
      </c>
      <c r="G870" t="s">
        <v>490</v>
      </c>
      <c r="AQ870">
        <v>0</v>
      </c>
      <c r="AR870">
        <v>0.5353</v>
      </c>
      <c r="AS870">
        <v>0</v>
      </c>
    </row>
    <row r="871" spans="1:45" hidden="1">
      <c r="A871" t="s">
        <v>28</v>
      </c>
      <c r="B871" t="s">
        <v>744</v>
      </c>
      <c r="C871" t="s">
        <v>712</v>
      </c>
      <c r="D871" t="s">
        <v>483</v>
      </c>
      <c r="E871" t="s">
        <v>207</v>
      </c>
      <c r="F871" t="s">
        <v>484</v>
      </c>
      <c r="G871" t="s">
        <v>392</v>
      </c>
      <c r="AQ871">
        <v>0</v>
      </c>
      <c r="AR871">
        <v>2121</v>
      </c>
      <c r="AS871">
        <v>0</v>
      </c>
    </row>
    <row r="872" spans="1:45" hidden="1">
      <c r="A872" t="s">
        <v>28</v>
      </c>
      <c r="B872" t="s">
        <v>744</v>
      </c>
      <c r="C872" t="s">
        <v>713</v>
      </c>
      <c r="D872" t="s">
        <v>485</v>
      </c>
      <c r="E872" t="s">
        <v>207</v>
      </c>
      <c r="F872" t="s">
        <v>486</v>
      </c>
      <c r="G872" t="s">
        <v>487</v>
      </c>
      <c r="H872">
        <v>2</v>
      </c>
      <c r="AQ872">
        <v>2</v>
      </c>
      <c r="AR872">
        <v>265.125</v>
      </c>
      <c r="AS872">
        <v>530.25</v>
      </c>
    </row>
    <row r="873" spans="1:45" hidden="1">
      <c r="A873" t="s">
        <v>28</v>
      </c>
      <c r="B873" t="s">
        <v>744</v>
      </c>
      <c r="C873" t="s">
        <v>229</v>
      </c>
      <c r="D873" t="s">
        <v>230</v>
      </c>
      <c r="E873" t="s">
        <v>231</v>
      </c>
      <c r="F873" t="s">
        <v>232</v>
      </c>
      <c r="G873" t="s">
        <v>233</v>
      </c>
      <c r="H873">
        <v>7</v>
      </c>
      <c r="J873">
        <v>2</v>
      </c>
      <c r="AQ873">
        <v>9</v>
      </c>
      <c r="AR873">
        <v>1484.7</v>
      </c>
      <c r="AS873">
        <v>13362.3</v>
      </c>
    </row>
    <row r="874" spans="1:45" hidden="1">
      <c r="A874" t="s">
        <v>28</v>
      </c>
      <c r="B874" t="s">
        <v>744</v>
      </c>
      <c r="C874" t="s">
        <v>234</v>
      </c>
      <c r="D874" t="s">
        <v>230</v>
      </c>
      <c r="E874" t="s">
        <v>231</v>
      </c>
      <c r="F874" t="s">
        <v>285</v>
      </c>
      <c r="G874" t="s">
        <v>233</v>
      </c>
      <c r="AQ874">
        <v>0</v>
      </c>
      <c r="AR874">
        <v>1696.8</v>
      </c>
      <c r="AS874">
        <v>0</v>
      </c>
    </row>
    <row r="875" spans="1:45" hidden="1">
      <c r="A875" t="s">
        <v>28</v>
      </c>
      <c r="B875" t="s">
        <v>744</v>
      </c>
      <c r="C875" t="s">
        <v>714</v>
      </c>
      <c r="D875" t="s">
        <v>230</v>
      </c>
      <c r="E875" t="s">
        <v>231</v>
      </c>
      <c r="F875" t="s">
        <v>491</v>
      </c>
      <c r="G875" t="s">
        <v>233</v>
      </c>
      <c r="AQ875">
        <v>0</v>
      </c>
      <c r="AR875">
        <v>1908.9</v>
      </c>
      <c r="AS875">
        <v>0</v>
      </c>
    </row>
    <row r="876" spans="1:45" hidden="1">
      <c r="A876" t="s">
        <v>28</v>
      </c>
      <c r="B876" t="s">
        <v>744</v>
      </c>
      <c r="C876" t="s">
        <v>236</v>
      </c>
      <c r="D876" t="s">
        <v>237</v>
      </c>
      <c r="E876" t="s">
        <v>231</v>
      </c>
      <c r="F876" t="s">
        <v>238</v>
      </c>
      <c r="G876" t="s">
        <v>239</v>
      </c>
      <c r="I876">
        <v>1</v>
      </c>
      <c r="M876">
        <v>1</v>
      </c>
      <c r="AQ876">
        <v>2</v>
      </c>
      <c r="AR876">
        <v>265.125</v>
      </c>
      <c r="AS876">
        <v>530.25</v>
      </c>
    </row>
    <row r="877" spans="1:45" hidden="1">
      <c r="A877" t="s">
        <v>28</v>
      </c>
      <c r="B877" t="s">
        <v>744</v>
      </c>
      <c r="C877" t="s">
        <v>715</v>
      </c>
      <c r="D877" t="s">
        <v>492</v>
      </c>
      <c r="E877" t="s">
        <v>231</v>
      </c>
      <c r="F877" t="s">
        <v>493</v>
      </c>
      <c r="G877" t="s">
        <v>494</v>
      </c>
      <c r="AQ877">
        <v>0</v>
      </c>
      <c r="AR877">
        <v>742.35</v>
      </c>
      <c r="AS877">
        <v>0</v>
      </c>
    </row>
    <row r="878" spans="1:45" hidden="1">
      <c r="A878" t="s">
        <v>28</v>
      </c>
      <c r="B878" t="s">
        <v>744</v>
      </c>
      <c r="C878" t="s">
        <v>716</v>
      </c>
      <c r="D878" t="s">
        <v>495</v>
      </c>
      <c r="E878" t="s">
        <v>231</v>
      </c>
      <c r="F878" t="s">
        <v>496</v>
      </c>
      <c r="G878" t="s">
        <v>497</v>
      </c>
      <c r="H878">
        <v>4</v>
      </c>
      <c r="AQ878">
        <v>4</v>
      </c>
      <c r="AR878">
        <v>848.4</v>
      </c>
      <c r="AS878">
        <v>3393.6</v>
      </c>
    </row>
    <row r="879" spans="1:45" hidden="1">
      <c r="A879" t="s">
        <v>28</v>
      </c>
      <c r="B879" t="s">
        <v>744</v>
      </c>
      <c r="C879" t="s">
        <v>717</v>
      </c>
      <c r="D879" t="s">
        <v>498</v>
      </c>
      <c r="E879" t="s">
        <v>242</v>
      </c>
      <c r="F879" t="s">
        <v>499</v>
      </c>
      <c r="G879" t="s">
        <v>500</v>
      </c>
      <c r="H879">
        <v>23636</v>
      </c>
      <c r="I879">
        <v>1446</v>
      </c>
      <c r="J879">
        <v>1245</v>
      </c>
      <c r="K879">
        <v>651</v>
      </c>
      <c r="L879">
        <v>315</v>
      </c>
      <c r="M879">
        <v>1195</v>
      </c>
      <c r="N879">
        <v>666</v>
      </c>
      <c r="O879">
        <v>52.8</v>
      </c>
      <c r="P879">
        <v>495</v>
      </c>
      <c r="Q879">
        <v>1465</v>
      </c>
      <c r="R879">
        <v>17</v>
      </c>
      <c r="AA879">
        <v>65.53</v>
      </c>
      <c r="AC879">
        <v>65.53</v>
      </c>
      <c r="AD879">
        <v>100.4</v>
      </c>
      <c r="AQ879">
        <v>31415.26</v>
      </c>
      <c r="AR879">
        <v>1.4341999999999999</v>
      </c>
      <c r="AS879">
        <v>45055.765892000003</v>
      </c>
    </row>
    <row r="880" spans="1:45" hidden="1">
      <c r="A880" t="s">
        <v>28</v>
      </c>
      <c r="B880" t="s">
        <v>744</v>
      </c>
      <c r="C880" t="s">
        <v>718</v>
      </c>
      <c r="D880" t="s">
        <v>504</v>
      </c>
      <c r="E880" t="s">
        <v>242</v>
      </c>
      <c r="F880" t="s">
        <v>505</v>
      </c>
      <c r="G880" t="s">
        <v>506</v>
      </c>
      <c r="H880">
        <v>5368</v>
      </c>
      <c r="M880">
        <v>50</v>
      </c>
      <c r="N880">
        <v>174</v>
      </c>
      <c r="Q880">
        <v>1465</v>
      </c>
      <c r="AQ880">
        <v>7057</v>
      </c>
      <c r="AR880">
        <v>0.84840000000000004</v>
      </c>
      <c r="AS880">
        <v>5987.1588000000002</v>
      </c>
    </row>
    <row r="881" spans="1:45" hidden="1">
      <c r="A881" t="s">
        <v>28</v>
      </c>
      <c r="B881" t="s">
        <v>744</v>
      </c>
      <c r="C881" t="s">
        <v>719</v>
      </c>
      <c r="D881" t="s">
        <v>501</v>
      </c>
      <c r="E881" t="s">
        <v>242</v>
      </c>
      <c r="F881" t="s">
        <v>502</v>
      </c>
      <c r="G881" t="s">
        <v>503</v>
      </c>
      <c r="N881">
        <v>1</v>
      </c>
      <c r="AQ881">
        <v>1</v>
      </c>
      <c r="AR881">
        <v>1272.5999999999999</v>
      </c>
      <c r="AS881">
        <v>1272.5999999999999</v>
      </c>
    </row>
    <row r="882" spans="1:45" hidden="1">
      <c r="A882" t="s">
        <v>28</v>
      </c>
      <c r="B882" t="s">
        <v>744</v>
      </c>
      <c r="C882" t="s">
        <v>720</v>
      </c>
      <c r="D882" t="s">
        <v>518</v>
      </c>
      <c r="E882" t="s">
        <v>242</v>
      </c>
      <c r="F882" t="s">
        <v>519</v>
      </c>
      <c r="G882" t="s">
        <v>517</v>
      </c>
      <c r="AQ882">
        <v>0</v>
      </c>
      <c r="AR882">
        <v>3181.5</v>
      </c>
      <c r="AS882">
        <v>0</v>
      </c>
    </row>
    <row r="883" spans="1:45" hidden="1">
      <c r="A883" t="s">
        <v>28</v>
      </c>
      <c r="B883" t="s">
        <v>744</v>
      </c>
      <c r="C883" t="s">
        <v>721</v>
      </c>
      <c r="D883" t="s">
        <v>520</v>
      </c>
      <c r="E883" t="s">
        <v>242</v>
      </c>
      <c r="F883" t="s">
        <v>521</v>
      </c>
      <c r="G883" t="s">
        <v>517</v>
      </c>
      <c r="AQ883">
        <v>0</v>
      </c>
      <c r="AR883">
        <v>2651.25</v>
      </c>
      <c r="AS883">
        <v>0</v>
      </c>
    </row>
    <row r="884" spans="1:45" hidden="1">
      <c r="A884" t="s">
        <v>28</v>
      </c>
      <c r="B884" t="s">
        <v>744</v>
      </c>
      <c r="C884" t="s">
        <v>240</v>
      </c>
      <c r="D884" t="s">
        <v>241</v>
      </c>
      <c r="E884" t="s">
        <v>242</v>
      </c>
      <c r="F884" t="s">
        <v>243</v>
      </c>
      <c r="G884" t="s">
        <v>244</v>
      </c>
      <c r="H884">
        <v>4</v>
      </c>
      <c r="J884">
        <v>1</v>
      </c>
      <c r="AQ884">
        <v>5</v>
      </c>
      <c r="AR884">
        <v>318.14999999999998</v>
      </c>
      <c r="AS884">
        <v>1590.75</v>
      </c>
    </row>
    <row r="885" spans="1:45" hidden="1">
      <c r="A885" t="s">
        <v>28</v>
      </c>
      <c r="B885" t="s">
        <v>744</v>
      </c>
      <c r="C885" t="s">
        <v>245</v>
      </c>
      <c r="D885" t="s">
        <v>246</v>
      </c>
      <c r="E885" t="s">
        <v>242</v>
      </c>
      <c r="F885" t="s">
        <v>247</v>
      </c>
      <c r="G885" t="s">
        <v>248</v>
      </c>
      <c r="H885">
        <v>6</v>
      </c>
      <c r="I885">
        <v>1</v>
      </c>
      <c r="K885">
        <v>1</v>
      </c>
      <c r="Q885">
        <v>1</v>
      </c>
      <c r="AQ885">
        <v>9</v>
      </c>
      <c r="AR885">
        <v>265.125</v>
      </c>
      <c r="AS885">
        <v>2386.125</v>
      </c>
    </row>
    <row r="886" spans="1:45" hidden="1">
      <c r="A886" t="s">
        <v>28</v>
      </c>
      <c r="B886" t="s">
        <v>744</v>
      </c>
      <c r="C886" t="s">
        <v>259</v>
      </c>
      <c r="D886" t="s">
        <v>260</v>
      </c>
      <c r="E886" t="s">
        <v>242</v>
      </c>
      <c r="F886" t="s">
        <v>261</v>
      </c>
      <c r="G886" t="s">
        <v>262</v>
      </c>
      <c r="H886">
        <v>2</v>
      </c>
      <c r="I886">
        <v>1</v>
      </c>
      <c r="AQ886">
        <v>3</v>
      </c>
      <c r="AR886">
        <v>318.14999999999998</v>
      </c>
      <c r="AS886">
        <v>954.45</v>
      </c>
    </row>
    <row r="887" spans="1:45" hidden="1">
      <c r="A887" t="s">
        <v>28</v>
      </c>
      <c r="B887" t="s">
        <v>744</v>
      </c>
      <c r="C887" t="s">
        <v>722</v>
      </c>
      <c r="D887" t="s">
        <v>507</v>
      </c>
      <c r="E887" t="s">
        <v>242</v>
      </c>
      <c r="F887" t="s">
        <v>508</v>
      </c>
      <c r="G887" t="s">
        <v>509</v>
      </c>
      <c r="AQ887">
        <v>0</v>
      </c>
      <c r="AR887">
        <v>2121</v>
      </c>
      <c r="AS887">
        <v>0</v>
      </c>
    </row>
    <row r="888" spans="1:45" hidden="1">
      <c r="A888" t="s">
        <v>28</v>
      </c>
      <c r="B888" t="s">
        <v>744</v>
      </c>
      <c r="C888" t="s">
        <v>723</v>
      </c>
      <c r="D888" t="s">
        <v>510</v>
      </c>
      <c r="E888" t="s">
        <v>242</v>
      </c>
      <c r="F888" t="s">
        <v>511</v>
      </c>
      <c r="G888" t="s">
        <v>512</v>
      </c>
      <c r="H888">
        <v>10</v>
      </c>
      <c r="I888">
        <v>1</v>
      </c>
      <c r="J888">
        <v>1</v>
      </c>
      <c r="AQ888">
        <v>12</v>
      </c>
      <c r="AR888">
        <v>212.1</v>
      </c>
      <c r="AS888">
        <v>2545.1999999999998</v>
      </c>
    </row>
    <row r="889" spans="1:45" hidden="1">
      <c r="A889" t="s">
        <v>28</v>
      </c>
      <c r="B889" t="s">
        <v>744</v>
      </c>
      <c r="C889" t="s">
        <v>724</v>
      </c>
      <c r="D889" t="s">
        <v>526</v>
      </c>
      <c r="E889" t="s">
        <v>242</v>
      </c>
      <c r="F889" t="s">
        <v>527</v>
      </c>
      <c r="G889" t="s">
        <v>528</v>
      </c>
      <c r="H889">
        <v>19250</v>
      </c>
      <c r="I889">
        <v>186</v>
      </c>
      <c r="M889">
        <v>800</v>
      </c>
      <c r="N889">
        <v>70</v>
      </c>
      <c r="Q889">
        <v>150</v>
      </c>
      <c r="AQ889">
        <v>20456</v>
      </c>
      <c r="AR889">
        <v>0.42420000000000002</v>
      </c>
      <c r="AS889">
        <v>8677.4351999999999</v>
      </c>
    </row>
    <row r="890" spans="1:45" hidden="1">
      <c r="A890" t="s">
        <v>28</v>
      </c>
      <c r="B890" t="s">
        <v>744</v>
      </c>
      <c r="C890" t="s">
        <v>725</v>
      </c>
      <c r="D890" t="s">
        <v>529</v>
      </c>
      <c r="E890" t="s">
        <v>242</v>
      </c>
      <c r="F890" t="s">
        <v>530</v>
      </c>
      <c r="G890" t="s">
        <v>531</v>
      </c>
      <c r="H890">
        <v>10</v>
      </c>
      <c r="AQ890">
        <v>10</v>
      </c>
      <c r="AR890">
        <v>212.1</v>
      </c>
      <c r="AS890">
        <v>2121</v>
      </c>
    </row>
    <row r="891" spans="1:45" hidden="1">
      <c r="A891" t="s">
        <v>28</v>
      </c>
      <c r="B891" t="s">
        <v>744</v>
      </c>
      <c r="C891" t="s">
        <v>726</v>
      </c>
      <c r="D891" t="s">
        <v>532</v>
      </c>
      <c r="E891" t="s">
        <v>242</v>
      </c>
      <c r="F891" t="s">
        <v>533</v>
      </c>
      <c r="G891" t="s">
        <v>534</v>
      </c>
      <c r="H891">
        <v>60</v>
      </c>
      <c r="I891">
        <v>2</v>
      </c>
      <c r="M891">
        <v>5</v>
      </c>
      <c r="Q891">
        <v>1</v>
      </c>
      <c r="AQ891">
        <v>68</v>
      </c>
      <c r="AR891">
        <v>21.21</v>
      </c>
      <c r="AS891">
        <v>1442.28</v>
      </c>
    </row>
    <row r="892" spans="1:45" hidden="1">
      <c r="A892" t="s">
        <v>28</v>
      </c>
      <c r="B892" t="s">
        <v>744</v>
      </c>
      <c r="C892" t="s">
        <v>727</v>
      </c>
      <c r="D892" t="s">
        <v>287</v>
      </c>
      <c r="E892" t="s">
        <v>242</v>
      </c>
      <c r="F892" t="s">
        <v>537</v>
      </c>
      <c r="G892" t="s">
        <v>538</v>
      </c>
      <c r="AQ892">
        <v>0</v>
      </c>
      <c r="AR892">
        <v>127.26</v>
      </c>
      <c r="AS892">
        <v>0</v>
      </c>
    </row>
    <row r="893" spans="1:45" hidden="1">
      <c r="A893" t="s">
        <v>28</v>
      </c>
      <c r="B893" t="s">
        <v>744</v>
      </c>
      <c r="C893" t="s">
        <v>728</v>
      </c>
      <c r="D893" t="s">
        <v>287</v>
      </c>
      <c r="E893" t="s">
        <v>242</v>
      </c>
      <c r="F893" t="s">
        <v>535</v>
      </c>
      <c r="G893" t="s">
        <v>536</v>
      </c>
      <c r="AQ893">
        <v>0</v>
      </c>
      <c r="AR893">
        <v>424.2</v>
      </c>
      <c r="AS893">
        <v>0</v>
      </c>
    </row>
    <row r="894" spans="1:45" hidden="1">
      <c r="A894" t="s">
        <v>28</v>
      </c>
      <c r="B894" t="s">
        <v>744</v>
      </c>
      <c r="C894" t="s">
        <v>729</v>
      </c>
      <c r="D894" t="s">
        <v>522</v>
      </c>
      <c r="E894" t="s">
        <v>242</v>
      </c>
      <c r="F894" t="s">
        <v>523</v>
      </c>
      <c r="G894" t="s">
        <v>517</v>
      </c>
      <c r="AQ894">
        <v>0</v>
      </c>
      <c r="AR894">
        <v>1272.5999999999999</v>
      </c>
      <c r="AS894">
        <v>0</v>
      </c>
    </row>
    <row r="895" spans="1:45" hidden="1">
      <c r="A895" t="s">
        <v>28</v>
      </c>
      <c r="B895" t="s">
        <v>744</v>
      </c>
      <c r="C895" t="s">
        <v>730</v>
      </c>
      <c r="D895" t="s">
        <v>515</v>
      </c>
      <c r="E895" t="s">
        <v>242</v>
      </c>
      <c r="F895" t="s">
        <v>516</v>
      </c>
      <c r="G895" t="s">
        <v>517</v>
      </c>
      <c r="AQ895">
        <v>0</v>
      </c>
      <c r="AR895">
        <v>3181.5</v>
      </c>
      <c r="AS895">
        <v>0</v>
      </c>
    </row>
    <row r="896" spans="1:45" hidden="1">
      <c r="A896" t="s">
        <v>28</v>
      </c>
      <c r="B896" t="s">
        <v>744</v>
      </c>
      <c r="C896" t="s">
        <v>731</v>
      </c>
      <c r="D896" t="s">
        <v>524</v>
      </c>
      <c r="E896" t="s">
        <v>242</v>
      </c>
      <c r="F896" t="s">
        <v>525</v>
      </c>
      <c r="G896" t="s">
        <v>503</v>
      </c>
      <c r="AQ896">
        <v>0</v>
      </c>
      <c r="AR896">
        <v>15907.5</v>
      </c>
      <c r="AS896">
        <v>0</v>
      </c>
    </row>
    <row r="897" spans="1:45" hidden="1">
      <c r="A897" t="s">
        <v>28</v>
      </c>
      <c r="B897" t="s">
        <v>744</v>
      </c>
      <c r="C897" t="s">
        <v>732</v>
      </c>
      <c r="D897" t="s">
        <v>513</v>
      </c>
      <c r="E897" t="s">
        <v>242</v>
      </c>
      <c r="F897" t="s">
        <v>514</v>
      </c>
      <c r="G897" t="s">
        <v>453</v>
      </c>
      <c r="AQ897">
        <v>0</v>
      </c>
      <c r="AR897">
        <v>848.4</v>
      </c>
      <c r="AS897">
        <v>0</v>
      </c>
    </row>
    <row r="898" spans="1:45" hidden="1">
      <c r="A898" t="s">
        <v>28</v>
      </c>
      <c r="B898" t="s">
        <v>744</v>
      </c>
      <c r="C898" t="s">
        <v>733</v>
      </c>
      <c r="D898" t="s">
        <v>287</v>
      </c>
      <c r="E898" t="s">
        <v>242</v>
      </c>
      <c r="F898" t="s">
        <v>539</v>
      </c>
      <c r="G898" t="s">
        <v>540</v>
      </c>
      <c r="AQ898">
        <v>0</v>
      </c>
      <c r="AR898">
        <v>8.08</v>
      </c>
      <c r="AS898">
        <v>0</v>
      </c>
    </row>
    <row r="899" spans="1:45" hidden="1">
      <c r="A899" t="s">
        <v>28</v>
      </c>
      <c r="B899" t="s">
        <v>744</v>
      </c>
      <c r="C899" t="s">
        <v>734</v>
      </c>
      <c r="D899" t="s">
        <v>287</v>
      </c>
      <c r="E899" t="s">
        <v>242</v>
      </c>
      <c r="F899" t="s">
        <v>541</v>
      </c>
      <c r="G899" t="s">
        <v>540</v>
      </c>
      <c r="AQ899">
        <v>0</v>
      </c>
      <c r="AR899">
        <v>7.4740000000000002</v>
      </c>
      <c r="AS899">
        <v>0</v>
      </c>
    </row>
    <row r="900" spans="1:45" hidden="1">
      <c r="A900" t="s">
        <v>28</v>
      </c>
      <c r="B900" t="s">
        <v>744</v>
      </c>
      <c r="C900" t="s">
        <v>735</v>
      </c>
      <c r="D900" t="s">
        <v>543</v>
      </c>
      <c r="E900" t="s">
        <v>542</v>
      </c>
      <c r="F900" t="s">
        <v>544</v>
      </c>
      <c r="G900" t="s">
        <v>545</v>
      </c>
      <c r="AQ900">
        <v>0</v>
      </c>
      <c r="AR900">
        <v>0</v>
      </c>
      <c r="AS900">
        <v>0</v>
      </c>
    </row>
    <row r="901" spans="1:45" hidden="1">
      <c r="A901" t="s">
        <v>28</v>
      </c>
      <c r="B901" t="s">
        <v>744</v>
      </c>
      <c r="C901" t="s">
        <v>286</v>
      </c>
      <c r="D901" t="s">
        <v>287</v>
      </c>
      <c r="E901" t="s">
        <v>288</v>
      </c>
      <c r="F901" t="s">
        <v>289</v>
      </c>
      <c r="G901" t="s">
        <v>547</v>
      </c>
      <c r="AQ901">
        <v>0</v>
      </c>
      <c r="AR901">
        <v>0.05</v>
      </c>
      <c r="AS901">
        <v>19193.572550000001</v>
      </c>
    </row>
    <row r="902" spans="1:45" hidden="1">
      <c r="A902" t="s">
        <v>28</v>
      </c>
      <c r="B902" t="s">
        <v>744</v>
      </c>
      <c r="C902" t="s">
        <v>291</v>
      </c>
      <c r="D902" t="s">
        <v>287</v>
      </c>
      <c r="E902" t="s">
        <v>288</v>
      </c>
      <c r="F902" t="s">
        <v>292</v>
      </c>
      <c r="G902" t="s">
        <v>293</v>
      </c>
      <c r="AQ902">
        <v>0</v>
      </c>
      <c r="AR902">
        <v>6.0600000000000001E-2</v>
      </c>
      <c r="AS902">
        <v>0</v>
      </c>
    </row>
    <row r="903" spans="1:45" hidden="1">
      <c r="A903" t="s">
        <v>28</v>
      </c>
      <c r="B903" t="s">
        <v>744</v>
      </c>
      <c r="C903" t="s">
        <v>736</v>
      </c>
      <c r="D903" t="s">
        <v>287</v>
      </c>
      <c r="E903" t="s">
        <v>288</v>
      </c>
      <c r="F903" t="s">
        <v>550</v>
      </c>
      <c r="G903" t="s">
        <v>293</v>
      </c>
      <c r="H903">
        <v>26733</v>
      </c>
      <c r="I903">
        <v>1446</v>
      </c>
      <c r="J903">
        <v>1245</v>
      </c>
      <c r="K903">
        <v>1750</v>
      </c>
      <c r="L903">
        <v>315</v>
      </c>
      <c r="M903">
        <v>1195</v>
      </c>
      <c r="N903">
        <v>666</v>
      </c>
      <c r="O903">
        <v>52.8</v>
      </c>
      <c r="P903">
        <v>495</v>
      </c>
      <c r="Q903">
        <v>1465</v>
      </c>
      <c r="R903">
        <v>17</v>
      </c>
      <c r="AA903">
        <v>65.53</v>
      </c>
      <c r="AC903">
        <v>65.53</v>
      </c>
      <c r="AD903">
        <v>100.4</v>
      </c>
      <c r="AQ903">
        <v>35611.26</v>
      </c>
      <c r="AR903">
        <v>5.0500000000000003E-2</v>
      </c>
      <c r="AS903">
        <v>1798.3686299999999</v>
      </c>
    </row>
    <row r="904" spans="1:45" hidden="1">
      <c r="A904" t="s">
        <v>28</v>
      </c>
      <c r="B904" t="s">
        <v>744</v>
      </c>
      <c r="C904" t="s">
        <v>737</v>
      </c>
      <c r="D904" t="s">
        <v>287</v>
      </c>
      <c r="E904" t="s">
        <v>288</v>
      </c>
      <c r="F904" t="s">
        <v>548</v>
      </c>
      <c r="G904" t="s">
        <v>293</v>
      </c>
      <c r="AQ904">
        <v>0</v>
      </c>
      <c r="AR904">
        <v>0.1111</v>
      </c>
      <c r="AS904">
        <v>0</v>
      </c>
    </row>
    <row r="905" spans="1:45" hidden="1">
      <c r="A905" t="s">
        <v>28</v>
      </c>
      <c r="B905" t="s">
        <v>744</v>
      </c>
      <c r="C905" t="s">
        <v>738</v>
      </c>
      <c r="D905" t="s">
        <v>287</v>
      </c>
      <c r="E905" t="s">
        <v>288</v>
      </c>
      <c r="F905" t="s">
        <v>549</v>
      </c>
      <c r="G905" t="s">
        <v>293</v>
      </c>
      <c r="H905">
        <v>28597</v>
      </c>
      <c r="I905">
        <v>1446</v>
      </c>
      <c r="J905">
        <v>1245</v>
      </c>
      <c r="K905">
        <v>1750</v>
      </c>
      <c r="L905">
        <v>315</v>
      </c>
      <c r="M905">
        <v>1195</v>
      </c>
      <c r="N905">
        <v>666</v>
      </c>
      <c r="O905">
        <v>52.8</v>
      </c>
      <c r="P905">
        <v>495</v>
      </c>
      <c r="Q905">
        <v>1465</v>
      </c>
      <c r="R905">
        <v>17</v>
      </c>
      <c r="AA905">
        <v>65.53</v>
      </c>
      <c r="AC905">
        <v>65.53</v>
      </c>
      <c r="AD905">
        <v>100.4</v>
      </c>
      <c r="AQ905">
        <v>37475.26</v>
      </c>
      <c r="AR905">
        <v>0.10100000000000001</v>
      </c>
      <c r="AS905">
        <v>3785.00126</v>
      </c>
    </row>
    <row r="906" spans="1:45" hidden="1">
      <c r="A906" t="s">
        <v>33</v>
      </c>
      <c r="B906" t="s">
        <v>748</v>
      </c>
      <c r="C906" t="s">
        <v>641</v>
      </c>
      <c r="D906" t="s">
        <v>324</v>
      </c>
      <c r="E906" t="s">
        <v>323</v>
      </c>
      <c r="F906" t="s">
        <v>325</v>
      </c>
      <c r="G906" t="s">
        <v>326</v>
      </c>
      <c r="I906">
        <v>45184.480000000003</v>
      </c>
      <c r="J906">
        <v>50123.15</v>
      </c>
      <c r="K906">
        <v>14089</v>
      </c>
      <c r="L906">
        <v>66035</v>
      </c>
      <c r="M906">
        <v>37402</v>
      </c>
      <c r="N906">
        <v>6170</v>
      </c>
      <c r="O906">
        <v>11426</v>
      </c>
      <c r="P906">
        <v>22532</v>
      </c>
      <c r="Q906">
        <v>20724</v>
      </c>
      <c r="R906">
        <v>4212</v>
      </c>
      <c r="AQ906">
        <v>277897.63</v>
      </c>
      <c r="AR906">
        <v>1.35E-2</v>
      </c>
      <c r="AS906">
        <v>3751.6180049999998</v>
      </c>
    </row>
    <row r="907" spans="1:45" hidden="1">
      <c r="A907" t="s">
        <v>33</v>
      </c>
      <c r="B907" t="s">
        <v>748</v>
      </c>
      <c r="C907" t="s">
        <v>642</v>
      </c>
      <c r="D907" t="s">
        <v>327</v>
      </c>
      <c r="E907" t="s">
        <v>323</v>
      </c>
      <c r="F907" t="s">
        <v>328</v>
      </c>
      <c r="G907" t="s">
        <v>329</v>
      </c>
      <c r="AQ907">
        <v>0</v>
      </c>
      <c r="AR907">
        <v>5.9330000000000001E-2</v>
      </c>
      <c r="AS907">
        <v>0</v>
      </c>
    </row>
    <row r="908" spans="1:45" hidden="1">
      <c r="A908" t="s">
        <v>33</v>
      </c>
      <c r="B908" t="s">
        <v>748</v>
      </c>
      <c r="C908" t="s">
        <v>643</v>
      </c>
      <c r="D908" t="s">
        <v>330</v>
      </c>
      <c r="E908" t="s">
        <v>323</v>
      </c>
      <c r="F908" t="s">
        <v>331</v>
      </c>
      <c r="G908" t="s">
        <v>740</v>
      </c>
      <c r="AQ908">
        <v>0</v>
      </c>
      <c r="AR908">
        <v>0.1</v>
      </c>
      <c r="AS908">
        <v>0</v>
      </c>
    </row>
    <row r="909" spans="1:45" hidden="1">
      <c r="A909" t="s">
        <v>33</v>
      </c>
      <c r="B909" t="s">
        <v>748</v>
      </c>
      <c r="C909" t="s">
        <v>644</v>
      </c>
      <c r="D909" t="s">
        <v>332</v>
      </c>
      <c r="E909" t="s">
        <v>323</v>
      </c>
      <c r="F909" t="s">
        <v>333</v>
      </c>
      <c r="G909" t="s">
        <v>740</v>
      </c>
      <c r="H909">
        <v>3593300</v>
      </c>
      <c r="AQ909">
        <v>3593300</v>
      </c>
      <c r="AR909">
        <v>0.125</v>
      </c>
      <c r="AS909">
        <v>449162.5</v>
      </c>
    </row>
    <row r="910" spans="1:45" hidden="1">
      <c r="A910" t="s">
        <v>33</v>
      </c>
      <c r="B910" t="s">
        <v>748</v>
      </c>
      <c r="C910" t="s">
        <v>645</v>
      </c>
      <c r="D910" t="s">
        <v>334</v>
      </c>
      <c r="E910" t="s">
        <v>323</v>
      </c>
      <c r="F910" t="s">
        <v>335</v>
      </c>
      <c r="G910" t="s">
        <v>329</v>
      </c>
      <c r="AQ910">
        <v>0</v>
      </c>
      <c r="AR910">
        <v>0.28000000000000003</v>
      </c>
    </row>
    <row r="911" spans="1:45" hidden="1">
      <c r="A911" t="s">
        <v>33</v>
      </c>
      <c r="B911" t="s">
        <v>748</v>
      </c>
      <c r="C911" t="s">
        <v>646</v>
      </c>
      <c r="D911" t="s">
        <v>137</v>
      </c>
      <c r="E911" t="s">
        <v>138</v>
      </c>
      <c r="F911" t="s">
        <v>337</v>
      </c>
      <c r="G911" t="s">
        <v>140</v>
      </c>
      <c r="I911">
        <v>0</v>
      </c>
      <c r="J911">
        <v>0</v>
      </c>
      <c r="K911">
        <v>0</v>
      </c>
      <c r="L911">
        <v>0</v>
      </c>
      <c r="M911">
        <v>0</v>
      </c>
      <c r="N911">
        <v>0</v>
      </c>
      <c r="O911">
        <v>0</v>
      </c>
      <c r="P911">
        <v>0</v>
      </c>
      <c r="Q911">
        <v>0</v>
      </c>
      <c r="R911">
        <v>0</v>
      </c>
      <c r="AQ911">
        <v>0</v>
      </c>
      <c r="AR911">
        <v>212.1</v>
      </c>
      <c r="AS911">
        <v>0</v>
      </c>
    </row>
    <row r="912" spans="1:45" hidden="1">
      <c r="A912" t="s">
        <v>33</v>
      </c>
      <c r="B912" t="s">
        <v>748</v>
      </c>
      <c r="C912" t="s">
        <v>136</v>
      </c>
      <c r="D912" t="s">
        <v>137</v>
      </c>
      <c r="E912" t="s">
        <v>138</v>
      </c>
      <c r="F912" t="s">
        <v>139</v>
      </c>
      <c r="G912" t="s">
        <v>140</v>
      </c>
      <c r="I912">
        <v>0</v>
      </c>
      <c r="J912">
        <v>0</v>
      </c>
      <c r="K912">
        <v>0</v>
      </c>
      <c r="L912">
        <v>0</v>
      </c>
      <c r="M912">
        <v>0</v>
      </c>
      <c r="N912">
        <v>0</v>
      </c>
      <c r="O912">
        <v>0</v>
      </c>
      <c r="P912">
        <v>0</v>
      </c>
      <c r="Q912">
        <v>0</v>
      </c>
      <c r="R912">
        <v>0</v>
      </c>
      <c r="AQ912">
        <v>0</v>
      </c>
      <c r="AR912">
        <v>1696.8</v>
      </c>
      <c r="AS912">
        <v>0</v>
      </c>
    </row>
    <row r="913" spans="1:45" hidden="1">
      <c r="A913" t="s">
        <v>33</v>
      </c>
      <c r="B913" t="s">
        <v>748</v>
      </c>
      <c r="C913" t="s">
        <v>143</v>
      </c>
      <c r="D913" t="s">
        <v>137</v>
      </c>
      <c r="E913" t="s">
        <v>138</v>
      </c>
      <c r="F913" t="s">
        <v>277</v>
      </c>
      <c r="G913" t="s">
        <v>140</v>
      </c>
      <c r="I913">
        <v>0</v>
      </c>
      <c r="J913">
        <v>0</v>
      </c>
      <c r="K913">
        <v>0</v>
      </c>
      <c r="L913">
        <v>0</v>
      </c>
      <c r="M913">
        <v>0</v>
      </c>
      <c r="N913">
        <v>0</v>
      </c>
      <c r="O913">
        <v>0</v>
      </c>
      <c r="P913">
        <v>0</v>
      </c>
      <c r="Q913">
        <v>0</v>
      </c>
      <c r="R913">
        <v>0</v>
      </c>
      <c r="AQ913">
        <v>0</v>
      </c>
      <c r="AR913">
        <v>3923.85</v>
      </c>
      <c r="AS913">
        <v>0</v>
      </c>
    </row>
    <row r="914" spans="1:45" hidden="1">
      <c r="A914" t="s">
        <v>33</v>
      </c>
      <c r="B914" t="s">
        <v>748</v>
      </c>
      <c r="C914" t="s">
        <v>647</v>
      </c>
      <c r="D914" t="s">
        <v>137</v>
      </c>
      <c r="E914" t="s">
        <v>138</v>
      </c>
      <c r="F914" t="s">
        <v>338</v>
      </c>
      <c r="G914" t="s">
        <v>140</v>
      </c>
      <c r="I914">
        <v>0</v>
      </c>
      <c r="J914">
        <v>0</v>
      </c>
      <c r="K914">
        <v>0</v>
      </c>
      <c r="L914">
        <v>0</v>
      </c>
      <c r="M914">
        <v>0</v>
      </c>
      <c r="N914">
        <v>0</v>
      </c>
      <c r="O914">
        <v>0</v>
      </c>
      <c r="P914">
        <v>0</v>
      </c>
      <c r="Q914">
        <v>0</v>
      </c>
      <c r="R914">
        <v>0</v>
      </c>
      <c r="AQ914">
        <v>0</v>
      </c>
      <c r="AR914">
        <v>6893.25</v>
      </c>
      <c r="AS914">
        <v>0</v>
      </c>
    </row>
    <row r="915" spans="1:45" hidden="1">
      <c r="A915" t="s">
        <v>33</v>
      </c>
      <c r="B915" t="s">
        <v>748</v>
      </c>
      <c r="C915" t="s">
        <v>648</v>
      </c>
      <c r="D915" t="s">
        <v>342</v>
      </c>
      <c r="E915" t="s">
        <v>138</v>
      </c>
      <c r="F915" t="s">
        <v>343</v>
      </c>
      <c r="G915" t="s">
        <v>140</v>
      </c>
      <c r="I915">
        <v>0</v>
      </c>
      <c r="J915">
        <v>0</v>
      </c>
      <c r="K915">
        <v>0</v>
      </c>
      <c r="L915">
        <v>0</v>
      </c>
      <c r="M915">
        <v>0</v>
      </c>
      <c r="N915">
        <v>0</v>
      </c>
      <c r="O915">
        <v>0</v>
      </c>
      <c r="P915">
        <v>0</v>
      </c>
      <c r="Q915">
        <v>0</v>
      </c>
      <c r="R915">
        <v>0</v>
      </c>
      <c r="AQ915">
        <v>0</v>
      </c>
      <c r="AR915">
        <v>13786.5</v>
      </c>
      <c r="AS915">
        <v>0</v>
      </c>
    </row>
    <row r="916" spans="1:45" hidden="1">
      <c r="A916" t="s">
        <v>33</v>
      </c>
      <c r="B916" t="s">
        <v>748</v>
      </c>
      <c r="C916" t="s">
        <v>649</v>
      </c>
      <c r="D916" t="s">
        <v>344</v>
      </c>
      <c r="E916" t="s">
        <v>138</v>
      </c>
      <c r="F916" t="s">
        <v>345</v>
      </c>
      <c r="G916" t="s">
        <v>346</v>
      </c>
      <c r="I916">
        <v>0</v>
      </c>
      <c r="J916">
        <v>0</v>
      </c>
      <c r="K916">
        <v>0</v>
      </c>
      <c r="L916">
        <v>0</v>
      </c>
      <c r="M916">
        <v>0</v>
      </c>
      <c r="N916">
        <v>0</v>
      </c>
      <c r="O916">
        <v>0</v>
      </c>
      <c r="P916">
        <v>0</v>
      </c>
      <c r="Q916">
        <v>0</v>
      </c>
      <c r="R916">
        <v>0</v>
      </c>
      <c r="AQ916">
        <v>0</v>
      </c>
      <c r="AR916">
        <v>11.11</v>
      </c>
      <c r="AS916">
        <v>0</v>
      </c>
    </row>
    <row r="917" spans="1:45" hidden="1">
      <c r="A917" t="s">
        <v>33</v>
      </c>
      <c r="B917" t="s">
        <v>748</v>
      </c>
      <c r="C917" t="s">
        <v>650</v>
      </c>
      <c r="D917" t="s">
        <v>339</v>
      </c>
      <c r="E917" t="s">
        <v>138</v>
      </c>
      <c r="F917" t="s">
        <v>340</v>
      </c>
      <c r="G917" t="s">
        <v>341</v>
      </c>
      <c r="I917">
        <v>0</v>
      </c>
      <c r="J917">
        <v>0</v>
      </c>
      <c r="K917">
        <v>0</v>
      </c>
      <c r="L917">
        <v>0</v>
      </c>
      <c r="M917">
        <v>0</v>
      </c>
      <c r="N917">
        <v>0</v>
      </c>
      <c r="O917">
        <v>0</v>
      </c>
      <c r="P917">
        <v>0</v>
      </c>
      <c r="Q917">
        <v>0</v>
      </c>
      <c r="R917">
        <v>0</v>
      </c>
      <c r="AQ917">
        <v>0</v>
      </c>
      <c r="AR917">
        <v>557.52</v>
      </c>
      <c r="AS917">
        <v>0</v>
      </c>
    </row>
    <row r="918" spans="1:45" hidden="1">
      <c r="A918" t="s">
        <v>33</v>
      </c>
      <c r="B918" t="s">
        <v>748</v>
      </c>
      <c r="C918" t="s">
        <v>651</v>
      </c>
      <c r="D918" t="s">
        <v>347</v>
      </c>
      <c r="E918" t="s">
        <v>138</v>
      </c>
      <c r="F918" t="s">
        <v>350</v>
      </c>
      <c r="G918" t="s">
        <v>349</v>
      </c>
      <c r="I918">
        <v>0</v>
      </c>
      <c r="J918">
        <v>0</v>
      </c>
      <c r="K918">
        <v>0</v>
      </c>
      <c r="L918">
        <v>0</v>
      </c>
      <c r="M918">
        <v>0</v>
      </c>
      <c r="N918">
        <v>0</v>
      </c>
      <c r="O918">
        <v>0</v>
      </c>
      <c r="P918">
        <v>0</v>
      </c>
      <c r="Q918">
        <v>0</v>
      </c>
      <c r="R918">
        <v>0</v>
      </c>
      <c r="AQ918">
        <v>0</v>
      </c>
      <c r="AR918">
        <v>234.32</v>
      </c>
      <c r="AS918">
        <v>0</v>
      </c>
    </row>
    <row r="919" spans="1:45" hidden="1">
      <c r="A919" t="s">
        <v>33</v>
      </c>
      <c r="B919" t="s">
        <v>748</v>
      </c>
      <c r="C919" t="s">
        <v>652</v>
      </c>
      <c r="D919" t="s">
        <v>347</v>
      </c>
      <c r="E919" t="s">
        <v>138</v>
      </c>
      <c r="F919" t="s">
        <v>348</v>
      </c>
      <c r="G919" t="s">
        <v>349</v>
      </c>
      <c r="I919">
        <v>0</v>
      </c>
      <c r="J919">
        <v>0</v>
      </c>
      <c r="K919">
        <v>0</v>
      </c>
      <c r="L919">
        <v>0</v>
      </c>
      <c r="M919">
        <v>0</v>
      </c>
      <c r="N919">
        <v>0</v>
      </c>
      <c r="O919">
        <v>0</v>
      </c>
      <c r="P919">
        <v>0</v>
      </c>
      <c r="Q919">
        <v>0</v>
      </c>
      <c r="R919">
        <v>0</v>
      </c>
      <c r="AQ919">
        <v>0</v>
      </c>
      <c r="AR919">
        <v>456.52</v>
      </c>
      <c r="AS919">
        <v>0</v>
      </c>
    </row>
    <row r="920" spans="1:45" hidden="1">
      <c r="A920" t="s">
        <v>33</v>
      </c>
      <c r="B920" t="s">
        <v>748</v>
      </c>
      <c r="C920" t="s">
        <v>653</v>
      </c>
      <c r="D920" t="s">
        <v>347</v>
      </c>
      <c r="E920" t="s">
        <v>138</v>
      </c>
      <c r="F920" t="s">
        <v>351</v>
      </c>
      <c r="G920" t="s">
        <v>349</v>
      </c>
      <c r="I920">
        <v>0</v>
      </c>
      <c r="J920">
        <v>0</v>
      </c>
      <c r="K920">
        <v>0</v>
      </c>
      <c r="L920">
        <v>0</v>
      </c>
      <c r="M920">
        <v>0</v>
      </c>
      <c r="N920">
        <v>0</v>
      </c>
      <c r="O920">
        <v>0</v>
      </c>
      <c r="P920">
        <v>0</v>
      </c>
      <c r="Q920">
        <v>0</v>
      </c>
      <c r="R920">
        <v>0</v>
      </c>
      <c r="AQ920">
        <v>0</v>
      </c>
      <c r="AR920">
        <v>679.73</v>
      </c>
      <c r="AS920">
        <v>0</v>
      </c>
    </row>
    <row r="921" spans="1:45" hidden="1">
      <c r="A921" t="s">
        <v>33</v>
      </c>
      <c r="B921" t="s">
        <v>748</v>
      </c>
      <c r="C921" t="s">
        <v>654</v>
      </c>
      <c r="D921" t="s">
        <v>352</v>
      </c>
      <c r="E921" t="s">
        <v>138</v>
      </c>
      <c r="F921" t="s">
        <v>353</v>
      </c>
      <c r="G921" t="s">
        <v>354</v>
      </c>
      <c r="I921">
        <v>0</v>
      </c>
      <c r="J921">
        <v>0</v>
      </c>
      <c r="K921">
        <v>0</v>
      </c>
      <c r="L921">
        <v>0</v>
      </c>
      <c r="M921">
        <v>0</v>
      </c>
      <c r="N921">
        <v>0</v>
      </c>
      <c r="O921">
        <v>0</v>
      </c>
      <c r="P921">
        <v>0</v>
      </c>
      <c r="Q921">
        <v>0</v>
      </c>
      <c r="R921">
        <v>0</v>
      </c>
      <c r="AQ921">
        <v>0</v>
      </c>
      <c r="AR921">
        <v>3923.85</v>
      </c>
      <c r="AS921">
        <v>0</v>
      </c>
    </row>
    <row r="922" spans="1:45" hidden="1">
      <c r="A922" t="s">
        <v>33</v>
      </c>
      <c r="B922" t="s">
        <v>748</v>
      </c>
      <c r="C922" t="s">
        <v>655</v>
      </c>
      <c r="D922" t="s">
        <v>355</v>
      </c>
      <c r="E922" t="s">
        <v>138</v>
      </c>
      <c r="F922" t="s">
        <v>356</v>
      </c>
      <c r="G922" t="s">
        <v>357</v>
      </c>
      <c r="I922">
        <v>0</v>
      </c>
      <c r="J922">
        <v>0</v>
      </c>
      <c r="K922">
        <v>0</v>
      </c>
      <c r="L922">
        <v>0</v>
      </c>
      <c r="M922">
        <v>0</v>
      </c>
      <c r="N922">
        <v>0</v>
      </c>
      <c r="O922">
        <v>0</v>
      </c>
      <c r="P922">
        <v>0</v>
      </c>
      <c r="Q922">
        <v>0</v>
      </c>
      <c r="R922">
        <v>0</v>
      </c>
      <c r="AQ922">
        <v>0</v>
      </c>
      <c r="AR922">
        <v>556.51</v>
      </c>
      <c r="AS922">
        <v>0</v>
      </c>
    </row>
    <row r="923" spans="1:45" hidden="1">
      <c r="A923" t="s">
        <v>33</v>
      </c>
      <c r="B923" t="s">
        <v>748</v>
      </c>
      <c r="C923" t="s">
        <v>656</v>
      </c>
      <c r="D923" t="s">
        <v>358</v>
      </c>
      <c r="E923" t="s">
        <v>138</v>
      </c>
      <c r="F923" t="s">
        <v>359</v>
      </c>
      <c r="G923" t="s">
        <v>360</v>
      </c>
      <c r="I923">
        <v>0</v>
      </c>
      <c r="J923">
        <v>0</v>
      </c>
      <c r="K923">
        <v>0</v>
      </c>
      <c r="L923">
        <v>0</v>
      </c>
      <c r="M923">
        <v>0</v>
      </c>
      <c r="N923">
        <v>0</v>
      </c>
      <c r="O923">
        <v>0</v>
      </c>
      <c r="P923">
        <v>0</v>
      </c>
      <c r="Q923">
        <v>0</v>
      </c>
      <c r="R923">
        <v>0</v>
      </c>
      <c r="AQ923">
        <v>0</v>
      </c>
      <c r="AR923">
        <v>334.31</v>
      </c>
      <c r="AS923">
        <v>0</v>
      </c>
    </row>
    <row r="924" spans="1:45" hidden="1">
      <c r="A924" t="s">
        <v>33</v>
      </c>
      <c r="B924" t="s">
        <v>748</v>
      </c>
      <c r="C924" t="s">
        <v>657</v>
      </c>
      <c r="D924" t="s">
        <v>361</v>
      </c>
      <c r="E924" t="s">
        <v>138</v>
      </c>
      <c r="F924" t="s">
        <v>362</v>
      </c>
      <c r="G924" t="s">
        <v>363</v>
      </c>
      <c r="I924">
        <v>0</v>
      </c>
      <c r="J924">
        <v>0</v>
      </c>
      <c r="K924">
        <v>0</v>
      </c>
      <c r="L924">
        <v>0</v>
      </c>
      <c r="M924">
        <v>0</v>
      </c>
      <c r="N924">
        <v>0</v>
      </c>
      <c r="O924">
        <v>0</v>
      </c>
      <c r="P924">
        <v>0</v>
      </c>
      <c r="Q924">
        <v>0</v>
      </c>
      <c r="R924">
        <v>0</v>
      </c>
      <c r="AQ924">
        <v>0</v>
      </c>
      <c r="AR924">
        <v>1.0605</v>
      </c>
      <c r="AS924">
        <v>0</v>
      </c>
    </row>
    <row r="925" spans="1:45" hidden="1">
      <c r="A925" t="s">
        <v>33</v>
      </c>
      <c r="B925" t="s">
        <v>748</v>
      </c>
      <c r="C925" t="s">
        <v>658</v>
      </c>
      <c r="D925" t="s">
        <v>364</v>
      </c>
      <c r="E925" t="s">
        <v>138</v>
      </c>
      <c r="F925" t="s">
        <v>366</v>
      </c>
      <c r="G925" t="s">
        <v>363</v>
      </c>
      <c r="I925">
        <v>0</v>
      </c>
      <c r="J925">
        <v>0</v>
      </c>
      <c r="K925">
        <v>0</v>
      </c>
      <c r="L925">
        <v>0</v>
      </c>
      <c r="M925">
        <v>0</v>
      </c>
      <c r="N925">
        <v>0</v>
      </c>
      <c r="O925">
        <v>0</v>
      </c>
      <c r="P925">
        <v>0</v>
      </c>
      <c r="Q925">
        <v>0</v>
      </c>
      <c r="R925">
        <v>0</v>
      </c>
      <c r="AQ925">
        <v>0</v>
      </c>
      <c r="AR925">
        <v>4.242</v>
      </c>
      <c r="AS925">
        <v>0</v>
      </c>
    </row>
    <row r="926" spans="1:45" hidden="1">
      <c r="A926" t="s">
        <v>33</v>
      </c>
      <c r="B926" t="s">
        <v>748</v>
      </c>
      <c r="C926" t="s">
        <v>659</v>
      </c>
      <c r="D926" t="s">
        <v>364</v>
      </c>
      <c r="E926" t="s">
        <v>138</v>
      </c>
      <c r="F926" t="s">
        <v>365</v>
      </c>
      <c r="G926" t="s">
        <v>363</v>
      </c>
      <c r="I926">
        <v>0</v>
      </c>
      <c r="J926">
        <v>0</v>
      </c>
      <c r="K926">
        <v>0</v>
      </c>
      <c r="L926">
        <v>0</v>
      </c>
      <c r="M926">
        <v>0</v>
      </c>
      <c r="N926">
        <v>0</v>
      </c>
      <c r="O926">
        <v>0</v>
      </c>
      <c r="P926">
        <v>0</v>
      </c>
      <c r="Q926">
        <v>0</v>
      </c>
      <c r="R926">
        <v>0</v>
      </c>
      <c r="AQ926">
        <v>0</v>
      </c>
      <c r="AR926">
        <v>8.484</v>
      </c>
      <c r="AS926">
        <v>0</v>
      </c>
    </row>
    <row r="927" spans="1:45" hidden="1">
      <c r="A927" t="s">
        <v>33</v>
      </c>
      <c r="B927" t="s">
        <v>748</v>
      </c>
      <c r="C927" t="s">
        <v>660</v>
      </c>
      <c r="D927" t="s">
        <v>364</v>
      </c>
      <c r="E927" t="s">
        <v>138</v>
      </c>
      <c r="F927" t="s">
        <v>367</v>
      </c>
      <c r="G927" t="s">
        <v>363</v>
      </c>
      <c r="I927">
        <v>0</v>
      </c>
      <c r="J927">
        <v>0</v>
      </c>
      <c r="K927">
        <v>0</v>
      </c>
      <c r="L927">
        <v>0</v>
      </c>
      <c r="M927">
        <v>0</v>
      </c>
      <c r="N927">
        <v>0</v>
      </c>
      <c r="O927">
        <v>0</v>
      </c>
      <c r="P927">
        <v>0</v>
      </c>
      <c r="Q927">
        <v>0</v>
      </c>
      <c r="R927">
        <v>0</v>
      </c>
      <c r="AQ927">
        <v>0</v>
      </c>
      <c r="AR927">
        <v>21.21</v>
      </c>
      <c r="AS927">
        <v>0</v>
      </c>
    </row>
    <row r="928" spans="1:45" hidden="1">
      <c r="A928" t="s">
        <v>33</v>
      </c>
      <c r="B928" t="s">
        <v>748</v>
      </c>
      <c r="C928" t="s">
        <v>278</v>
      </c>
      <c r="D928" t="s">
        <v>146</v>
      </c>
      <c r="E928" t="s">
        <v>138</v>
      </c>
      <c r="F928" t="s">
        <v>279</v>
      </c>
      <c r="G928" t="s">
        <v>148</v>
      </c>
      <c r="I928">
        <v>0</v>
      </c>
      <c r="J928">
        <v>0</v>
      </c>
      <c r="K928">
        <v>0</v>
      </c>
      <c r="L928">
        <v>0</v>
      </c>
      <c r="M928">
        <v>0</v>
      </c>
      <c r="N928">
        <v>0</v>
      </c>
      <c r="O928">
        <v>0</v>
      </c>
      <c r="P928">
        <v>0</v>
      </c>
      <c r="Q928">
        <v>0</v>
      </c>
      <c r="R928">
        <v>0</v>
      </c>
      <c r="AQ928">
        <v>0</v>
      </c>
      <c r="AR928">
        <v>1272.5999999999999</v>
      </c>
      <c r="AS928">
        <v>0</v>
      </c>
    </row>
    <row r="929" spans="1:45" hidden="1">
      <c r="A929" t="s">
        <v>33</v>
      </c>
      <c r="B929" t="s">
        <v>748</v>
      </c>
      <c r="C929" t="s">
        <v>661</v>
      </c>
      <c r="D929" t="s">
        <v>146</v>
      </c>
      <c r="E929" t="s">
        <v>138</v>
      </c>
      <c r="F929" t="s">
        <v>368</v>
      </c>
      <c r="G929" t="s">
        <v>148</v>
      </c>
      <c r="I929">
        <v>0</v>
      </c>
      <c r="J929">
        <v>0</v>
      </c>
      <c r="K929">
        <v>0</v>
      </c>
      <c r="L929">
        <v>0</v>
      </c>
      <c r="M929">
        <v>0</v>
      </c>
      <c r="N929">
        <v>0</v>
      </c>
      <c r="O929">
        <v>0</v>
      </c>
      <c r="P929">
        <v>0</v>
      </c>
      <c r="Q929">
        <v>0</v>
      </c>
      <c r="R929">
        <v>0</v>
      </c>
      <c r="AQ929">
        <v>0</v>
      </c>
      <c r="AR929">
        <v>2333.1</v>
      </c>
      <c r="AS929">
        <v>0</v>
      </c>
    </row>
    <row r="930" spans="1:45" hidden="1">
      <c r="A930" t="s">
        <v>33</v>
      </c>
      <c r="B930" t="s">
        <v>748</v>
      </c>
      <c r="C930" t="s">
        <v>662</v>
      </c>
      <c r="D930" t="s">
        <v>146</v>
      </c>
      <c r="E930" t="s">
        <v>138</v>
      </c>
      <c r="F930" t="s">
        <v>369</v>
      </c>
      <c r="G930" t="s">
        <v>148</v>
      </c>
      <c r="I930">
        <v>0</v>
      </c>
      <c r="J930">
        <v>0</v>
      </c>
      <c r="K930">
        <v>0</v>
      </c>
      <c r="L930">
        <v>0</v>
      </c>
      <c r="M930">
        <v>0</v>
      </c>
      <c r="N930">
        <v>0</v>
      </c>
      <c r="O930">
        <v>0</v>
      </c>
      <c r="P930">
        <v>0</v>
      </c>
      <c r="Q930">
        <v>0</v>
      </c>
      <c r="R930">
        <v>0</v>
      </c>
      <c r="AQ930">
        <v>0</v>
      </c>
      <c r="AR930">
        <v>3711.75</v>
      </c>
      <c r="AS930">
        <v>0</v>
      </c>
    </row>
    <row r="931" spans="1:45" hidden="1">
      <c r="A931" t="s">
        <v>33</v>
      </c>
      <c r="B931" t="s">
        <v>748</v>
      </c>
      <c r="C931" t="s">
        <v>663</v>
      </c>
      <c r="D931" t="s">
        <v>146</v>
      </c>
      <c r="E931" t="s">
        <v>138</v>
      </c>
      <c r="F931" t="s">
        <v>370</v>
      </c>
      <c r="G931" t="s">
        <v>148</v>
      </c>
      <c r="I931">
        <v>0</v>
      </c>
      <c r="J931">
        <v>0</v>
      </c>
      <c r="K931">
        <v>0</v>
      </c>
      <c r="L931">
        <v>0</v>
      </c>
      <c r="M931">
        <v>0</v>
      </c>
      <c r="N931">
        <v>0</v>
      </c>
      <c r="O931">
        <v>0</v>
      </c>
      <c r="P931">
        <v>0</v>
      </c>
      <c r="Q931">
        <v>0</v>
      </c>
      <c r="R931">
        <v>0</v>
      </c>
      <c r="AQ931">
        <v>0</v>
      </c>
      <c r="AR931">
        <v>5832.75</v>
      </c>
      <c r="AS931">
        <v>0</v>
      </c>
    </row>
    <row r="932" spans="1:45" hidden="1">
      <c r="A932" t="s">
        <v>33</v>
      </c>
      <c r="B932" t="s">
        <v>748</v>
      </c>
      <c r="C932" t="s">
        <v>664</v>
      </c>
      <c r="D932" t="s">
        <v>371</v>
      </c>
      <c r="E932" t="s">
        <v>138</v>
      </c>
      <c r="F932" t="s">
        <v>372</v>
      </c>
      <c r="G932" t="s">
        <v>373</v>
      </c>
      <c r="I932">
        <v>0</v>
      </c>
      <c r="J932">
        <v>0</v>
      </c>
      <c r="K932">
        <v>0</v>
      </c>
      <c r="L932">
        <v>0</v>
      </c>
      <c r="M932">
        <v>0</v>
      </c>
      <c r="N932">
        <v>0</v>
      </c>
      <c r="O932">
        <v>0</v>
      </c>
      <c r="P932">
        <v>0</v>
      </c>
      <c r="Q932">
        <v>0</v>
      </c>
      <c r="R932">
        <v>0</v>
      </c>
      <c r="AQ932">
        <v>0</v>
      </c>
      <c r="AR932">
        <v>3711.75</v>
      </c>
      <c r="AS932">
        <v>0</v>
      </c>
    </row>
    <row r="933" spans="1:45" hidden="1">
      <c r="A933" t="s">
        <v>33</v>
      </c>
      <c r="B933" t="s">
        <v>748</v>
      </c>
      <c r="C933" t="s">
        <v>149</v>
      </c>
      <c r="D933" t="s">
        <v>280</v>
      </c>
      <c r="E933" t="s">
        <v>138</v>
      </c>
      <c r="F933" t="s">
        <v>151</v>
      </c>
      <c r="G933" t="s">
        <v>152</v>
      </c>
      <c r="I933">
        <v>0</v>
      </c>
      <c r="J933">
        <v>0</v>
      </c>
      <c r="K933">
        <v>0</v>
      </c>
      <c r="L933">
        <v>0</v>
      </c>
      <c r="M933">
        <v>0</v>
      </c>
      <c r="N933">
        <v>0</v>
      </c>
      <c r="O933">
        <v>0</v>
      </c>
      <c r="P933">
        <v>0</v>
      </c>
      <c r="Q933">
        <v>0</v>
      </c>
      <c r="R933">
        <v>0</v>
      </c>
      <c r="AQ933">
        <v>0</v>
      </c>
      <c r="AR933">
        <v>1.111</v>
      </c>
      <c r="AS933">
        <v>0</v>
      </c>
    </row>
    <row r="934" spans="1:45" hidden="1">
      <c r="A934" t="s">
        <v>33</v>
      </c>
      <c r="B934" t="s">
        <v>748</v>
      </c>
      <c r="C934" t="s">
        <v>153</v>
      </c>
      <c r="D934" t="s">
        <v>154</v>
      </c>
      <c r="E934" t="s">
        <v>138</v>
      </c>
      <c r="F934" t="s">
        <v>155</v>
      </c>
      <c r="G934" t="s">
        <v>156</v>
      </c>
      <c r="I934">
        <v>0</v>
      </c>
      <c r="J934">
        <v>0</v>
      </c>
      <c r="K934">
        <v>0</v>
      </c>
      <c r="L934">
        <v>0</v>
      </c>
      <c r="M934">
        <v>0</v>
      </c>
      <c r="N934">
        <v>0</v>
      </c>
      <c r="O934">
        <v>0</v>
      </c>
      <c r="P934">
        <v>0</v>
      </c>
      <c r="Q934">
        <v>0</v>
      </c>
      <c r="R934">
        <v>0</v>
      </c>
      <c r="AQ934">
        <v>0</v>
      </c>
      <c r="AR934">
        <v>116.655</v>
      </c>
      <c r="AS934">
        <v>0</v>
      </c>
    </row>
    <row r="935" spans="1:45" hidden="1">
      <c r="A935" t="s">
        <v>33</v>
      </c>
      <c r="B935" t="s">
        <v>748</v>
      </c>
      <c r="C935" t="s">
        <v>665</v>
      </c>
      <c r="D935" t="s">
        <v>375</v>
      </c>
      <c r="E935" t="s">
        <v>138</v>
      </c>
      <c r="F935" t="s">
        <v>376</v>
      </c>
      <c r="G935" t="s">
        <v>377</v>
      </c>
      <c r="I935">
        <v>0</v>
      </c>
      <c r="J935">
        <v>0</v>
      </c>
      <c r="K935">
        <v>0</v>
      </c>
      <c r="L935">
        <v>0</v>
      </c>
      <c r="M935">
        <v>0</v>
      </c>
      <c r="N935">
        <v>0</v>
      </c>
      <c r="O935">
        <v>0</v>
      </c>
      <c r="P935">
        <v>0</v>
      </c>
      <c r="Q935">
        <v>0</v>
      </c>
      <c r="R935">
        <v>0</v>
      </c>
      <c r="AQ935">
        <v>0</v>
      </c>
      <c r="AR935">
        <v>89.081999999999994</v>
      </c>
      <c r="AS935">
        <v>0</v>
      </c>
    </row>
    <row r="936" spans="1:45" hidden="1">
      <c r="A936" t="s">
        <v>33</v>
      </c>
      <c r="B936" t="s">
        <v>748</v>
      </c>
      <c r="C936" t="s">
        <v>158</v>
      </c>
      <c r="D936" t="s">
        <v>159</v>
      </c>
      <c r="E936" t="s">
        <v>138</v>
      </c>
      <c r="F936" t="s">
        <v>160</v>
      </c>
      <c r="G936" t="s">
        <v>161</v>
      </c>
      <c r="I936">
        <v>0</v>
      </c>
      <c r="J936">
        <v>0</v>
      </c>
      <c r="K936">
        <v>0</v>
      </c>
      <c r="L936">
        <v>0</v>
      </c>
      <c r="M936">
        <v>0</v>
      </c>
      <c r="N936">
        <v>0</v>
      </c>
      <c r="O936">
        <v>0</v>
      </c>
      <c r="P936">
        <v>0</v>
      </c>
      <c r="Q936">
        <v>0</v>
      </c>
      <c r="R936">
        <v>0</v>
      </c>
      <c r="AQ936">
        <v>0</v>
      </c>
      <c r="AR936">
        <v>66.66</v>
      </c>
      <c r="AS936">
        <v>0</v>
      </c>
    </row>
    <row r="937" spans="1:45" hidden="1">
      <c r="A937" t="s">
        <v>33</v>
      </c>
      <c r="B937" t="s">
        <v>748</v>
      </c>
      <c r="C937" t="s">
        <v>666</v>
      </c>
      <c r="D937" t="s">
        <v>378</v>
      </c>
      <c r="E937" t="s">
        <v>138</v>
      </c>
      <c r="F937" t="s">
        <v>379</v>
      </c>
      <c r="G937" t="s">
        <v>380</v>
      </c>
      <c r="I937">
        <v>0</v>
      </c>
      <c r="J937">
        <v>0</v>
      </c>
      <c r="K937">
        <v>0</v>
      </c>
      <c r="L937">
        <v>0</v>
      </c>
      <c r="M937">
        <v>0</v>
      </c>
      <c r="N937">
        <v>0</v>
      </c>
      <c r="O937">
        <v>0</v>
      </c>
      <c r="P937">
        <v>0</v>
      </c>
      <c r="Q937">
        <v>0</v>
      </c>
      <c r="R937">
        <v>0</v>
      </c>
      <c r="AQ937">
        <v>0</v>
      </c>
      <c r="AR937">
        <v>389.86</v>
      </c>
      <c r="AS937">
        <v>0</v>
      </c>
    </row>
    <row r="938" spans="1:45" hidden="1">
      <c r="A938" t="s">
        <v>33</v>
      </c>
      <c r="B938" t="s">
        <v>748</v>
      </c>
      <c r="C938" t="s">
        <v>667</v>
      </c>
      <c r="D938" t="s">
        <v>281</v>
      </c>
      <c r="E938" t="s">
        <v>138</v>
      </c>
      <c r="F938" t="s">
        <v>384</v>
      </c>
      <c r="G938" t="s">
        <v>165</v>
      </c>
      <c r="I938">
        <v>0</v>
      </c>
      <c r="J938">
        <v>0</v>
      </c>
      <c r="K938">
        <v>0</v>
      </c>
      <c r="L938">
        <v>0</v>
      </c>
      <c r="M938">
        <v>0</v>
      </c>
      <c r="N938">
        <v>0</v>
      </c>
      <c r="O938">
        <v>0</v>
      </c>
      <c r="P938">
        <v>0</v>
      </c>
      <c r="Q938">
        <v>0</v>
      </c>
      <c r="R938">
        <v>0</v>
      </c>
      <c r="AQ938">
        <v>0</v>
      </c>
      <c r="AR938">
        <v>2227.0500000000002</v>
      </c>
      <c r="AS938">
        <v>0</v>
      </c>
    </row>
    <row r="939" spans="1:45" hidden="1">
      <c r="A939" t="s">
        <v>33</v>
      </c>
      <c r="B939" t="s">
        <v>748</v>
      </c>
      <c r="C939" t="s">
        <v>162</v>
      </c>
      <c r="D939" t="s">
        <v>281</v>
      </c>
      <c r="E939" t="s">
        <v>138</v>
      </c>
      <c r="F939" t="s">
        <v>164</v>
      </c>
      <c r="G939" t="s">
        <v>165</v>
      </c>
      <c r="I939">
        <v>0</v>
      </c>
      <c r="J939">
        <v>0</v>
      </c>
      <c r="K939">
        <v>0</v>
      </c>
      <c r="L939">
        <v>0</v>
      </c>
      <c r="M939">
        <v>0</v>
      </c>
      <c r="N939">
        <v>0</v>
      </c>
      <c r="O939">
        <v>0</v>
      </c>
      <c r="P939">
        <v>0</v>
      </c>
      <c r="Q939">
        <v>0</v>
      </c>
      <c r="R939">
        <v>0</v>
      </c>
      <c r="AQ939">
        <v>0</v>
      </c>
      <c r="AR939">
        <v>4242</v>
      </c>
      <c r="AS939">
        <v>0</v>
      </c>
    </row>
    <row r="940" spans="1:45" hidden="1">
      <c r="A940" t="s">
        <v>33</v>
      </c>
      <c r="B940" t="s">
        <v>748</v>
      </c>
      <c r="C940" t="s">
        <v>668</v>
      </c>
      <c r="D940" t="s">
        <v>381</v>
      </c>
      <c r="E940" t="s">
        <v>138</v>
      </c>
      <c r="F940" t="s">
        <v>382</v>
      </c>
      <c r="G940" t="s">
        <v>383</v>
      </c>
      <c r="I940">
        <v>0</v>
      </c>
      <c r="J940">
        <v>0</v>
      </c>
      <c r="K940">
        <v>0</v>
      </c>
      <c r="L940">
        <v>0</v>
      </c>
      <c r="M940">
        <v>0</v>
      </c>
      <c r="N940">
        <v>0</v>
      </c>
      <c r="O940">
        <v>0</v>
      </c>
      <c r="P940">
        <v>0</v>
      </c>
      <c r="Q940">
        <v>0</v>
      </c>
      <c r="R940">
        <v>0</v>
      </c>
      <c r="AQ940">
        <v>0</v>
      </c>
      <c r="AR940">
        <v>39.39</v>
      </c>
      <c r="AS940">
        <v>0</v>
      </c>
    </row>
    <row r="941" spans="1:45" hidden="1">
      <c r="A941" t="s">
        <v>33</v>
      </c>
      <c r="B941" t="s">
        <v>748</v>
      </c>
      <c r="C941" t="s">
        <v>166</v>
      </c>
      <c r="D941" t="s">
        <v>282</v>
      </c>
      <c r="E941" t="s">
        <v>138</v>
      </c>
      <c r="F941" t="s">
        <v>168</v>
      </c>
      <c r="G941" t="s">
        <v>169</v>
      </c>
      <c r="I941">
        <v>0</v>
      </c>
      <c r="J941">
        <v>0</v>
      </c>
      <c r="K941">
        <v>0</v>
      </c>
      <c r="L941">
        <v>0</v>
      </c>
      <c r="M941">
        <v>0</v>
      </c>
      <c r="N941">
        <v>0</v>
      </c>
      <c r="O941">
        <v>0</v>
      </c>
      <c r="P941">
        <v>0</v>
      </c>
      <c r="Q941">
        <v>0</v>
      </c>
      <c r="R941">
        <v>0</v>
      </c>
      <c r="AQ941">
        <v>0</v>
      </c>
      <c r="AR941">
        <v>1.111</v>
      </c>
      <c r="AS941">
        <v>0</v>
      </c>
    </row>
    <row r="942" spans="1:45" hidden="1">
      <c r="A942" t="s">
        <v>33</v>
      </c>
      <c r="B942" t="s">
        <v>748</v>
      </c>
      <c r="C942" t="s">
        <v>669</v>
      </c>
      <c r="D942" t="s">
        <v>385</v>
      </c>
      <c r="E942" t="s">
        <v>138</v>
      </c>
      <c r="F942" t="s">
        <v>386</v>
      </c>
      <c r="G942" t="s">
        <v>387</v>
      </c>
      <c r="AQ942">
        <v>0</v>
      </c>
      <c r="AR942">
        <v>22270.5</v>
      </c>
      <c r="AS942">
        <v>0</v>
      </c>
    </row>
    <row r="943" spans="1:45" hidden="1">
      <c r="A943" t="s">
        <v>33</v>
      </c>
      <c r="B943" t="s">
        <v>748</v>
      </c>
      <c r="C943" t="s">
        <v>670</v>
      </c>
      <c r="D943" t="s">
        <v>385</v>
      </c>
      <c r="E943" t="s">
        <v>138</v>
      </c>
      <c r="F943" t="s">
        <v>388</v>
      </c>
      <c r="G943" t="s">
        <v>389</v>
      </c>
      <c r="AQ943">
        <v>0</v>
      </c>
      <c r="AR943">
        <v>0.22220000000000001</v>
      </c>
      <c r="AS943">
        <v>0</v>
      </c>
    </row>
    <row r="944" spans="1:45" hidden="1">
      <c r="A944" t="s">
        <v>33</v>
      </c>
      <c r="B944" t="s">
        <v>748</v>
      </c>
      <c r="C944" t="s">
        <v>671</v>
      </c>
      <c r="D944" t="s">
        <v>393</v>
      </c>
      <c r="E944" t="s">
        <v>138</v>
      </c>
      <c r="F944" t="s">
        <v>394</v>
      </c>
      <c r="G944" t="s">
        <v>395</v>
      </c>
      <c r="AQ944">
        <v>0</v>
      </c>
      <c r="AR944">
        <v>99.99</v>
      </c>
      <c r="AS944">
        <v>0</v>
      </c>
    </row>
    <row r="945" spans="1:45" hidden="1">
      <c r="A945" t="s">
        <v>33</v>
      </c>
      <c r="B945" t="s">
        <v>748</v>
      </c>
      <c r="C945" t="s">
        <v>672</v>
      </c>
      <c r="D945" t="s">
        <v>393</v>
      </c>
      <c r="E945" t="s">
        <v>138</v>
      </c>
      <c r="F945" t="s">
        <v>396</v>
      </c>
      <c r="G945" t="s">
        <v>395</v>
      </c>
      <c r="AQ945">
        <v>0</v>
      </c>
      <c r="AR945">
        <v>99.99</v>
      </c>
      <c r="AS945">
        <v>0</v>
      </c>
    </row>
    <row r="946" spans="1:45" hidden="1">
      <c r="A946" t="s">
        <v>33</v>
      </c>
      <c r="B946" t="s">
        <v>748</v>
      </c>
      <c r="C946" t="s">
        <v>673</v>
      </c>
      <c r="D946" t="s">
        <v>393</v>
      </c>
      <c r="E946" t="s">
        <v>138</v>
      </c>
      <c r="F946" t="s">
        <v>397</v>
      </c>
      <c r="G946" t="s">
        <v>395</v>
      </c>
      <c r="AQ946">
        <v>0</v>
      </c>
      <c r="AR946">
        <v>66.66</v>
      </c>
      <c r="AS946">
        <v>0</v>
      </c>
    </row>
    <row r="947" spans="1:45" hidden="1">
      <c r="A947" t="s">
        <v>33</v>
      </c>
      <c r="B947" t="s">
        <v>748</v>
      </c>
      <c r="C947" t="s">
        <v>674</v>
      </c>
      <c r="D947" t="s">
        <v>287</v>
      </c>
      <c r="E947" t="s">
        <v>138</v>
      </c>
      <c r="F947" t="s">
        <v>402</v>
      </c>
      <c r="G947" t="s">
        <v>403</v>
      </c>
      <c r="AQ947">
        <v>0</v>
      </c>
      <c r="AR947">
        <v>318150</v>
      </c>
      <c r="AS947">
        <v>0</v>
      </c>
    </row>
    <row r="948" spans="1:45" hidden="1">
      <c r="A948" t="s">
        <v>33</v>
      </c>
      <c r="B948" t="s">
        <v>748</v>
      </c>
      <c r="C948" t="s">
        <v>675</v>
      </c>
      <c r="D948" t="s">
        <v>390</v>
      </c>
      <c r="E948" t="s">
        <v>138</v>
      </c>
      <c r="F948" t="s">
        <v>391</v>
      </c>
      <c r="G948" t="s">
        <v>392</v>
      </c>
      <c r="AQ948">
        <v>0</v>
      </c>
      <c r="AR948">
        <v>1336.23</v>
      </c>
      <c r="AS948">
        <v>0</v>
      </c>
    </row>
    <row r="949" spans="1:45" hidden="1">
      <c r="A949" t="s">
        <v>33</v>
      </c>
      <c r="B949" t="s">
        <v>748</v>
      </c>
      <c r="C949" t="s">
        <v>676</v>
      </c>
      <c r="D949" t="s">
        <v>398</v>
      </c>
      <c r="E949" t="s">
        <v>138</v>
      </c>
      <c r="F949" t="s">
        <v>399</v>
      </c>
      <c r="G949" t="s">
        <v>400</v>
      </c>
      <c r="AQ949">
        <v>0</v>
      </c>
      <c r="AR949">
        <v>14475.825000000001</v>
      </c>
      <c r="AS949">
        <v>0</v>
      </c>
    </row>
    <row r="950" spans="1:45" hidden="1">
      <c r="A950" t="s">
        <v>33</v>
      </c>
      <c r="B950" t="s">
        <v>748</v>
      </c>
      <c r="C950" t="s">
        <v>170</v>
      </c>
      <c r="D950" t="s">
        <v>171</v>
      </c>
      <c r="E950" t="s">
        <v>172</v>
      </c>
      <c r="F950" t="s">
        <v>173</v>
      </c>
      <c r="G950" t="s">
        <v>152</v>
      </c>
      <c r="H950">
        <v>170289.37</v>
      </c>
      <c r="I950">
        <v>13621.63</v>
      </c>
      <c r="J950">
        <v>18226</v>
      </c>
      <c r="K950">
        <v>7816</v>
      </c>
      <c r="L950">
        <v>18152.330000000002</v>
      </c>
      <c r="M950">
        <v>20685.5</v>
      </c>
      <c r="N950">
        <v>6872.11</v>
      </c>
      <c r="O950">
        <v>7222.98</v>
      </c>
      <c r="P950">
        <v>3876.96</v>
      </c>
      <c r="Q950">
        <v>992.23</v>
      </c>
      <c r="R950">
        <v>3796.08</v>
      </c>
      <c r="AQ950">
        <v>271551.19</v>
      </c>
      <c r="AR950">
        <v>1.2726</v>
      </c>
      <c r="AS950">
        <v>345576.04439400003</v>
      </c>
    </row>
    <row r="951" spans="1:45" hidden="1">
      <c r="A951" t="s">
        <v>33</v>
      </c>
      <c r="B951" t="s">
        <v>748</v>
      </c>
      <c r="C951" t="s">
        <v>677</v>
      </c>
      <c r="D951" t="s">
        <v>405</v>
      </c>
      <c r="E951" t="s">
        <v>172</v>
      </c>
      <c r="F951" t="s">
        <v>406</v>
      </c>
      <c r="G951" t="s">
        <v>407</v>
      </c>
      <c r="I951">
        <v>0</v>
      </c>
      <c r="J951">
        <v>0</v>
      </c>
      <c r="K951">
        <v>0</v>
      </c>
      <c r="L951">
        <v>0</v>
      </c>
      <c r="M951">
        <v>0</v>
      </c>
      <c r="N951">
        <v>0</v>
      </c>
      <c r="O951">
        <v>0</v>
      </c>
      <c r="P951">
        <v>0</v>
      </c>
      <c r="Q951">
        <v>0</v>
      </c>
      <c r="R951">
        <v>0</v>
      </c>
      <c r="AQ951">
        <v>0</v>
      </c>
      <c r="AR951">
        <v>47.47</v>
      </c>
      <c r="AS951">
        <v>0</v>
      </c>
    </row>
    <row r="952" spans="1:45" hidden="1">
      <c r="A952" t="s">
        <v>33</v>
      </c>
      <c r="B952" t="s">
        <v>748</v>
      </c>
      <c r="C952" t="s">
        <v>678</v>
      </c>
      <c r="D952" t="s">
        <v>408</v>
      </c>
      <c r="E952" t="s">
        <v>172</v>
      </c>
      <c r="F952" t="s">
        <v>409</v>
      </c>
      <c r="G952" t="s">
        <v>410</v>
      </c>
      <c r="I952">
        <v>0</v>
      </c>
      <c r="J952">
        <v>0</v>
      </c>
      <c r="K952">
        <v>0</v>
      </c>
      <c r="L952">
        <v>0</v>
      </c>
      <c r="M952">
        <v>0</v>
      </c>
      <c r="N952">
        <v>0</v>
      </c>
      <c r="O952">
        <v>0</v>
      </c>
      <c r="P952">
        <v>0</v>
      </c>
      <c r="Q952">
        <v>0</v>
      </c>
      <c r="R952">
        <v>0</v>
      </c>
      <c r="AQ952">
        <v>0</v>
      </c>
      <c r="AR952">
        <v>1.0605</v>
      </c>
      <c r="AS952">
        <v>0</v>
      </c>
    </row>
    <row r="953" spans="1:45" hidden="1">
      <c r="A953" t="s">
        <v>33</v>
      </c>
      <c r="B953" t="s">
        <v>748</v>
      </c>
      <c r="C953" t="s">
        <v>679</v>
      </c>
      <c r="D953" t="s">
        <v>411</v>
      </c>
      <c r="E953" t="s">
        <v>172</v>
      </c>
      <c r="F953" t="s">
        <v>412</v>
      </c>
      <c r="G953" t="s">
        <v>413</v>
      </c>
      <c r="I953">
        <v>0</v>
      </c>
      <c r="J953">
        <v>0</v>
      </c>
      <c r="K953">
        <v>0</v>
      </c>
      <c r="L953">
        <v>0</v>
      </c>
      <c r="M953">
        <v>0</v>
      </c>
      <c r="N953">
        <v>0</v>
      </c>
      <c r="O953">
        <v>0</v>
      </c>
      <c r="P953">
        <v>0</v>
      </c>
      <c r="Q953">
        <v>0</v>
      </c>
      <c r="R953">
        <v>0</v>
      </c>
      <c r="AQ953">
        <v>0</v>
      </c>
      <c r="AR953">
        <v>37.1175</v>
      </c>
      <c r="AS953">
        <v>0</v>
      </c>
    </row>
    <row r="954" spans="1:45" hidden="1">
      <c r="A954" t="s">
        <v>33</v>
      </c>
      <c r="B954" t="s">
        <v>748</v>
      </c>
      <c r="C954" t="s">
        <v>680</v>
      </c>
      <c r="D954" t="s">
        <v>414</v>
      </c>
      <c r="E954" t="s">
        <v>172</v>
      </c>
      <c r="F954" t="s">
        <v>415</v>
      </c>
      <c r="G954" t="s">
        <v>224</v>
      </c>
      <c r="I954">
        <v>0</v>
      </c>
      <c r="J954">
        <v>0</v>
      </c>
      <c r="K954">
        <v>0</v>
      </c>
      <c r="L954">
        <v>0</v>
      </c>
      <c r="M954">
        <v>0</v>
      </c>
      <c r="N954">
        <v>0</v>
      </c>
      <c r="O954">
        <v>0</v>
      </c>
      <c r="P954">
        <v>0</v>
      </c>
      <c r="Q954">
        <v>0</v>
      </c>
      <c r="R954">
        <v>0</v>
      </c>
      <c r="AQ954">
        <v>0</v>
      </c>
      <c r="AR954">
        <v>42.42</v>
      </c>
      <c r="AS954">
        <v>0</v>
      </c>
    </row>
    <row r="955" spans="1:45" hidden="1">
      <c r="A955" t="s">
        <v>33</v>
      </c>
      <c r="B955" t="s">
        <v>748</v>
      </c>
      <c r="C955" t="s">
        <v>681</v>
      </c>
      <c r="D955" t="s">
        <v>416</v>
      </c>
      <c r="E955" t="s">
        <v>172</v>
      </c>
      <c r="F955" t="s">
        <v>417</v>
      </c>
      <c r="G955" t="s">
        <v>418</v>
      </c>
      <c r="I955">
        <v>0</v>
      </c>
      <c r="J955">
        <v>0</v>
      </c>
      <c r="K955">
        <v>0</v>
      </c>
      <c r="L955">
        <v>0</v>
      </c>
      <c r="M955">
        <v>0</v>
      </c>
      <c r="N955">
        <v>0</v>
      </c>
      <c r="O955">
        <v>0</v>
      </c>
      <c r="P955">
        <v>0</v>
      </c>
      <c r="Q955">
        <v>0</v>
      </c>
      <c r="R955">
        <v>0</v>
      </c>
      <c r="AQ955">
        <v>0</v>
      </c>
      <c r="AR955">
        <v>0.32319999999999999</v>
      </c>
      <c r="AS955">
        <v>0</v>
      </c>
    </row>
    <row r="956" spans="1:45" hidden="1">
      <c r="A956" t="s">
        <v>33</v>
      </c>
      <c r="B956" t="s">
        <v>748</v>
      </c>
      <c r="C956" t="s">
        <v>682</v>
      </c>
      <c r="D956" t="s">
        <v>419</v>
      </c>
      <c r="E956" t="s">
        <v>172</v>
      </c>
      <c r="F956" t="s">
        <v>420</v>
      </c>
      <c r="G956" t="s">
        <v>421</v>
      </c>
      <c r="I956">
        <v>0</v>
      </c>
      <c r="J956">
        <v>0</v>
      </c>
      <c r="K956">
        <v>0</v>
      </c>
      <c r="L956">
        <v>0</v>
      </c>
      <c r="M956">
        <v>0</v>
      </c>
      <c r="N956">
        <v>0</v>
      </c>
      <c r="O956">
        <v>0</v>
      </c>
      <c r="P956">
        <v>0</v>
      </c>
      <c r="Q956">
        <v>0</v>
      </c>
      <c r="R956">
        <v>0</v>
      </c>
      <c r="AQ956">
        <v>0</v>
      </c>
      <c r="AR956">
        <v>42.42</v>
      </c>
      <c r="AS956">
        <v>0</v>
      </c>
    </row>
    <row r="957" spans="1:45" hidden="1">
      <c r="A957" t="s">
        <v>33</v>
      </c>
      <c r="B957" t="s">
        <v>748</v>
      </c>
      <c r="C957" t="s">
        <v>683</v>
      </c>
      <c r="D957" t="s">
        <v>422</v>
      </c>
      <c r="E957" t="s">
        <v>172</v>
      </c>
      <c r="F957" t="s">
        <v>423</v>
      </c>
      <c r="G957" t="s">
        <v>407</v>
      </c>
      <c r="I957">
        <v>0</v>
      </c>
      <c r="J957">
        <v>0</v>
      </c>
      <c r="K957">
        <v>0</v>
      </c>
      <c r="L957">
        <v>0</v>
      </c>
      <c r="M957">
        <v>0</v>
      </c>
      <c r="N957">
        <v>0</v>
      </c>
      <c r="O957">
        <v>0</v>
      </c>
      <c r="P957">
        <v>0</v>
      </c>
      <c r="Q957">
        <v>0</v>
      </c>
      <c r="R957">
        <v>0</v>
      </c>
      <c r="AQ957">
        <v>0</v>
      </c>
      <c r="AR957">
        <v>47.47</v>
      </c>
      <c r="AS957">
        <v>0</v>
      </c>
    </row>
    <row r="958" spans="1:45" hidden="1">
      <c r="A958" t="s">
        <v>33</v>
      </c>
      <c r="B958" t="s">
        <v>748</v>
      </c>
      <c r="C958" t="s">
        <v>684</v>
      </c>
      <c r="D958" t="s">
        <v>427</v>
      </c>
      <c r="E958" t="s">
        <v>172</v>
      </c>
      <c r="F958" t="s">
        <v>428</v>
      </c>
      <c r="G958" t="s">
        <v>429</v>
      </c>
      <c r="I958">
        <v>0</v>
      </c>
      <c r="J958">
        <v>0</v>
      </c>
      <c r="K958">
        <v>0</v>
      </c>
      <c r="L958">
        <v>0</v>
      </c>
      <c r="M958">
        <v>0</v>
      </c>
      <c r="N958">
        <v>0</v>
      </c>
      <c r="O958">
        <v>0</v>
      </c>
      <c r="P958">
        <v>0</v>
      </c>
      <c r="Q958">
        <v>0</v>
      </c>
      <c r="R958">
        <v>0</v>
      </c>
      <c r="AQ958">
        <v>0</v>
      </c>
      <c r="AR958">
        <v>636.29999999999995</v>
      </c>
      <c r="AS958">
        <v>0</v>
      </c>
    </row>
    <row r="959" spans="1:45" hidden="1">
      <c r="A959" t="s">
        <v>33</v>
      </c>
      <c r="B959" t="s">
        <v>748</v>
      </c>
      <c r="C959" t="s">
        <v>174</v>
      </c>
      <c r="D959" t="s">
        <v>175</v>
      </c>
      <c r="E959" t="s">
        <v>172</v>
      </c>
      <c r="F959" t="s">
        <v>176</v>
      </c>
      <c r="G959" t="s">
        <v>177</v>
      </c>
      <c r="I959">
        <v>0</v>
      </c>
      <c r="J959">
        <v>0</v>
      </c>
      <c r="K959">
        <v>0</v>
      </c>
      <c r="L959">
        <v>0</v>
      </c>
      <c r="M959">
        <v>0</v>
      </c>
      <c r="N959">
        <v>0</v>
      </c>
      <c r="O959">
        <v>0</v>
      </c>
      <c r="P959">
        <v>0</v>
      </c>
      <c r="Q959">
        <v>0</v>
      </c>
      <c r="R959">
        <v>0</v>
      </c>
      <c r="AQ959">
        <v>0</v>
      </c>
      <c r="AR959">
        <v>424.2</v>
      </c>
      <c r="AS959">
        <v>0</v>
      </c>
    </row>
    <row r="960" spans="1:45" hidden="1">
      <c r="A960" t="s">
        <v>33</v>
      </c>
      <c r="B960" t="s">
        <v>748</v>
      </c>
      <c r="C960" t="s">
        <v>685</v>
      </c>
      <c r="D960" t="s">
        <v>430</v>
      </c>
      <c r="E960" t="s">
        <v>172</v>
      </c>
      <c r="F960" t="s">
        <v>433</v>
      </c>
      <c r="G960" t="s">
        <v>432</v>
      </c>
      <c r="H960">
        <v>6</v>
      </c>
      <c r="J960">
        <v>1</v>
      </c>
      <c r="K960">
        <v>1</v>
      </c>
      <c r="L960">
        <v>1</v>
      </c>
      <c r="M960">
        <v>0</v>
      </c>
      <c r="N960">
        <v>0</v>
      </c>
      <c r="O960">
        <v>0</v>
      </c>
      <c r="P960">
        <v>0</v>
      </c>
      <c r="Q960">
        <v>0</v>
      </c>
      <c r="R960">
        <v>0</v>
      </c>
      <c r="AQ960">
        <v>9</v>
      </c>
      <c r="AR960">
        <v>1908.9</v>
      </c>
      <c r="AS960">
        <v>17180.099999999999</v>
      </c>
    </row>
    <row r="961" spans="1:45" hidden="1">
      <c r="A961" t="s">
        <v>33</v>
      </c>
      <c r="B961" t="s">
        <v>748</v>
      </c>
      <c r="C961" t="s">
        <v>686</v>
      </c>
      <c r="D961" t="s">
        <v>430</v>
      </c>
      <c r="E961" t="s">
        <v>172</v>
      </c>
      <c r="F961" t="s">
        <v>431</v>
      </c>
      <c r="G961" t="s">
        <v>432</v>
      </c>
      <c r="I961">
        <v>1</v>
      </c>
      <c r="J961">
        <v>0</v>
      </c>
      <c r="K961">
        <v>0</v>
      </c>
      <c r="L961">
        <v>0</v>
      </c>
      <c r="M961">
        <v>0</v>
      </c>
      <c r="N961">
        <v>0</v>
      </c>
      <c r="O961">
        <v>0</v>
      </c>
      <c r="P961">
        <v>0</v>
      </c>
      <c r="Q961">
        <v>0</v>
      </c>
      <c r="R961">
        <v>0</v>
      </c>
      <c r="AQ961">
        <v>1</v>
      </c>
      <c r="AR961">
        <v>2121</v>
      </c>
      <c r="AS961">
        <v>2121</v>
      </c>
    </row>
    <row r="962" spans="1:45" hidden="1">
      <c r="A962" t="s">
        <v>33</v>
      </c>
      <c r="B962" t="s">
        <v>748</v>
      </c>
      <c r="C962" t="s">
        <v>687</v>
      </c>
      <c r="D962" t="s">
        <v>430</v>
      </c>
      <c r="E962" t="s">
        <v>172</v>
      </c>
      <c r="F962" t="s">
        <v>438</v>
      </c>
      <c r="G962" t="s">
        <v>432</v>
      </c>
      <c r="I962">
        <v>0</v>
      </c>
      <c r="J962">
        <v>0</v>
      </c>
      <c r="K962">
        <v>0</v>
      </c>
      <c r="L962">
        <v>0</v>
      </c>
      <c r="M962">
        <v>0</v>
      </c>
      <c r="N962">
        <v>0</v>
      </c>
      <c r="O962">
        <v>0</v>
      </c>
      <c r="P962">
        <v>0</v>
      </c>
      <c r="Q962">
        <v>0</v>
      </c>
      <c r="R962">
        <v>0</v>
      </c>
      <c r="AQ962">
        <v>0</v>
      </c>
      <c r="AR962">
        <v>2439.15</v>
      </c>
      <c r="AS962">
        <v>0</v>
      </c>
    </row>
    <row r="963" spans="1:45" hidden="1">
      <c r="A963" t="s">
        <v>33</v>
      </c>
      <c r="B963" t="s">
        <v>748</v>
      </c>
      <c r="C963" t="s">
        <v>688</v>
      </c>
      <c r="D963" t="s">
        <v>430</v>
      </c>
      <c r="E963" t="s">
        <v>172</v>
      </c>
      <c r="F963" t="s">
        <v>434</v>
      </c>
      <c r="G963" t="s">
        <v>432</v>
      </c>
      <c r="H963">
        <v>2</v>
      </c>
      <c r="I963">
        <v>0</v>
      </c>
      <c r="J963">
        <v>0</v>
      </c>
      <c r="K963">
        <v>0</v>
      </c>
      <c r="L963">
        <v>0</v>
      </c>
      <c r="M963">
        <v>0</v>
      </c>
      <c r="N963">
        <v>0</v>
      </c>
      <c r="O963">
        <v>0</v>
      </c>
      <c r="P963">
        <v>0</v>
      </c>
      <c r="Q963">
        <v>0</v>
      </c>
      <c r="R963">
        <v>0</v>
      </c>
      <c r="AQ963">
        <v>2</v>
      </c>
      <c r="AR963">
        <v>2651.25</v>
      </c>
      <c r="AS963">
        <v>5302.5</v>
      </c>
    </row>
    <row r="964" spans="1:45" hidden="1">
      <c r="A964" t="s">
        <v>33</v>
      </c>
      <c r="B964" t="s">
        <v>748</v>
      </c>
      <c r="C964" t="s">
        <v>645</v>
      </c>
      <c r="D964" t="s">
        <v>435</v>
      </c>
      <c r="E964" t="s">
        <v>172</v>
      </c>
      <c r="F964" t="s">
        <v>436</v>
      </c>
      <c r="G964" t="s">
        <v>437</v>
      </c>
      <c r="I964">
        <v>0</v>
      </c>
      <c r="J964">
        <v>0</v>
      </c>
      <c r="K964">
        <v>0</v>
      </c>
      <c r="L964">
        <v>0</v>
      </c>
      <c r="M964">
        <v>0</v>
      </c>
      <c r="N964">
        <v>0</v>
      </c>
      <c r="O964">
        <v>0</v>
      </c>
      <c r="P964">
        <v>0</v>
      </c>
      <c r="Q964">
        <v>0</v>
      </c>
      <c r="R964">
        <v>0</v>
      </c>
      <c r="AQ964">
        <v>0</v>
      </c>
      <c r="AR964">
        <v>0.28000000000000003</v>
      </c>
    </row>
    <row r="965" spans="1:45" hidden="1">
      <c r="A965" t="s">
        <v>33</v>
      </c>
      <c r="B965" t="s">
        <v>748</v>
      </c>
      <c r="C965" t="s">
        <v>689</v>
      </c>
      <c r="D965" t="s">
        <v>439</v>
      </c>
      <c r="E965" t="s">
        <v>172</v>
      </c>
      <c r="F965" t="s">
        <v>690</v>
      </c>
      <c r="G965" t="s">
        <v>441</v>
      </c>
      <c r="I965">
        <v>0</v>
      </c>
      <c r="J965">
        <v>0</v>
      </c>
      <c r="K965">
        <v>0</v>
      </c>
      <c r="L965">
        <v>0</v>
      </c>
      <c r="M965">
        <v>0</v>
      </c>
      <c r="N965">
        <v>0</v>
      </c>
      <c r="O965">
        <v>0</v>
      </c>
      <c r="P965">
        <v>0</v>
      </c>
      <c r="Q965">
        <v>0</v>
      </c>
      <c r="R965">
        <v>0</v>
      </c>
      <c r="AQ965">
        <v>0</v>
      </c>
      <c r="AR965">
        <v>318.14999999999998</v>
      </c>
      <c r="AS965">
        <v>0</v>
      </c>
    </row>
    <row r="966" spans="1:45" hidden="1">
      <c r="A966" t="s">
        <v>33</v>
      </c>
      <c r="B966" t="s">
        <v>748</v>
      </c>
      <c r="C966" t="s">
        <v>691</v>
      </c>
      <c r="D966" t="s">
        <v>439</v>
      </c>
      <c r="E966" t="s">
        <v>172</v>
      </c>
      <c r="F966" t="s">
        <v>442</v>
      </c>
      <c r="G966" t="s">
        <v>441</v>
      </c>
      <c r="I966">
        <v>0</v>
      </c>
      <c r="J966">
        <v>0</v>
      </c>
      <c r="K966">
        <v>0</v>
      </c>
      <c r="L966">
        <v>0</v>
      </c>
      <c r="M966">
        <v>0</v>
      </c>
      <c r="N966">
        <v>0</v>
      </c>
      <c r="O966">
        <v>0</v>
      </c>
      <c r="P966">
        <v>0</v>
      </c>
      <c r="Q966">
        <v>0</v>
      </c>
      <c r="R966">
        <v>0</v>
      </c>
      <c r="AQ966">
        <v>0</v>
      </c>
      <c r="AR966">
        <v>1272.5999999999999</v>
      </c>
      <c r="AS966">
        <v>0</v>
      </c>
    </row>
    <row r="967" spans="1:45" hidden="1">
      <c r="A967" t="s">
        <v>33</v>
      </c>
      <c r="B967" t="s">
        <v>748</v>
      </c>
      <c r="C967" t="s">
        <v>692</v>
      </c>
      <c r="D967" t="s">
        <v>439</v>
      </c>
      <c r="E967" t="s">
        <v>172</v>
      </c>
      <c r="F967" t="s">
        <v>443</v>
      </c>
      <c r="G967" t="s">
        <v>441</v>
      </c>
      <c r="I967">
        <v>0</v>
      </c>
      <c r="J967">
        <v>0</v>
      </c>
      <c r="K967">
        <v>0</v>
      </c>
      <c r="L967">
        <v>0</v>
      </c>
      <c r="M967">
        <v>0</v>
      </c>
      <c r="N967">
        <v>0</v>
      </c>
      <c r="O967">
        <v>0</v>
      </c>
      <c r="P967">
        <v>0</v>
      </c>
      <c r="Q967">
        <v>0</v>
      </c>
      <c r="R967">
        <v>0</v>
      </c>
      <c r="AQ967">
        <v>0</v>
      </c>
      <c r="AR967">
        <v>1590.75</v>
      </c>
      <c r="AS967">
        <v>0</v>
      </c>
    </row>
    <row r="968" spans="1:45" hidden="1">
      <c r="A968" t="s">
        <v>33</v>
      </c>
      <c r="B968" t="s">
        <v>748</v>
      </c>
      <c r="C968" t="s">
        <v>693</v>
      </c>
      <c r="D968" t="s">
        <v>439</v>
      </c>
      <c r="E968" t="s">
        <v>172</v>
      </c>
      <c r="F968" t="s">
        <v>440</v>
      </c>
      <c r="G968" t="s">
        <v>441</v>
      </c>
      <c r="I968">
        <v>0</v>
      </c>
      <c r="J968">
        <v>0</v>
      </c>
      <c r="K968">
        <v>0</v>
      </c>
      <c r="L968">
        <v>0</v>
      </c>
      <c r="M968">
        <v>0</v>
      </c>
      <c r="N968">
        <v>0</v>
      </c>
      <c r="O968">
        <v>0</v>
      </c>
      <c r="P968">
        <v>0</v>
      </c>
      <c r="Q968">
        <v>0</v>
      </c>
      <c r="R968">
        <v>0</v>
      </c>
      <c r="AQ968">
        <v>0</v>
      </c>
      <c r="AR968">
        <v>1590.75</v>
      </c>
      <c r="AS968">
        <v>0</v>
      </c>
    </row>
    <row r="969" spans="1:45" hidden="1">
      <c r="A969" t="s">
        <v>33</v>
      </c>
      <c r="B969" t="s">
        <v>748</v>
      </c>
      <c r="C969" t="s">
        <v>694</v>
      </c>
      <c r="D969" t="s">
        <v>439</v>
      </c>
      <c r="E969" t="s">
        <v>172</v>
      </c>
      <c r="F969" t="s">
        <v>695</v>
      </c>
      <c r="G969" t="s">
        <v>441</v>
      </c>
      <c r="I969">
        <v>0</v>
      </c>
      <c r="J969">
        <v>0</v>
      </c>
      <c r="K969">
        <v>0</v>
      </c>
      <c r="L969">
        <v>0</v>
      </c>
      <c r="M969">
        <v>0</v>
      </c>
      <c r="N969">
        <v>0</v>
      </c>
      <c r="O969">
        <v>0</v>
      </c>
      <c r="P969">
        <v>0</v>
      </c>
      <c r="Q969">
        <v>0</v>
      </c>
      <c r="R969">
        <v>0</v>
      </c>
      <c r="AQ969">
        <v>0</v>
      </c>
      <c r="AR969">
        <v>1802.85</v>
      </c>
      <c r="AS969">
        <v>0</v>
      </c>
    </row>
    <row r="970" spans="1:45" hidden="1">
      <c r="A970" t="s">
        <v>33</v>
      </c>
      <c r="B970" t="s">
        <v>748</v>
      </c>
      <c r="C970" t="s">
        <v>696</v>
      </c>
      <c r="D970" t="s">
        <v>446</v>
      </c>
      <c r="E970" t="s">
        <v>172</v>
      </c>
      <c r="F970" t="s">
        <v>447</v>
      </c>
      <c r="G970" t="s">
        <v>448</v>
      </c>
      <c r="I970">
        <v>0</v>
      </c>
      <c r="J970">
        <v>0</v>
      </c>
      <c r="K970">
        <v>0</v>
      </c>
      <c r="L970">
        <v>0</v>
      </c>
      <c r="M970">
        <v>0</v>
      </c>
      <c r="N970">
        <v>0</v>
      </c>
      <c r="O970">
        <v>0</v>
      </c>
      <c r="P970">
        <v>0</v>
      </c>
      <c r="Q970">
        <v>0</v>
      </c>
      <c r="R970">
        <v>0</v>
      </c>
      <c r="AQ970">
        <v>0</v>
      </c>
      <c r="AR970">
        <v>10.605</v>
      </c>
      <c r="AS970">
        <v>0</v>
      </c>
    </row>
    <row r="971" spans="1:45" hidden="1">
      <c r="A971" t="s">
        <v>33</v>
      </c>
      <c r="B971" t="s">
        <v>748</v>
      </c>
      <c r="C971" t="s">
        <v>178</v>
      </c>
      <c r="D971" t="s">
        <v>179</v>
      </c>
      <c r="E971" t="s">
        <v>172</v>
      </c>
      <c r="F971" t="s">
        <v>180</v>
      </c>
      <c r="G971" t="s">
        <v>181</v>
      </c>
      <c r="I971">
        <v>0</v>
      </c>
      <c r="J971">
        <v>0</v>
      </c>
      <c r="K971">
        <v>0</v>
      </c>
      <c r="L971">
        <v>0</v>
      </c>
      <c r="M971">
        <v>0</v>
      </c>
      <c r="N971">
        <v>0</v>
      </c>
      <c r="O971">
        <v>0</v>
      </c>
      <c r="P971">
        <v>0</v>
      </c>
      <c r="Q971">
        <v>0</v>
      </c>
      <c r="R971">
        <v>0</v>
      </c>
      <c r="AQ971">
        <v>0</v>
      </c>
      <c r="AR971">
        <v>106.05</v>
      </c>
      <c r="AS971">
        <v>0</v>
      </c>
    </row>
    <row r="972" spans="1:45" hidden="1">
      <c r="A972" t="s">
        <v>33</v>
      </c>
      <c r="B972" t="s">
        <v>748</v>
      </c>
      <c r="C972" t="s">
        <v>182</v>
      </c>
      <c r="D972" t="s">
        <v>179</v>
      </c>
      <c r="E972" t="s">
        <v>172</v>
      </c>
      <c r="F972" t="s">
        <v>183</v>
      </c>
      <c r="G972" t="s">
        <v>152</v>
      </c>
      <c r="I972">
        <v>0</v>
      </c>
      <c r="J972">
        <v>0</v>
      </c>
      <c r="K972">
        <v>0</v>
      </c>
      <c r="L972">
        <v>0</v>
      </c>
      <c r="M972">
        <v>0</v>
      </c>
      <c r="N972">
        <v>0</v>
      </c>
      <c r="O972">
        <v>0</v>
      </c>
      <c r="P972">
        <v>0</v>
      </c>
      <c r="Q972">
        <v>0</v>
      </c>
      <c r="R972">
        <v>0</v>
      </c>
      <c r="AQ972">
        <v>0</v>
      </c>
      <c r="AR972">
        <v>0.1515</v>
      </c>
      <c r="AS972">
        <v>0</v>
      </c>
    </row>
    <row r="973" spans="1:45" hidden="1">
      <c r="A973" t="s">
        <v>33</v>
      </c>
      <c r="B973" t="s">
        <v>748</v>
      </c>
      <c r="C973" t="s">
        <v>697</v>
      </c>
      <c r="D973" t="s">
        <v>449</v>
      </c>
      <c r="E973" t="s">
        <v>172</v>
      </c>
      <c r="F973" t="s">
        <v>450</v>
      </c>
      <c r="G973" t="s">
        <v>451</v>
      </c>
      <c r="I973">
        <v>0</v>
      </c>
      <c r="J973">
        <v>0</v>
      </c>
      <c r="K973">
        <v>0</v>
      </c>
      <c r="L973">
        <v>0</v>
      </c>
      <c r="M973">
        <v>0</v>
      </c>
      <c r="N973">
        <v>0</v>
      </c>
      <c r="O973">
        <v>0</v>
      </c>
      <c r="P973">
        <v>0</v>
      </c>
      <c r="Q973">
        <v>0</v>
      </c>
      <c r="R973">
        <v>0</v>
      </c>
      <c r="AQ973">
        <v>0</v>
      </c>
      <c r="AR973">
        <v>1908.9</v>
      </c>
      <c r="AS973">
        <v>0</v>
      </c>
    </row>
    <row r="974" spans="1:45" hidden="1">
      <c r="A974" t="s">
        <v>33</v>
      </c>
      <c r="B974" t="s">
        <v>748</v>
      </c>
      <c r="C974" t="s">
        <v>698</v>
      </c>
      <c r="D974" t="s">
        <v>424</v>
      </c>
      <c r="E974" t="s">
        <v>172</v>
      </c>
      <c r="F974" t="s">
        <v>425</v>
      </c>
      <c r="G974" t="s">
        <v>426</v>
      </c>
      <c r="I974">
        <v>0</v>
      </c>
      <c r="J974">
        <v>0</v>
      </c>
      <c r="K974">
        <v>0</v>
      </c>
      <c r="L974">
        <v>0</v>
      </c>
      <c r="M974">
        <v>0</v>
      </c>
      <c r="N974">
        <v>0</v>
      </c>
      <c r="O974">
        <v>0</v>
      </c>
      <c r="P974">
        <v>0</v>
      </c>
      <c r="Q974">
        <v>0</v>
      </c>
      <c r="R974">
        <v>0</v>
      </c>
      <c r="AQ974">
        <v>0</v>
      </c>
      <c r="AR974">
        <v>132.5625</v>
      </c>
      <c r="AS974">
        <v>0</v>
      </c>
    </row>
    <row r="975" spans="1:45" hidden="1">
      <c r="A975" t="s">
        <v>33</v>
      </c>
      <c r="B975" t="s">
        <v>748</v>
      </c>
      <c r="C975" t="s">
        <v>699</v>
      </c>
      <c r="D975" t="s">
        <v>287</v>
      </c>
      <c r="E975" t="s">
        <v>172</v>
      </c>
      <c r="F975" t="s">
        <v>452</v>
      </c>
      <c r="G975" t="s">
        <v>453</v>
      </c>
      <c r="H975">
        <v>1</v>
      </c>
      <c r="I975">
        <v>0</v>
      </c>
      <c r="J975">
        <v>0</v>
      </c>
      <c r="K975">
        <v>0</v>
      </c>
      <c r="L975">
        <v>0</v>
      </c>
      <c r="M975">
        <v>0</v>
      </c>
      <c r="N975">
        <v>0</v>
      </c>
      <c r="O975">
        <v>0</v>
      </c>
      <c r="P975">
        <v>0</v>
      </c>
      <c r="Q975">
        <v>0</v>
      </c>
      <c r="R975">
        <v>0</v>
      </c>
      <c r="AQ975">
        <v>1</v>
      </c>
      <c r="AR975">
        <v>3181.5</v>
      </c>
      <c r="AS975">
        <v>3181.5</v>
      </c>
    </row>
    <row r="976" spans="1:45" hidden="1">
      <c r="A976" t="s">
        <v>33</v>
      </c>
      <c r="B976" t="s">
        <v>748</v>
      </c>
      <c r="C976" t="s">
        <v>700</v>
      </c>
      <c r="D976" t="s">
        <v>287</v>
      </c>
      <c r="E976" t="s">
        <v>172</v>
      </c>
      <c r="F976" t="s">
        <v>454</v>
      </c>
      <c r="G976" t="s">
        <v>455</v>
      </c>
      <c r="I976">
        <v>0</v>
      </c>
      <c r="J976">
        <v>0</v>
      </c>
      <c r="K976">
        <v>0</v>
      </c>
      <c r="L976">
        <v>0</v>
      </c>
      <c r="M976">
        <v>0</v>
      </c>
      <c r="N976">
        <v>0</v>
      </c>
      <c r="O976">
        <v>0</v>
      </c>
      <c r="P976">
        <v>0</v>
      </c>
      <c r="Q976">
        <v>0</v>
      </c>
      <c r="R976">
        <v>0</v>
      </c>
      <c r="AQ976">
        <v>0</v>
      </c>
      <c r="AR976">
        <v>318150</v>
      </c>
      <c r="AS976">
        <v>0</v>
      </c>
    </row>
    <row r="977" spans="1:45" hidden="1">
      <c r="A977" t="s">
        <v>33</v>
      </c>
      <c r="B977" t="s">
        <v>748</v>
      </c>
      <c r="C977" t="s">
        <v>701</v>
      </c>
      <c r="D977" t="s">
        <v>287</v>
      </c>
      <c r="E977" t="s">
        <v>172</v>
      </c>
      <c r="F977" t="s">
        <v>456</v>
      </c>
      <c r="G977" t="s">
        <v>457</v>
      </c>
      <c r="I977">
        <v>0</v>
      </c>
      <c r="J977">
        <v>0</v>
      </c>
      <c r="K977">
        <v>0</v>
      </c>
      <c r="L977">
        <v>0</v>
      </c>
      <c r="M977">
        <v>0</v>
      </c>
      <c r="N977">
        <v>0</v>
      </c>
      <c r="O977">
        <v>0</v>
      </c>
      <c r="P977">
        <v>0</v>
      </c>
      <c r="Q977">
        <v>0</v>
      </c>
      <c r="R977">
        <v>0</v>
      </c>
      <c r="AQ977">
        <v>0</v>
      </c>
      <c r="AR977">
        <v>238612.5</v>
      </c>
      <c r="AS977">
        <v>0</v>
      </c>
    </row>
    <row r="978" spans="1:45" hidden="1">
      <c r="A978" t="s">
        <v>33</v>
      </c>
      <c r="B978" t="s">
        <v>748</v>
      </c>
      <c r="C978" t="s">
        <v>184</v>
      </c>
      <c r="D978" t="s">
        <v>185</v>
      </c>
      <c r="E978" t="s">
        <v>186</v>
      </c>
      <c r="F978" t="s">
        <v>187</v>
      </c>
      <c r="G978" t="s">
        <v>188</v>
      </c>
      <c r="I978">
        <v>0</v>
      </c>
      <c r="J978">
        <v>0</v>
      </c>
      <c r="K978">
        <v>0</v>
      </c>
      <c r="L978">
        <v>0</v>
      </c>
      <c r="M978">
        <v>0</v>
      </c>
      <c r="N978">
        <v>0</v>
      </c>
      <c r="O978">
        <v>0</v>
      </c>
      <c r="P978">
        <v>0</v>
      </c>
      <c r="Q978">
        <v>0</v>
      </c>
      <c r="R978">
        <v>0</v>
      </c>
      <c r="AQ978">
        <v>0</v>
      </c>
      <c r="AR978">
        <v>2121</v>
      </c>
      <c r="AS978">
        <v>0</v>
      </c>
    </row>
    <row r="979" spans="1:45" hidden="1">
      <c r="A979" t="s">
        <v>33</v>
      </c>
      <c r="B979" t="s">
        <v>748</v>
      </c>
      <c r="C979" t="s">
        <v>189</v>
      </c>
      <c r="D979" t="s">
        <v>190</v>
      </c>
      <c r="E979" t="s">
        <v>186</v>
      </c>
      <c r="F979" t="s">
        <v>191</v>
      </c>
      <c r="G979" t="s">
        <v>192</v>
      </c>
      <c r="I979">
        <v>0</v>
      </c>
      <c r="J979">
        <v>0</v>
      </c>
      <c r="K979">
        <v>0</v>
      </c>
      <c r="L979">
        <v>0</v>
      </c>
      <c r="M979">
        <v>0</v>
      </c>
      <c r="N979">
        <v>0</v>
      </c>
      <c r="O979">
        <v>0</v>
      </c>
      <c r="P979">
        <v>0</v>
      </c>
      <c r="Q979">
        <v>0</v>
      </c>
      <c r="R979">
        <v>0</v>
      </c>
      <c r="AQ979">
        <v>0</v>
      </c>
      <c r="AR979">
        <v>1060.5</v>
      </c>
      <c r="AS979">
        <v>0</v>
      </c>
    </row>
    <row r="980" spans="1:45" hidden="1">
      <c r="A980" t="s">
        <v>33</v>
      </c>
      <c r="B980" t="s">
        <v>748</v>
      </c>
      <c r="C980" t="s">
        <v>702</v>
      </c>
      <c r="D980" t="s">
        <v>190</v>
      </c>
      <c r="E980" t="s">
        <v>186</v>
      </c>
      <c r="F980" t="s">
        <v>458</v>
      </c>
      <c r="G980" t="s">
        <v>459</v>
      </c>
      <c r="I980">
        <v>0</v>
      </c>
      <c r="J980">
        <v>0</v>
      </c>
      <c r="K980">
        <v>0</v>
      </c>
      <c r="L980">
        <v>0</v>
      </c>
      <c r="M980">
        <v>0</v>
      </c>
      <c r="N980">
        <v>0</v>
      </c>
      <c r="O980">
        <v>0</v>
      </c>
      <c r="P980">
        <v>0</v>
      </c>
      <c r="Q980">
        <v>0</v>
      </c>
      <c r="R980">
        <v>0</v>
      </c>
      <c r="AQ980">
        <v>0</v>
      </c>
      <c r="AR980">
        <v>1590.75</v>
      </c>
      <c r="AS980">
        <v>0</v>
      </c>
    </row>
    <row r="981" spans="1:45" hidden="1">
      <c r="A981" t="s">
        <v>33</v>
      </c>
      <c r="B981" t="s">
        <v>748</v>
      </c>
      <c r="C981" t="s">
        <v>193</v>
      </c>
      <c r="D981" t="s">
        <v>194</v>
      </c>
      <c r="E981" t="s">
        <v>186</v>
      </c>
      <c r="F981" t="s">
        <v>195</v>
      </c>
      <c r="G981" t="s">
        <v>152</v>
      </c>
      <c r="I981">
        <v>0</v>
      </c>
      <c r="J981">
        <v>0</v>
      </c>
      <c r="K981">
        <v>0</v>
      </c>
      <c r="L981">
        <v>0</v>
      </c>
      <c r="M981">
        <v>0</v>
      </c>
      <c r="N981">
        <v>0</v>
      </c>
      <c r="O981">
        <v>0</v>
      </c>
      <c r="P981">
        <v>0</v>
      </c>
      <c r="Q981">
        <v>0</v>
      </c>
      <c r="R981">
        <v>0</v>
      </c>
      <c r="AQ981">
        <v>0</v>
      </c>
      <c r="AR981">
        <v>0.63629999999999998</v>
      </c>
      <c r="AS981">
        <v>0</v>
      </c>
    </row>
    <row r="982" spans="1:45" hidden="1">
      <c r="A982" t="s">
        <v>33</v>
      </c>
      <c r="B982" t="s">
        <v>748</v>
      </c>
      <c r="C982" t="s">
        <v>197</v>
      </c>
      <c r="D982" t="s">
        <v>198</v>
      </c>
      <c r="E982" t="s">
        <v>186</v>
      </c>
      <c r="F982" t="s">
        <v>199</v>
      </c>
      <c r="G982" t="s">
        <v>200</v>
      </c>
      <c r="H982">
        <v>7</v>
      </c>
      <c r="I982">
        <v>1</v>
      </c>
      <c r="J982">
        <v>1</v>
      </c>
      <c r="K982">
        <v>1</v>
      </c>
      <c r="L982">
        <v>1</v>
      </c>
      <c r="M982">
        <v>1</v>
      </c>
      <c r="N982">
        <v>0</v>
      </c>
      <c r="O982">
        <v>0</v>
      </c>
      <c r="P982">
        <v>0</v>
      </c>
      <c r="Q982">
        <v>0</v>
      </c>
      <c r="R982">
        <v>0</v>
      </c>
      <c r="AQ982">
        <v>12</v>
      </c>
      <c r="AR982">
        <v>4984.3500000000004</v>
      </c>
      <c r="AS982">
        <v>59812.2</v>
      </c>
    </row>
    <row r="983" spans="1:45" hidden="1">
      <c r="A983" t="s">
        <v>33</v>
      </c>
      <c r="B983" t="s">
        <v>748</v>
      </c>
      <c r="C983" t="s">
        <v>201</v>
      </c>
      <c r="D983" t="s">
        <v>202</v>
      </c>
      <c r="E983" t="s">
        <v>186</v>
      </c>
      <c r="F983" t="s">
        <v>203</v>
      </c>
      <c r="G983" t="s">
        <v>204</v>
      </c>
      <c r="I983">
        <v>0</v>
      </c>
      <c r="J983">
        <v>0</v>
      </c>
      <c r="K983">
        <v>0</v>
      </c>
      <c r="L983">
        <v>0</v>
      </c>
      <c r="M983">
        <v>0</v>
      </c>
      <c r="N983">
        <v>0</v>
      </c>
      <c r="O983">
        <v>0</v>
      </c>
      <c r="P983">
        <v>0</v>
      </c>
      <c r="Q983">
        <v>0</v>
      </c>
      <c r="R983">
        <v>0</v>
      </c>
      <c r="AQ983">
        <v>0</v>
      </c>
      <c r="AR983">
        <v>31.815000000000001</v>
      </c>
      <c r="AS983">
        <v>0</v>
      </c>
    </row>
    <row r="984" spans="1:45" hidden="1">
      <c r="A984" t="s">
        <v>33</v>
      </c>
      <c r="B984" t="s">
        <v>748</v>
      </c>
      <c r="C984" t="s">
        <v>703</v>
      </c>
      <c r="D984" t="s">
        <v>460</v>
      </c>
      <c r="E984" t="s">
        <v>186</v>
      </c>
      <c r="F984" t="s">
        <v>461</v>
      </c>
      <c r="G984" t="s">
        <v>462</v>
      </c>
      <c r="I984">
        <v>0</v>
      </c>
      <c r="J984">
        <v>0</v>
      </c>
      <c r="K984">
        <v>0</v>
      </c>
      <c r="L984">
        <v>0</v>
      </c>
      <c r="M984">
        <v>0</v>
      </c>
      <c r="N984">
        <v>0</v>
      </c>
      <c r="O984">
        <v>0</v>
      </c>
      <c r="P984">
        <v>0</v>
      </c>
      <c r="Q984">
        <v>0</v>
      </c>
      <c r="R984">
        <v>0</v>
      </c>
      <c r="AQ984">
        <v>0</v>
      </c>
      <c r="AR984">
        <v>15907.5</v>
      </c>
      <c r="AS984">
        <v>0</v>
      </c>
    </row>
    <row r="985" spans="1:45" hidden="1">
      <c r="A985" t="s">
        <v>33</v>
      </c>
      <c r="B985" t="s">
        <v>748</v>
      </c>
      <c r="C985" t="s">
        <v>704</v>
      </c>
      <c r="D985" t="s">
        <v>468</v>
      </c>
      <c r="E985" t="s">
        <v>186</v>
      </c>
      <c r="F985" t="s">
        <v>469</v>
      </c>
      <c r="G985" t="s">
        <v>470</v>
      </c>
      <c r="I985">
        <v>0</v>
      </c>
      <c r="J985">
        <v>0</v>
      </c>
      <c r="K985">
        <v>0</v>
      </c>
      <c r="L985">
        <v>0</v>
      </c>
      <c r="M985">
        <v>0</v>
      </c>
      <c r="N985">
        <v>0</v>
      </c>
      <c r="O985">
        <v>0</v>
      </c>
      <c r="P985">
        <v>0</v>
      </c>
      <c r="Q985">
        <v>0</v>
      </c>
      <c r="R985">
        <v>0</v>
      </c>
      <c r="AQ985">
        <v>0</v>
      </c>
      <c r="AR985">
        <v>159.07499999999999</v>
      </c>
      <c r="AS985">
        <v>0</v>
      </c>
    </row>
    <row r="986" spans="1:45" hidden="1">
      <c r="A986" t="s">
        <v>33</v>
      </c>
      <c r="B986" t="s">
        <v>748</v>
      </c>
      <c r="C986" t="s">
        <v>705</v>
      </c>
      <c r="D986" t="s">
        <v>463</v>
      </c>
      <c r="E986" t="s">
        <v>186</v>
      </c>
      <c r="F986" t="s">
        <v>466</v>
      </c>
      <c r="G986" t="s">
        <v>467</v>
      </c>
      <c r="I986">
        <v>0</v>
      </c>
      <c r="J986">
        <v>0</v>
      </c>
      <c r="K986">
        <v>0</v>
      </c>
      <c r="L986">
        <v>0</v>
      </c>
      <c r="M986">
        <v>0</v>
      </c>
      <c r="N986">
        <v>0</v>
      </c>
      <c r="O986">
        <v>0</v>
      </c>
      <c r="P986">
        <v>0</v>
      </c>
      <c r="Q986">
        <v>0</v>
      </c>
      <c r="R986">
        <v>0</v>
      </c>
      <c r="AQ986">
        <v>0</v>
      </c>
      <c r="AR986">
        <v>509.04</v>
      </c>
      <c r="AS986">
        <v>0</v>
      </c>
    </row>
    <row r="987" spans="1:45" hidden="1">
      <c r="A987" t="s">
        <v>33</v>
      </c>
      <c r="B987" t="s">
        <v>748</v>
      </c>
      <c r="C987" t="s">
        <v>706</v>
      </c>
      <c r="D987" t="s">
        <v>463</v>
      </c>
      <c r="E987" t="s">
        <v>186</v>
      </c>
      <c r="F987" t="s">
        <v>464</v>
      </c>
      <c r="G987" t="s">
        <v>465</v>
      </c>
      <c r="I987">
        <v>0</v>
      </c>
      <c r="J987">
        <v>0</v>
      </c>
      <c r="K987">
        <v>0</v>
      </c>
      <c r="L987">
        <v>0</v>
      </c>
      <c r="M987">
        <v>0</v>
      </c>
      <c r="N987">
        <v>0</v>
      </c>
      <c r="O987">
        <v>0</v>
      </c>
      <c r="P987">
        <v>0</v>
      </c>
      <c r="Q987">
        <v>0</v>
      </c>
      <c r="R987">
        <v>0</v>
      </c>
      <c r="AQ987">
        <v>0</v>
      </c>
      <c r="AR987">
        <v>1060.5</v>
      </c>
      <c r="AS987">
        <v>0</v>
      </c>
    </row>
    <row r="988" spans="1:45" hidden="1">
      <c r="A988" t="s">
        <v>33</v>
      </c>
      <c r="B988" t="s">
        <v>748</v>
      </c>
      <c r="C988" t="s">
        <v>707</v>
      </c>
      <c r="D988" t="s">
        <v>471</v>
      </c>
      <c r="E988" t="s">
        <v>186</v>
      </c>
      <c r="F988" t="s">
        <v>472</v>
      </c>
      <c r="G988" t="s">
        <v>473</v>
      </c>
      <c r="I988">
        <v>0</v>
      </c>
      <c r="J988">
        <v>0</v>
      </c>
      <c r="K988">
        <v>0</v>
      </c>
      <c r="L988">
        <v>1</v>
      </c>
      <c r="M988">
        <v>0</v>
      </c>
      <c r="N988">
        <v>0</v>
      </c>
      <c r="O988">
        <v>0</v>
      </c>
      <c r="P988">
        <v>0</v>
      </c>
      <c r="Q988">
        <v>0</v>
      </c>
      <c r="R988">
        <v>0</v>
      </c>
      <c r="AQ988">
        <v>1</v>
      </c>
      <c r="AR988">
        <v>15377.25</v>
      </c>
      <c r="AS988">
        <v>15377.25</v>
      </c>
    </row>
    <row r="989" spans="1:45" hidden="1">
      <c r="A989" t="s">
        <v>33</v>
      </c>
      <c r="B989" t="s">
        <v>748</v>
      </c>
      <c r="C989" t="s">
        <v>205</v>
      </c>
      <c r="D989" t="s">
        <v>206</v>
      </c>
      <c r="E989" t="s">
        <v>207</v>
      </c>
      <c r="F989" t="s">
        <v>208</v>
      </c>
      <c r="G989" t="s">
        <v>209</v>
      </c>
      <c r="H989">
        <v>170289.37</v>
      </c>
      <c r="I989">
        <v>13621.63</v>
      </c>
      <c r="J989">
        <v>18226</v>
      </c>
      <c r="K989">
        <v>7816</v>
      </c>
      <c r="L989">
        <v>18152.330000000002</v>
      </c>
      <c r="M989">
        <v>20685.5</v>
      </c>
      <c r="N989">
        <v>6872.11</v>
      </c>
      <c r="O989">
        <v>7222.98</v>
      </c>
      <c r="P989">
        <v>3876.96</v>
      </c>
      <c r="Q989">
        <v>992.23</v>
      </c>
      <c r="R989">
        <v>3796.08</v>
      </c>
      <c r="AQ989">
        <v>271551.19</v>
      </c>
      <c r="AR989">
        <v>0.16159999999999999</v>
      </c>
      <c r="AS989">
        <v>43882.672304</v>
      </c>
    </row>
    <row r="990" spans="1:45" hidden="1">
      <c r="A990" t="s">
        <v>33</v>
      </c>
      <c r="B990" t="s">
        <v>748</v>
      </c>
      <c r="C990" t="s">
        <v>210</v>
      </c>
      <c r="D990" t="s">
        <v>211</v>
      </c>
      <c r="E990" t="s">
        <v>207</v>
      </c>
      <c r="F990" t="s">
        <v>212</v>
      </c>
      <c r="G990" t="s">
        <v>209</v>
      </c>
      <c r="H990">
        <v>170289.37</v>
      </c>
      <c r="I990">
        <v>13621.63</v>
      </c>
      <c r="J990">
        <v>18226</v>
      </c>
      <c r="K990">
        <v>7816</v>
      </c>
      <c r="L990">
        <v>18152.330000000002</v>
      </c>
      <c r="M990">
        <v>20685.5</v>
      </c>
      <c r="N990">
        <v>6872.11</v>
      </c>
      <c r="O990">
        <v>7222.98</v>
      </c>
      <c r="P990">
        <v>3876.96</v>
      </c>
      <c r="Q990">
        <v>992.23</v>
      </c>
      <c r="R990">
        <v>3796.08</v>
      </c>
      <c r="AQ990">
        <v>271551.19</v>
      </c>
      <c r="AR990">
        <v>0.63629999999999998</v>
      </c>
      <c r="AS990">
        <v>172788.02219700001</v>
      </c>
    </row>
    <row r="991" spans="1:45" hidden="1">
      <c r="A991" t="s">
        <v>33</v>
      </c>
      <c r="B991" t="s">
        <v>748</v>
      </c>
      <c r="C991" t="s">
        <v>213</v>
      </c>
      <c r="D991" t="s">
        <v>214</v>
      </c>
      <c r="E991" t="s">
        <v>207</v>
      </c>
      <c r="F991" t="s">
        <v>215</v>
      </c>
      <c r="G991" t="s">
        <v>152</v>
      </c>
      <c r="H991">
        <v>170289.37</v>
      </c>
      <c r="I991">
        <v>13621.63</v>
      </c>
      <c r="J991">
        <v>18226</v>
      </c>
      <c r="K991">
        <v>7816</v>
      </c>
      <c r="L991">
        <v>18152.330000000002</v>
      </c>
      <c r="M991">
        <v>20685.5</v>
      </c>
      <c r="N991">
        <v>6872.11</v>
      </c>
      <c r="O991">
        <v>7222.98</v>
      </c>
      <c r="P991">
        <v>3876.96</v>
      </c>
      <c r="Q991">
        <v>992.23</v>
      </c>
      <c r="R991">
        <v>3796.08</v>
      </c>
      <c r="AQ991">
        <v>271551.19</v>
      </c>
      <c r="AR991">
        <v>0.32319999999999999</v>
      </c>
      <c r="AS991">
        <v>87765.344607999999</v>
      </c>
    </row>
    <row r="992" spans="1:45" hidden="1">
      <c r="A992" t="s">
        <v>33</v>
      </c>
      <c r="B992" t="s">
        <v>748</v>
      </c>
      <c r="C992" t="s">
        <v>255</v>
      </c>
      <c r="D992" t="s">
        <v>256</v>
      </c>
      <c r="E992" t="s">
        <v>207</v>
      </c>
      <c r="F992" t="s">
        <v>257</v>
      </c>
      <c r="G992" t="s">
        <v>258</v>
      </c>
      <c r="H992">
        <v>1200</v>
      </c>
      <c r="I992">
        <v>105</v>
      </c>
      <c r="J992">
        <v>209</v>
      </c>
      <c r="K992">
        <v>0</v>
      </c>
      <c r="L992">
        <v>71</v>
      </c>
      <c r="N992">
        <v>39</v>
      </c>
      <c r="AQ992">
        <v>1624</v>
      </c>
      <c r="AR992">
        <v>31.815000000000001</v>
      </c>
      <c r="AS992">
        <v>51667.56</v>
      </c>
    </row>
    <row r="993" spans="1:45" hidden="1">
      <c r="A993" t="s">
        <v>33</v>
      </c>
      <c r="B993" t="s">
        <v>748</v>
      </c>
      <c r="C993" t="s">
        <v>217</v>
      </c>
      <c r="D993" t="s">
        <v>218</v>
      </c>
      <c r="E993" t="s">
        <v>207</v>
      </c>
      <c r="F993" t="s">
        <v>219</v>
      </c>
      <c r="G993" t="s">
        <v>220</v>
      </c>
      <c r="H993">
        <v>1300</v>
      </c>
      <c r="I993">
        <v>164</v>
      </c>
      <c r="J993">
        <v>215</v>
      </c>
      <c r="K993">
        <v>0</v>
      </c>
      <c r="L993">
        <v>165</v>
      </c>
      <c r="M993">
        <v>82</v>
      </c>
      <c r="N993">
        <v>68</v>
      </c>
      <c r="O993">
        <v>38</v>
      </c>
      <c r="P993">
        <v>52</v>
      </c>
      <c r="Q993">
        <v>46</v>
      </c>
      <c r="R993">
        <v>33</v>
      </c>
      <c r="AQ993">
        <v>2163</v>
      </c>
      <c r="AR993">
        <v>9.5950000000000006</v>
      </c>
      <c r="AS993">
        <v>20753.985000000001</v>
      </c>
    </row>
    <row r="994" spans="1:45" hidden="1">
      <c r="A994" t="s">
        <v>33</v>
      </c>
      <c r="B994" t="s">
        <v>748</v>
      </c>
      <c r="C994" t="s">
        <v>708</v>
      </c>
      <c r="D994" t="s">
        <v>474</v>
      </c>
      <c r="E994" t="s">
        <v>207</v>
      </c>
      <c r="F994" t="s">
        <v>475</v>
      </c>
      <c r="G994" t="s">
        <v>476</v>
      </c>
      <c r="I994">
        <v>0</v>
      </c>
      <c r="J994">
        <v>0</v>
      </c>
      <c r="K994">
        <v>0</v>
      </c>
      <c r="L994">
        <v>0</v>
      </c>
      <c r="M994">
        <v>0</v>
      </c>
      <c r="N994">
        <v>0</v>
      </c>
      <c r="O994">
        <v>0</v>
      </c>
      <c r="P994">
        <v>0</v>
      </c>
      <c r="Q994">
        <v>0</v>
      </c>
      <c r="R994">
        <v>0</v>
      </c>
      <c r="AQ994">
        <v>0</v>
      </c>
      <c r="AR994">
        <v>79.790000000000006</v>
      </c>
      <c r="AS994">
        <v>0</v>
      </c>
    </row>
    <row r="995" spans="1:45" hidden="1">
      <c r="A995" t="s">
        <v>33</v>
      </c>
      <c r="B995" t="s">
        <v>748</v>
      </c>
      <c r="C995" t="s">
        <v>709</v>
      </c>
      <c r="D995" t="s">
        <v>477</v>
      </c>
      <c r="E995" t="s">
        <v>207</v>
      </c>
      <c r="F995" t="s">
        <v>478</v>
      </c>
      <c r="G995" t="s">
        <v>479</v>
      </c>
      <c r="I995">
        <v>0</v>
      </c>
      <c r="J995">
        <v>0</v>
      </c>
      <c r="K995">
        <v>0</v>
      </c>
      <c r="L995">
        <v>0</v>
      </c>
      <c r="M995">
        <v>0</v>
      </c>
      <c r="N995">
        <v>0</v>
      </c>
      <c r="O995">
        <v>0</v>
      </c>
      <c r="P995">
        <v>0</v>
      </c>
      <c r="Q995">
        <v>0</v>
      </c>
      <c r="R995">
        <v>0</v>
      </c>
      <c r="AQ995">
        <v>0</v>
      </c>
      <c r="AR995">
        <v>2.121</v>
      </c>
      <c r="AS995">
        <v>0</v>
      </c>
    </row>
    <row r="996" spans="1:45" hidden="1">
      <c r="A996" t="s">
        <v>33</v>
      </c>
      <c r="B996" t="s">
        <v>748</v>
      </c>
      <c r="C996" t="s">
        <v>221</v>
      </c>
      <c r="D996" t="s">
        <v>222</v>
      </c>
      <c r="E996" t="s">
        <v>207</v>
      </c>
      <c r="F996" t="s">
        <v>223</v>
      </c>
      <c r="G996" t="s">
        <v>224</v>
      </c>
      <c r="I996">
        <v>0</v>
      </c>
      <c r="J996">
        <v>0</v>
      </c>
      <c r="K996">
        <v>0</v>
      </c>
      <c r="L996">
        <v>0</v>
      </c>
      <c r="M996">
        <v>0</v>
      </c>
      <c r="N996">
        <v>0</v>
      </c>
      <c r="O996">
        <v>0</v>
      </c>
      <c r="P996">
        <v>0</v>
      </c>
      <c r="Q996">
        <v>0</v>
      </c>
      <c r="R996">
        <v>0</v>
      </c>
      <c r="AQ996">
        <v>0</v>
      </c>
      <c r="AR996">
        <v>2651.25</v>
      </c>
      <c r="AS996">
        <v>0</v>
      </c>
    </row>
    <row r="997" spans="1:45" hidden="1">
      <c r="A997" t="s">
        <v>33</v>
      </c>
      <c r="B997" t="s">
        <v>748</v>
      </c>
      <c r="C997" t="s">
        <v>225</v>
      </c>
      <c r="D997" t="s">
        <v>226</v>
      </c>
      <c r="E997" t="s">
        <v>207</v>
      </c>
      <c r="F997" t="s">
        <v>227</v>
      </c>
      <c r="G997" t="s">
        <v>228</v>
      </c>
      <c r="H997">
        <v>727</v>
      </c>
      <c r="I997">
        <v>50</v>
      </c>
      <c r="J997">
        <v>120</v>
      </c>
      <c r="K997">
        <v>0</v>
      </c>
      <c r="L997">
        <v>53</v>
      </c>
      <c r="M997">
        <v>23</v>
      </c>
      <c r="N997">
        <v>8</v>
      </c>
      <c r="O997">
        <v>2</v>
      </c>
      <c r="Q997">
        <v>7</v>
      </c>
      <c r="R997">
        <v>5</v>
      </c>
      <c r="AQ997">
        <v>995</v>
      </c>
      <c r="AR997">
        <v>21.21</v>
      </c>
      <c r="AS997">
        <v>21103.95</v>
      </c>
    </row>
    <row r="998" spans="1:45" hidden="1">
      <c r="A998" t="s">
        <v>33</v>
      </c>
      <c r="B998" t="s">
        <v>748</v>
      </c>
      <c r="C998" t="s">
        <v>710</v>
      </c>
      <c r="D998" t="s">
        <v>480</v>
      </c>
      <c r="E998" t="s">
        <v>207</v>
      </c>
      <c r="F998" t="s">
        <v>481</v>
      </c>
      <c r="G998" t="s">
        <v>482</v>
      </c>
      <c r="H998">
        <v>2</v>
      </c>
      <c r="I998">
        <v>0</v>
      </c>
      <c r="J998">
        <v>0</v>
      </c>
      <c r="K998">
        <v>0</v>
      </c>
      <c r="L998">
        <v>0</v>
      </c>
      <c r="M998">
        <v>0</v>
      </c>
      <c r="N998">
        <v>0</v>
      </c>
      <c r="O998">
        <v>0</v>
      </c>
      <c r="P998">
        <v>0</v>
      </c>
      <c r="Q998">
        <v>0</v>
      </c>
      <c r="R998">
        <v>0</v>
      </c>
      <c r="AQ998">
        <v>2</v>
      </c>
      <c r="AR998">
        <v>1272.5999999999999</v>
      </c>
      <c r="AS998">
        <v>2545.1999999999998</v>
      </c>
    </row>
    <row r="999" spans="1:45" hidden="1">
      <c r="A999" t="s">
        <v>33</v>
      </c>
      <c r="B999" t="s">
        <v>748</v>
      </c>
      <c r="C999" t="s">
        <v>711</v>
      </c>
      <c r="D999" t="s">
        <v>488</v>
      </c>
      <c r="E999" t="s">
        <v>207</v>
      </c>
      <c r="F999" t="s">
        <v>489</v>
      </c>
      <c r="G999" t="s">
        <v>490</v>
      </c>
      <c r="I999">
        <v>0</v>
      </c>
      <c r="J999">
        <v>0</v>
      </c>
      <c r="K999">
        <v>0</v>
      </c>
      <c r="L999">
        <v>0</v>
      </c>
      <c r="M999">
        <v>0</v>
      </c>
      <c r="N999">
        <v>0</v>
      </c>
      <c r="O999">
        <v>0</v>
      </c>
      <c r="P999">
        <v>0</v>
      </c>
      <c r="Q999">
        <v>0</v>
      </c>
      <c r="R999">
        <v>0</v>
      </c>
      <c r="AQ999">
        <v>0</v>
      </c>
      <c r="AR999">
        <v>0.5353</v>
      </c>
      <c r="AS999">
        <v>0</v>
      </c>
    </row>
    <row r="1000" spans="1:45" hidden="1">
      <c r="A1000" t="s">
        <v>33</v>
      </c>
      <c r="B1000" t="s">
        <v>748</v>
      </c>
      <c r="C1000" t="s">
        <v>712</v>
      </c>
      <c r="D1000" t="s">
        <v>483</v>
      </c>
      <c r="E1000" t="s">
        <v>207</v>
      </c>
      <c r="F1000" t="s">
        <v>484</v>
      </c>
      <c r="G1000" t="s">
        <v>392</v>
      </c>
      <c r="I1000">
        <v>0</v>
      </c>
      <c r="J1000">
        <v>0</v>
      </c>
      <c r="K1000">
        <v>0</v>
      </c>
      <c r="L1000">
        <v>0</v>
      </c>
      <c r="M1000">
        <v>0</v>
      </c>
      <c r="N1000">
        <v>0</v>
      </c>
      <c r="O1000">
        <v>0</v>
      </c>
      <c r="P1000">
        <v>0</v>
      </c>
      <c r="Q1000">
        <v>0</v>
      </c>
      <c r="R1000">
        <v>0</v>
      </c>
      <c r="AQ1000">
        <v>0</v>
      </c>
      <c r="AR1000">
        <v>2121</v>
      </c>
      <c r="AS1000">
        <v>0</v>
      </c>
    </row>
    <row r="1001" spans="1:45" hidden="1">
      <c r="A1001" t="s">
        <v>33</v>
      </c>
      <c r="B1001" t="s">
        <v>748</v>
      </c>
      <c r="C1001" t="s">
        <v>713</v>
      </c>
      <c r="D1001" t="s">
        <v>485</v>
      </c>
      <c r="E1001" t="s">
        <v>207</v>
      </c>
      <c r="F1001" t="s">
        <v>486</v>
      </c>
      <c r="G1001" t="s">
        <v>487</v>
      </c>
      <c r="I1001">
        <v>0</v>
      </c>
      <c r="J1001">
        <v>0</v>
      </c>
      <c r="K1001">
        <v>0</v>
      </c>
      <c r="L1001">
        <v>0</v>
      </c>
      <c r="M1001">
        <v>0</v>
      </c>
      <c r="N1001">
        <v>0</v>
      </c>
      <c r="O1001">
        <v>0</v>
      </c>
      <c r="P1001">
        <v>0</v>
      </c>
      <c r="Q1001">
        <v>0</v>
      </c>
      <c r="R1001">
        <v>0</v>
      </c>
      <c r="AQ1001">
        <v>0</v>
      </c>
      <c r="AR1001">
        <v>265.125</v>
      </c>
      <c r="AS1001">
        <v>0</v>
      </c>
    </row>
    <row r="1002" spans="1:45" hidden="1">
      <c r="A1002" t="s">
        <v>33</v>
      </c>
      <c r="B1002" t="s">
        <v>748</v>
      </c>
      <c r="C1002" t="s">
        <v>229</v>
      </c>
      <c r="D1002" t="s">
        <v>230</v>
      </c>
      <c r="E1002" t="s">
        <v>231</v>
      </c>
      <c r="F1002" t="s">
        <v>232</v>
      </c>
      <c r="G1002" t="s">
        <v>233</v>
      </c>
      <c r="H1002">
        <v>37</v>
      </c>
      <c r="I1002">
        <v>5</v>
      </c>
      <c r="J1002">
        <v>6</v>
      </c>
      <c r="L1002">
        <v>5</v>
      </c>
      <c r="M1002">
        <v>1</v>
      </c>
      <c r="N1002">
        <v>2</v>
      </c>
      <c r="O1002">
        <v>2</v>
      </c>
      <c r="P1002">
        <v>1</v>
      </c>
      <c r="AQ1002">
        <v>59</v>
      </c>
      <c r="AR1002">
        <v>1484.7</v>
      </c>
      <c r="AS1002">
        <v>87597.3</v>
      </c>
    </row>
    <row r="1003" spans="1:45" hidden="1">
      <c r="A1003" t="s">
        <v>33</v>
      </c>
      <c r="B1003" t="s">
        <v>748</v>
      </c>
      <c r="C1003" t="s">
        <v>234</v>
      </c>
      <c r="D1003" t="s">
        <v>230</v>
      </c>
      <c r="E1003" t="s">
        <v>231</v>
      </c>
      <c r="F1003" t="s">
        <v>285</v>
      </c>
      <c r="G1003" t="s">
        <v>233</v>
      </c>
      <c r="H1003">
        <v>14</v>
      </c>
      <c r="I1003">
        <v>0</v>
      </c>
      <c r="J1003">
        <v>0</v>
      </c>
      <c r="K1003">
        <v>0</v>
      </c>
      <c r="L1003">
        <v>0</v>
      </c>
      <c r="M1003">
        <v>0</v>
      </c>
      <c r="N1003">
        <v>0</v>
      </c>
      <c r="O1003">
        <v>0</v>
      </c>
      <c r="P1003">
        <v>0</v>
      </c>
      <c r="Q1003">
        <v>0</v>
      </c>
      <c r="R1003">
        <v>0</v>
      </c>
      <c r="AQ1003">
        <v>14</v>
      </c>
      <c r="AR1003">
        <v>1696.8</v>
      </c>
      <c r="AS1003">
        <v>23755.200000000001</v>
      </c>
    </row>
    <row r="1004" spans="1:45" hidden="1">
      <c r="A1004" t="s">
        <v>33</v>
      </c>
      <c r="B1004" t="s">
        <v>748</v>
      </c>
      <c r="C1004" t="s">
        <v>714</v>
      </c>
      <c r="D1004" t="s">
        <v>230</v>
      </c>
      <c r="E1004" t="s">
        <v>231</v>
      </c>
      <c r="F1004" t="s">
        <v>491</v>
      </c>
      <c r="G1004" t="s">
        <v>233</v>
      </c>
      <c r="I1004">
        <v>0</v>
      </c>
      <c r="J1004">
        <v>0</v>
      </c>
      <c r="K1004">
        <v>0</v>
      </c>
      <c r="L1004">
        <v>0</v>
      </c>
      <c r="M1004">
        <v>0</v>
      </c>
      <c r="N1004">
        <v>0</v>
      </c>
      <c r="O1004">
        <v>0</v>
      </c>
      <c r="P1004">
        <v>0</v>
      </c>
      <c r="Q1004">
        <v>0</v>
      </c>
      <c r="R1004">
        <v>0</v>
      </c>
      <c r="AQ1004">
        <v>0</v>
      </c>
      <c r="AR1004">
        <v>1908.9</v>
      </c>
      <c r="AS1004">
        <v>0</v>
      </c>
    </row>
    <row r="1005" spans="1:45" hidden="1">
      <c r="A1005" t="s">
        <v>33</v>
      </c>
      <c r="B1005" t="s">
        <v>748</v>
      </c>
      <c r="C1005" t="s">
        <v>236</v>
      </c>
      <c r="D1005" t="s">
        <v>237</v>
      </c>
      <c r="E1005" t="s">
        <v>231</v>
      </c>
      <c r="F1005" t="s">
        <v>238</v>
      </c>
      <c r="G1005" t="s">
        <v>239</v>
      </c>
      <c r="H1005">
        <v>4</v>
      </c>
      <c r="I1005">
        <v>0</v>
      </c>
      <c r="J1005">
        <v>0</v>
      </c>
      <c r="K1005">
        <v>0</v>
      </c>
      <c r="L1005">
        <v>0</v>
      </c>
      <c r="M1005">
        <v>0</v>
      </c>
      <c r="N1005">
        <v>0</v>
      </c>
      <c r="O1005">
        <v>0</v>
      </c>
      <c r="P1005">
        <v>0</v>
      </c>
      <c r="Q1005">
        <v>0</v>
      </c>
      <c r="R1005">
        <v>0</v>
      </c>
      <c r="AQ1005">
        <v>4</v>
      </c>
      <c r="AR1005">
        <v>265.125</v>
      </c>
      <c r="AS1005">
        <v>1060.5</v>
      </c>
    </row>
    <row r="1006" spans="1:45" hidden="1">
      <c r="A1006" t="s">
        <v>33</v>
      </c>
      <c r="B1006" t="s">
        <v>748</v>
      </c>
      <c r="C1006" t="s">
        <v>715</v>
      </c>
      <c r="D1006" t="s">
        <v>492</v>
      </c>
      <c r="E1006" t="s">
        <v>231</v>
      </c>
      <c r="F1006" t="s">
        <v>493</v>
      </c>
      <c r="G1006" t="s">
        <v>494</v>
      </c>
      <c r="I1006">
        <v>0</v>
      </c>
      <c r="J1006">
        <v>0</v>
      </c>
      <c r="K1006">
        <v>0</v>
      </c>
      <c r="L1006">
        <v>0</v>
      </c>
      <c r="M1006">
        <v>0</v>
      </c>
      <c r="N1006">
        <v>0</v>
      </c>
      <c r="O1006">
        <v>0</v>
      </c>
      <c r="P1006">
        <v>0</v>
      </c>
      <c r="Q1006">
        <v>0</v>
      </c>
      <c r="R1006">
        <v>0</v>
      </c>
      <c r="AQ1006">
        <v>0</v>
      </c>
      <c r="AR1006">
        <v>742.35</v>
      </c>
      <c r="AS1006">
        <v>0</v>
      </c>
    </row>
    <row r="1007" spans="1:45" hidden="1">
      <c r="A1007" t="s">
        <v>33</v>
      </c>
      <c r="B1007" t="s">
        <v>748</v>
      </c>
      <c r="C1007" t="s">
        <v>716</v>
      </c>
      <c r="D1007" t="s">
        <v>495</v>
      </c>
      <c r="E1007" t="s">
        <v>231</v>
      </c>
      <c r="F1007" t="s">
        <v>496</v>
      </c>
      <c r="G1007" t="s">
        <v>497</v>
      </c>
      <c r="H1007">
        <v>1</v>
      </c>
      <c r="I1007">
        <v>1</v>
      </c>
      <c r="J1007">
        <v>1</v>
      </c>
      <c r="M1007">
        <v>1</v>
      </c>
      <c r="P1007">
        <v>1</v>
      </c>
      <c r="AQ1007">
        <v>5</v>
      </c>
      <c r="AR1007">
        <v>848.4</v>
      </c>
      <c r="AS1007">
        <v>4242</v>
      </c>
    </row>
    <row r="1008" spans="1:45" hidden="1">
      <c r="A1008" t="s">
        <v>33</v>
      </c>
      <c r="B1008" t="s">
        <v>748</v>
      </c>
      <c r="C1008" t="s">
        <v>717</v>
      </c>
      <c r="D1008" t="s">
        <v>498</v>
      </c>
      <c r="E1008" t="s">
        <v>242</v>
      </c>
      <c r="F1008" t="s">
        <v>499</v>
      </c>
      <c r="G1008" t="s">
        <v>500</v>
      </c>
      <c r="H1008">
        <v>170289.37</v>
      </c>
      <c r="I1008">
        <v>13621.63</v>
      </c>
      <c r="J1008">
        <v>18226</v>
      </c>
      <c r="K1008">
        <v>7816</v>
      </c>
      <c r="L1008">
        <v>18152.330000000002</v>
      </c>
      <c r="M1008">
        <v>20685.5</v>
      </c>
      <c r="N1008">
        <v>6872.11</v>
      </c>
      <c r="O1008">
        <v>7222.98</v>
      </c>
      <c r="P1008">
        <v>3876.96</v>
      </c>
      <c r="Q1008">
        <v>992.23</v>
      </c>
      <c r="R1008">
        <v>3796.08</v>
      </c>
      <c r="AQ1008">
        <v>271551.19</v>
      </c>
      <c r="AR1008">
        <v>1.4341999999999999</v>
      </c>
      <c r="AS1008">
        <v>389458.71669799997</v>
      </c>
    </row>
    <row r="1009" spans="1:45" hidden="1">
      <c r="A1009" t="s">
        <v>33</v>
      </c>
      <c r="B1009" t="s">
        <v>748</v>
      </c>
      <c r="C1009" t="s">
        <v>718</v>
      </c>
      <c r="D1009" t="s">
        <v>504</v>
      </c>
      <c r="E1009" t="s">
        <v>242</v>
      </c>
      <c r="F1009" t="s">
        <v>505</v>
      </c>
      <c r="G1009" t="s">
        <v>506</v>
      </c>
      <c r="I1009">
        <v>0</v>
      </c>
      <c r="J1009">
        <v>0</v>
      </c>
      <c r="K1009">
        <v>0</v>
      </c>
      <c r="L1009">
        <v>0</v>
      </c>
      <c r="M1009">
        <v>0</v>
      </c>
      <c r="N1009">
        <v>0</v>
      </c>
      <c r="O1009">
        <v>0</v>
      </c>
      <c r="P1009">
        <v>0</v>
      </c>
      <c r="Q1009">
        <v>0</v>
      </c>
      <c r="R1009">
        <v>0</v>
      </c>
      <c r="AQ1009">
        <v>0</v>
      </c>
      <c r="AR1009">
        <v>0.84840000000000004</v>
      </c>
      <c r="AS1009">
        <v>0</v>
      </c>
    </row>
    <row r="1010" spans="1:45" hidden="1">
      <c r="A1010" t="s">
        <v>33</v>
      </c>
      <c r="B1010" t="s">
        <v>748</v>
      </c>
      <c r="C1010" t="s">
        <v>719</v>
      </c>
      <c r="D1010" t="s">
        <v>501</v>
      </c>
      <c r="E1010" t="s">
        <v>242</v>
      </c>
      <c r="F1010" t="s">
        <v>502</v>
      </c>
      <c r="G1010" t="s">
        <v>503</v>
      </c>
      <c r="I1010">
        <v>0</v>
      </c>
      <c r="J1010">
        <v>0</v>
      </c>
      <c r="K1010">
        <v>0</v>
      </c>
      <c r="L1010">
        <v>0</v>
      </c>
      <c r="M1010">
        <v>0</v>
      </c>
      <c r="N1010">
        <v>0</v>
      </c>
      <c r="O1010">
        <v>0</v>
      </c>
      <c r="P1010">
        <v>0</v>
      </c>
      <c r="Q1010">
        <v>0</v>
      </c>
      <c r="R1010">
        <v>0</v>
      </c>
      <c r="AQ1010">
        <v>0</v>
      </c>
      <c r="AR1010">
        <v>1272.5999999999999</v>
      </c>
      <c r="AS1010">
        <v>0</v>
      </c>
    </row>
    <row r="1011" spans="1:45" hidden="1">
      <c r="A1011" t="s">
        <v>33</v>
      </c>
      <c r="B1011" t="s">
        <v>748</v>
      </c>
      <c r="C1011" t="s">
        <v>720</v>
      </c>
      <c r="D1011" t="s">
        <v>518</v>
      </c>
      <c r="E1011" t="s">
        <v>242</v>
      </c>
      <c r="F1011" t="s">
        <v>519</v>
      </c>
      <c r="G1011" t="s">
        <v>517</v>
      </c>
      <c r="I1011">
        <v>0</v>
      </c>
      <c r="J1011">
        <v>0</v>
      </c>
      <c r="K1011">
        <v>0</v>
      </c>
      <c r="L1011">
        <v>0</v>
      </c>
      <c r="M1011">
        <v>0</v>
      </c>
      <c r="N1011">
        <v>0</v>
      </c>
      <c r="O1011">
        <v>0</v>
      </c>
      <c r="P1011">
        <v>0</v>
      </c>
      <c r="Q1011">
        <v>0</v>
      </c>
      <c r="R1011">
        <v>0</v>
      </c>
      <c r="AQ1011">
        <v>0</v>
      </c>
      <c r="AR1011">
        <v>3181.5</v>
      </c>
      <c r="AS1011">
        <v>0</v>
      </c>
    </row>
    <row r="1012" spans="1:45" hidden="1">
      <c r="A1012" t="s">
        <v>33</v>
      </c>
      <c r="B1012" t="s">
        <v>748</v>
      </c>
      <c r="C1012" t="s">
        <v>721</v>
      </c>
      <c r="D1012" t="s">
        <v>520</v>
      </c>
      <c r="E1012" t="s">
        <v>242</v>
      </c>
      <c r="F1012" t="s">
        <v>521</v>
      </c>
      <c r="G1012" t="s">
        <v>517</v>
      </c>
      <c r="I1012">
        <v>0</v>
      </c>
      <c r="J1012">
        <v>0</v>
      </c>
      <c r="K1012">
        <v>0</v>
      </c>
      <c r="L1012">
        <v>0</v>
      </c>
      <c r="M1012">
        <v>0</v>
      </c>
      <c r="N1012">
        <v>0</v>
      </c>
      <c r="O1012">
        <v>0</v>
      </c>
      <c r="P1012">
        <v>0</v>
      </c>
      <c r="Q1012">
        <v>0</v>
      </c>
      <c r="R1012">
        <v>0</v>
      </c>
      <c r="AQ1012">
        <v>0</v>
      </c>
      <c r="AR1012">
        <v>2651.25</v>
      </c>
      <c r="AS1012">
        <v>0</v>
      </c>
    </row>
    <row r="1013" spans="1:45" hidden="1">
      <c r="A1013" t="s">
        <v>33</v>
      </c>
      <c r="B1013" t="s">
        <v>748</v>
      </c>
      <c r="C1013" t="s">
        <v>240</v>
      </c>
      <c r="D1013" t="s">
        <v>241</v>
      </c>
      <c r="E1013" t="s">
        <v>242</v>
      </c>
      <c r="F1013" t="s">
        <v>243</v>
      </c>
      <c r="G1013" t="s">
        <v>244</v>
      </c>
      <c r="I1013">
        <v>0</v>
      </c>
      <c r="J1013">
        <v>0</v>
      </c>
      <c r="K1013">
        <v>0</v>
      </c>
      <c r="L1013">
        <v>0</v>
      </c>
      <c r="M1013">
        <v>0</v>
      </c>
      <c r="N1013">
        <v>0</v>
      </c>
      <c r="O1013">
        <v>0</v>
      </c>
      <c r="P1013">
        <v>0</v>
      </c>
      <c r="Q1013">
        <v>0</v>
      </c>
      <c r="R1013">
        <v>0</v>
      </c>
      <c r="AQ1013">
        <v>0</v>
      </c>
      <c r="AR1013">
        <v>318.14999999999998</v>
      </c>
      <c r="AS1013">
        <v>0</v>
      </c>
    </row>
    <row r="1014" spans="1:45" hidden="1">
      <c r="A1014" t="s">
        <v>33</v>
      </c>
      <c r="B1014" t="s">
        <v>748</v>
      </c>
      <c r="C1014" t="s">
        <v>245</v>
      </c>
      <c r="D1014" t="s">
        <v>246</v>
      </c>
      <c r="E1014" t="s">
        <v>242</v>
      </c>
      <c r="F1014" t="s">
        <v>247</v>
      </c>
      <c r="G1014" t="s">
        <v>248</v>
      </c>
      <c r="H1014">
        <v>22</v>
      </c>
      <c r="I1014">
        <v>1</v>
      </c>
      <c r="J1014">
        <v>4</v>
      </c>
      <c r="K1014">
        <v>0</v>
      </c>
      <c r="L1014">
        <v>2</v>
      </c>
      <c r="M1014">
        <v>0</v>
      </c>
      <c r="N1014">
        <v>0</v>
      </c>
      <c r="O1014">
        <v>0</v>
      </c>
      <c r="P1014">
        <v>0</v>
      </c>
      <c r="Q1014">
        <v>0</v>
      </c>
      <c r="R1014">
        <v>0</v>
      </c>
      <c r="AQ1014">
        <v>29</v>
      </c>
      <c r="AR1014">
        <v>265.125</v>
      </c>
      <c r="AS1014">
        <v>7688.625</v>
      </c>
    </row>
    <row r="1015" spans="1:45" hidden="1">
      <c r="A1015" t="s">
        <v>33</v>
      </c>
      <c r="B1015" t="s">
        <v>748</v>
      </c>
      <c r="C1015" t="s">
        <v>259</v>
      </c>
      <c r="D1015" t="s">
        <v>260</v>
      </c>
      <c r="E1015" t="s">
        <v>242</v>
      </c>
      <c r="F1015" t="s">
        <v>261</v>
      </c>
      <c r="G1015" t="s">
        <v>262</v>
      </c>
      <c r="H1015">
        <v>65</v>
      </c>
      <c r="I1015">
        <v>20</v>
      </c>
      <c r="J1015">
        <v>3</v>
      </c>
      <c r="K1015">
        <v>0</v>
      </c>
      <c r="L1015">
        <v>1</v>
      </c>
      <c r="M1015">
        <v>0</v>
      </c>
      <c r="N1015">
        <v>0</v>
      </c>
      <c r="O1015">
        <v>0</v>
      </c>
      <c r="P1015">
        <v>0</v>
      </c>
      <c r="Q1015">
        <v>0</v>
      </c>
      <c r="R1015">
        <v>0</v>
      </c>
      <c r="AQ1015">
        <v>89</v>
      </c>
      <c r="AR1015">
        <v>318.14999999999998</v>
      </c>
      <c r="AS1015">
        <v>28315.35</v>
      </c>
    </row>
    <row r="1016" spans="1:45" hidden="1">
      <c r="A1016" t="s">
        <v>33</v>
      </c>
      <c r="B1016" t="s">
        <v>748</v>
      </c>
      <c r="C1016" t="s">
        <v>722</v>
      </c>
      <c r="D1016" t="s">
        <v>507</v>
      </c>
      <c r="E1016" t="s">
        <v>242</v>
      </c>
      <c r="F1016" t="s">
        <v>508</v>
      </c>
      <c r="G1016" t="s">
        <v>509</v>
      </c>
      <c r="H1016">
        <v>2</v>
      </c>
      <c r="I1016">
        <v>0</v>
      </c>
      <c r="J1016">
        <v>0</v>
      </c>
      <c r="K1016">
        <v>0</v>
      </c>
      <c r="L1016">
        <v>0</v>
      </c>
      <c r="M1016">
        <v>0</v>
      </c>
      <c r="N1016">
        <v>0</v>
      </c>
      <c r="O1016">
        <v>0</v>
      </c>
      <c r="P1016">
        <v>0</v>
      </c>
      <c r="Q1016">
        <v>0</v>
      </c>
      <c r="R1016">
        <v>0</v>
      </c>
      <c r="AQ1016">
        <v>2</v>
      </c>
      <c r="AR1016">
        <v>2121</v>
      </c>
      <c r="AS1016">
        <v>4242</v>
      </c>
    </row>
    <row r="1017" spans="1:45" hidden="1">
      <c r="A1017" t="s">
        <v>33</v>
      </c>
      <c r="B1017" t="s">
        <v>748</v>
      </c>
      <c r="C1017" t="s">
        <v>723</v>
      </c>
      <c r="D1017" t="s">
        <v>510</v>
      </c>
      <c r="E1017" t="s">
        <v>242</v>
      </c>
      <c r="F1017" t="s">
        <v>511</v>
      </c>
      <c r="G1017" t="s">
        <v>512</v>
      </c>
      <c r="I1017">
        <v>0</v>
      </c>
      <c r="J1017">
        <v>0</v>
      </c>
      <c r="K1017">
        <v>0</v>
      </c>
      <c r="L1017">
        <v>0</v>
      </c>
      <c r="M1017">
        <v>0</v>
      </c>
      <c r="N1017">
        <v>0</v>
      </c>
      <c r="O1017">
        <v>0</v>
      </c>
      <c r="P1017">
        <v>0</v>
      </c>
      <c r="Q1017">
        <v>0</v>
      </c>
      <c r="R1017">
        <v>0</v>
      </c>
      <c r="AQ1017">
        <v>0</v>
      </c>
      <c r="AR1017">
        <v>212.1</v>
      </c>
      <c r="AS1017">
        <v>0</v>
      </c>
    </row>
    <row r="1018" spans="1:45" hidden="1">
      <c r="A1018" t="s">
        <v>33</v>
      </c>
      <c r="B1018" t="s">
        <v>748</v>
      </c>
      <c r="C1018" t="s">
        <v>724</v>
      </c>
      <c r="D1018" t="s">
        <v>526</v>
      </c>
      <c r="E1018" t="s">
        <v>242</v>
      </c>
      <c r="F1018" t="s">
        <v>527</v>
      </c>
      <c r="G1018" t="s">
        <v>528</v>
      </c>
      <c r="I1018">
        <v>0</v>
      </c>
      <c r="J1018">
        <v>0</v>
      </c>
      <c r="K1018">
        <v>0</v>
      </c>
      <c r="L1018">
        <v>0</v>
      </c>
      <c r="M1018">
        <v>0</v>
      </c>
      <c r="N1018">
        <v>0</v>
      </c>
      <c r="O1018">
        <v>0</v>
      </c>
      <c r="P1018">
        <v>0</v>
      </c>
      <c r="Q1018">
        <v>0</v>
      </c>
      <c r="R1018">
        <v>0</v>
      </c>
      <c r="AQ1018">
        <v>0</v>
      </c>
      <c r="AR1018">
        <v>0.42420000000000002</v>
      </c>
      <c r="AS1018">
        <v>0</v>
      </c>
    </row>
    <row r="1019" spans="1:45" hidden="1">
      <c r="A1019" t="s">
        <v>33</v>
      </c>
      <c r="B1019" t="s">
        <v>748</v>
      </c>
      <c r="C1019" t="s">
        <v>725</v>
      </c>
      <c r="D1019" t="s">
        <v>529</v>
      </c>
      <c r="E1019" t="s">
        <v>242</v>
      </c>
      <c r="F1019" t="s">
        <v>530</v>
      </c>
      <c r="G1019" t="s">
        <v>531</v>
      </c>
      <c r="I1019">
        <v>0</v>
      </c>
      <c r="J1019">
        <v>0</v>
      </c>
      <c r="K1019">
        <v>0</v>
      </c>
      <c r="L1019">
        <v>0</v>
      </c>
      <c r="M1019">
        <v>0</v>
      </c>
      <c r="N1019">
        <v>0</v>
      </c>
      <c r="O1019">
        <v>0</v>
      </c>
      <c r="P1019">
        <v>0</v>
      </c>
      <c r="Q1019">
        <v>0</v>
      </c>
      <c r="R1019">
        <v>0</v>
      </c>
      <c r="AQ1019">
        <v>0</v>
      </c>
      <c r="AR1019">
        <v>212.1</v>
      </c>
      <c r="AS1019">
        <v>0</v>
      </c>
    </row>
    <row r="1020" spans="1:45" hidden="1">
      <c r="A1020" t="s">
        <v>33</v>
      </c>
      <c r="B1020" t="s">
        <v>748</v>
      </c>
      <c r="C1020" t="s">
        <v>726</v>
      </c>
      <c r="D1020" t="s">
        <v>532</v>
      </c>
      <c r="E1020" t="s">
        <v>242</v>
      </c>
      <c r="F1020" t="s">
        <v>533</v>
      </c>
      <c r="G1020" t="s">
        <v>534</v>
      </c>
      <c r="I1020">
        <v>0</v>
      </c>
      <c r="J1020">
        <v>0</v>
      </c>
      <c r="K1020">
        <v>0</v>
      </c>
      <c r="L1020">
        <v>0</v>
      </c>
      <c r="M1020">
        <v>0</v>
      </c>
      <c r="N1020">
        <v>0</v>
      </c>
      <c r="O1020">
        <v>0</v>
      </c>
      <c r="P1020">
        <v>0</v>
      </c>
      <c r="Q1020">
        <v>0</v>
      </c>
      <c r="R1020">
        <v>0</v>
      </c>
      <c r="AQ1020">
        <v>0</v>
      </c>
      <c r="AR1020">
        <v>21.21</v>
      </c>
      <c r="AS1020">
        <v>0</v>
      </c>
    </row>
    <row r="1021" spans="1:45" hidden="1">
      <c r="A1021" t="s">
        <v>33</v>
      </c>
      <c r="B1021" t="s">
        <v>748</v>
      </c>
      <c r="C1021" t="s">
        <v>727</v>
      </c>
      <c r="D1021" t="s">
        <v>287</v>
      </c>
      <c r="E1021" t="s">
        <v>242</v>
      </c>
      <c r="F1021" t="s">
        <v>537</v>
      </c>
      <c r="G1021" t="s">
        <v>538</v>
      </c>
      <c r="I1021">
        <v>0</v>
      </c>
      <c r="J1021">
        <v>0</v>
      </c>
      <c r="K1021">
        <v>0</v>
      </c>
      <c r="L1021">
        <v>0</v>
      </c>
      <c r="M1021">
        <v>0</v>
      </c>
      <c r="N1021">
        <v>0</v>
      </c>
      <c r="O1021">
        <v>0</v>
      </c>
      <c r="P1021">
        <v>0</v>
      </c>
      <c r="Q1021">
        <v>0</v>
      </c>
      <c r="R1021">
        <v>0</v>
      </c>
      <c r="AQ1021">
        <v>0</v>
      </c>
      <c r="AR1021">
        <v>127.26</v>
      </c>
      <c r="AS1021">
        <v>0</v>
      </c>
    </row>
    <row r="1022" spans="1:45" hidden="1">
      <c r="A1022" t="s">
        <v>33</v>
      </c>
      <c r="B1022" t="s">
        <v>748</v>
      </c>
      <c r="C1022" t="s">
        <v>728</v>
      </c>
      <c r="D1022" t="s">
        <v>287</v>
      </c>
      <c r="E1022" t="s">
        <v>242</v>
      </c>
      <c r="F1022" t="s">
        <v>535</v>
      </c>
      <c r="G1022" t="s">
        <v>536</v>
      </c>
      <c r="I1022">
        <v>0</v>
      </c>
      <c r="J1022">
        <v>0</v>
      </c>
      <c r="K1022">
        <v>0</v>
      </c>
      <c r="L1022">
        <v>0</v>
      </c>
      <c r="M1022">
        <v>0</v>
      </c>
      <c r="N1022">
        <v>0</v>
      </c>
      <c r="O1022">
        <v>0</v>
      </c>
      <c r="P1022">
        <v>0</v>
      </c>
      <c r="Q1022">
        <v>0</v>
      </c>
      <c r="R1022">
        <v>0</v>
      </c>
      <c r="AQ1022">
        <v>0</v>
      </c>
      <c r="AR1022">
        <v>424.2</v>
      </c>
      <c r="AS1022">
        <v>0</v>
      </c>
    </row>
    <row r="1023" spans="1:45" hidden="1">
      <c r="A1023" t="s">
        <v>33</v>
      </c>
      <c r="B1023" t="s">
        <v>748</v>
      </c>
      <c r="C1023" t="s">
        <v>729</v>
      </c>
      <c r="D1023" t="s">
        <v>522</v>
      </c>
      <c r="E1023" t="s">
        <v>242</v>
      </c>
      <c r="F1023" t="s">
        <v>523</v>
      </c>
      <c r="G1023" t="s">
        <v>517</v>
      </c>
      <c r="I1023">
        <v>0</v>
      </c>
      <c r="J1023">
        <v>0</v>
      </c>
      <c r="K1023">
        <v>0</v>
      </c>
      <c r="L1023">
        <v>0</v>
      </c>
      <c r="M1023">
        <v>0</v>
      </c>
      <c r="N1023">
        <v>0</v>
      </c>
      <c r="O1023">
        <v>0</v>
      </c>
      <c r="P1023">
        <v>0</v>
      </c>
      <c r="Q1023">
        <v>0</v>
      </c>
      <c r="R1023">
        <v>0</v>
      </c>
      <c r="AQ1023">
        <v>0</v>
      </c>
      <c r="AR1023">
        <v>1272.5999999999999</v>
      </c>
      <c r="AS1023">
        <v>0</v>
      </c>
    </row>
    <row r="1024" spans="1:45" hidden="1">
      <c r="A1024" t="s">
        <v>33</v>
      </c>
      <c r="B1024" t="s">
        <v>748</v>
      </c>
      <c r="C1024" t="s">
        <v>730</v>
      </c>
      <c r="D1024" t="s">
        <v>515</v>
      </c>
      <c r="E1024" t="s">
        <v>242</v>
      </c>
      <c r="F1024" t="s">
        <v>516</v>
      </c>
      <c r="G1024" t="s">
        <v>517</v>
      </c>
      <c r="I1024">
        <v>0</v>
      </c>
      <c r="J1024">
        <v>0</v>
      </c>
      <c r="K1024">
        <v>0</v>
      </c>
      <c r="L1024">
        <v>0</v>
      </c>
      <c r="M1024">
        <v>0</v>
      </c>
      <c r="N1024">
        <v>0</v>
      </c>
      <c r="O1024">
        <v>0</v>
      </c>
      <c r="P1024">
        <v>0</v>
      </c>
      <c r="Q1024">
        <v>0</v>
      </c>
      <c r="R1024">
        <v>0</v>
      </c>
      <c r="AQ1024">
        <v>0</v>
      </c>
      <c r="AR1024">
        <v>3181.5</v>
      </c>
      <c r="AS1024">
        <v>0</v>
      </c>
    </row>
    <row r="1025" spans="1:46" hidden="1">
      <c r="A1025" t="s">
        <v>33</v>
      </c>
      <c r="B1025" t="s">
        <v>748</v>
      </c>
      <c r="C1025" t="s">
        <v>731</v>
      </c>
      <c r="D1025" t="s">
        <v>524</v>
      </c>
      <c r="E1025" t="s">
        <v>242</v>
      </c>
      <c r="F1025" t="s">
        <v>525</v>
      </c>
      <c r="G1025" t="s">
        <v>503</v>
      </c>
      <c r="I1025">
        <v>0</v>
      </c>
      <c r="J1025">
        <v>0</v>
      </c>
      <c r="K1025">
        <v>0</v>
      </c>
      <c r="L1025">
        <v>0</v>
      </c>
      <c r="M1025">
        <v>0</v>
      </c>
      <c r="N1025">
        <v>0</v>
      </c>
      <c r="O1025">
        <v>0</v>
      </c>
      <c r="P1025">
        <v>0</v>
      </c>
      <c r="Q1025">
        <v>0</v>
      </c>
      <c r="R1025">
        <v>0</v>
      </c>
      <c r="AQ1025">
        <v>0</v>
      </c>
      <c r="AR1025">
        <v>15907.5</v>
      </c>
      <c r="AS1025">
        <v>0</v>
      </c>
    </row>
    <row r="1026" spans="1:46" hidden="1">
      <c r="A1026" t="s">
        <v>33</v>
      </c>
      <c r="B1026" t="s">
        <v>748</v>
      </c>
      <c r="C1026" t="s">
        <v>732</v>
      </c>
      <c r="D1026" t="s">
        <v>513</v>
      </c>
      <c r="E1026" t="s">
        <v>242</v>
      </c>
      <c r="F1026" t="s">
        <v>514</v>
      </c>
      <c r="G1026" t="s">
        <v>453</v>
      </c>
      <c r="I1026">
        <v>0</v>
      </c>
      <c r="J1026">
        <v>0</v>
      </c>
      <c r="K1026">
        <v>0</v>
      </c>
      <c r="L1026">
        <v>0</v>
      </c>
      <c r="M1026">
        <v>0</v>
      </c>
      <c r="N1026">
        <v>0</v>
      </c>
      <c r="O1026">
        <v>0</v>
      </c>
      <c r="P1026">
        <v>0</v>
      </c>
      <c r="Q1026">
        <v>0</v>
      </c>
      <c r="R1026">
        <v>0</v>
      </c>
      <c r="AQ1026">
        <v>0</v>
      </c>
      <c r="AR1026">
        <v>848.4</v>
      </c>
      <c r="AS1026">
        <v>0</v>
      </c>
    </row>
    <row r="1027" spans="1:46" hidden="1">
      <c r="A1027" t="s">
        <v>33</v>
      </c>
      <c r="B1027" t="s">
        <v>748</v>
      </c>
      <c r="C1027" t="s">
        <v>733</v>
      </c>
      <c r="D1027" t="s">
        <v>287</v>
      </c>
      <c r="E1027" t="s">
        <v>242</v>
      </c>
      <c r="F1027" t="s">
        <v>539</v>
      </c>
      <c r="G1027" t="s">
        <v>540</v>
      </c>
      <c r="I1027">
        <v>0</v>
      </c>
      <c r="J1027">
        <v>0</v>
      </c>
      <c r="K1027">
        <v>0</v>
      </c>
      <c r="L1027">
        <v>0</v>
      </c>
      <c r="M1027">
        <v>0</v>
      </c>
      <c r="N1027">
        <v>0</v>
      </c>
      <c r="O1027">
        <v>0</v>
      </c>
      <c r="P1027">
        <v>0</v>
      </c>
      <c r="Q1027">
        <v>0</v>
      </c>
      <c r="R1027">
        <v>0</v>
      </c>
      <c r="AQ1027">
        <v>0</v>
      </c>
      <c r="AR1027">
        <v>8.08</v>
      </c>
      <c r="AS1027">
        <v>0</v>
      </c>
    </row>
    <row r="1028" spans="1:46" hidden="1">
      <c r="A1028" t="s">
        <v>33</v>
      </c>
      <c r="B1028" t="s">
        <v>748</v>
      </c>
      <c r="C1028" t="s">
        <v>734</v>
      </c>
      <c r="D1028" t="s">
        <v>287</v>
      </c>
      <c r="E1028" t="s">
        <v>242</v>
      </c>
      <c r="F1028" t="s">
        <v>541</v>
      </c>
      <c r="G1028" t="s">
        <v>540</v>
      </c>
      <c r="I1028">
        <v>0</v>
      </c>
      <c r="J1028">
        <v>0</v>
      </c>
      <c r="K1028">
        <v>0</v>
      </c>
      <c r="L1028">
        <v>0</v>
      </c>
      <c r="M1028">
        <v>0</v>
      </c>
      <c r="N1028">
        <v>0</v>
      </c>
      <c r="O1028">
        <v>0</v>
      </c>
      <c r="P1028">
        <v>0</v>
      </c>
      <c r="Q1028">
        <v>0</v>
      </c>
      <c r="R1028">
        <v>0</v>
      </c>
      <c r="AQ1028">
        <v>0</v>
      </c>
      <c r="AR1028">
        <v>7.4740000000000002</v>
      </c>
      <c r="AS1028">
        <v>0</v>
      </c>
    </row>
    <row r="1029" spans="1:46" hidden="1">
      <c r="A1029" t="s">
        <v>33</v>
      </c>
      <c r="B1029" t="s">
        <v>748</v>
      </c>
      <c r="C1029" t="s">
        <v>735</v>
      </c>
      <c r="D1029" t="s">
        <v>543</v>
      </c>
      <c r="E1029" t="s">
        <v>542</v>
      </c>
      <c r="F1029" t="s">
        <v>544</v>
      </c>
      <c r="G1029" t="s">
        <v>545</v>
      </c>
      <c r="H1029">
        <v>6000</v>
      </c>
      <c r="I1029">
        <v>14000</v>
      </c>
      <c r="AQ1029">
        <v>20000</v>
      </c>
      <c r="AR1029">
        <v>20000</v>
      </c>
      <c r="AS1029">
        <v>20000</v>
      </c>
    </row>
    <row r="1030" spans="1:46" hidden="1">
      <c r="A1030" t="s">
        <v>33</v>
      </c>
      <c r="B1030" t="s">
        <v>748</v>
      </c>
      <c r="C1030" t="s">
        <v>286</v>
      </c>
      <c r="D1030" t="s">
        <v>287</v>
      </c>
      <c r="E1030" t="s">
        <v>288</v>
      </c>
      <c r="F1030" t="s">
        <v>289</v>
      </c>
      <c r="G1030" t="s">
        <v>547</v>
      </c>
      <c r="AQ1030">
        <v>0</v>
      </c>
      <c r="AR1030">
        <v>0.05</v>
      </c>
      <c r="AS1030">
        <v>93416.556909999999</v>
      </c>
    </row>
    <row r="1031" spans="1:46" hidden="1">
      <c r="A1031" t="s">
        <v>33</v>
      </c>
      <c r="B1031" t="s">
        <v>748</v>
      </c>
      <c r="C1031" t="s">
        <v>291</v>
      </c>
      <c r="D1031" t="s">
        <v>287</v>
      </c>
      <c r="E1031" t="s">
        <v>288</v>
      </c>
      <c r="F1031" t="s">
        <v>292</v>
      </c>
      <c r="G1031" t="s">
        <v>293</v>
      </c>
      <c r="AQ1031">
        <v>0</v>
      </c>
      <c r="AR1031">
        <v>6.0600000000000001E-2</v>
      </c>
      <c r="AS1031">
        <v>0</v>
      </c>
    </row>
    <row r="1032" spans="1:46" hidden="1">
      <c r="A1032" t="s">
        <v>33</v>
      </c>
      <c r="B1032" t="s">
        <v>748</v>
      </c>
      <c r="C1032" t="s">
        <v>736</v>
      </c>
      <c r="D1032" t="s">
        <v>287</v>
      </c>
      <c r="E1032" t="s">
        <v>288</v>
      </c>
      <c r="F1032" t="s">
        <v>550</v>
      </c>
      <c r="G1032" t="s">
        <v>293</v>
      </c>
      <c r="AQ1032">
        <v>0</v>
      </c>
      <c r="AR1032">
        <v>5.0500000000000003E-2</v>
      </c>
      <c r="AS1032">
        <v>0</v>
      </c>
    </row>
    <row r="1033" spans="1:46" hidden="1">
      <c r="A1033" t="s">
        <v>33</v>
      </c>
      <c r="B1033" t="s">
        <v>748</v>
      </c>
      <c r="C1033" t="s">
        <v>737</v>
      </c>
      <c r="D1033" t="s">
        <v>287</v>
      </c>
      <c r="E1033" t="s">
        <v>288</v>
      </c>
      <c r="F1033" t="s">
        <v>548</v>
      </c>
      <c r="G1033" t="s">
        <v>293</v>
      </c>
      <c r="AQ1033">
        <v>0</v>
      </c>
      <c r="AR1033">
        <v>0.1111</v>
      </c>
      <c r="AS1033">
        <v>0</v>
      </c>
    </row>
    <row r="1034" spans="1:46" hidden="1">
      <c r="A1034" t="s">
        <v>33</v>
      </c>
      <c r="B1034" t="s">
        <v>748</v>
      </c>
      <c r="C1034" t="s">
        <v>738</v>
      </c>
      <c r="D1034" t="s">
        <v>287</v>
      </c>
      <c r="E1034" t="s">
        <v>288</v>
      </c>
      <c r="F1034" t="s">
        <v>549</v>
      </c>
      <c r="G1034" t="s">
        <v>293</v>
      </c>
      <c r="AQ1034">
        <v>0</v>
      </c>
      <c r="AR1034">
        <v>0.10100000000000001</v>
      </c>
      <c r="AS1034">
        <v>0</v>
      </c>
    </row>
    <row r="1035" spans="1:46" hidden="1">
      <c r="A1035" t="s">
        <v>14</v>
      </c>
      <c r="B1035" t="s">
        <v>640</v>
      </c>
      <c r="C1035" t="s">
        <v>641</v>
      </c>
      <c r="D1035" t="s">
        <v>324</v>
      </c>
      <c r="E1035" t="s">
        <v>323</v>
      </c>
      <c r="F1035" t="s">
        <v>325</v>
      </c>
      <c r="G1035" t="s">
        <v>326</v>
      </c>
      <c r="H1035">
        <v>5000000</v>
      </c>
      <c r="I1035">
        <v>1700000</v>
      </c>
      <c r="AQ1035">
        <v>6700000</v>
      </c>
      <c r="AR1035">
        <v>1.35E-2</v>
      </c>
      <c r="AS1035">
        <v>90450</v>
      </c>
      <c r="AT1035" t="s">
        <v>749</v>
      </c>
    </row>
    <row r="1036" spans="1:46" hidden="1">
      <c r="A1036" t="s">
        <v>14</v>
      </c>
      <c r="B1036" t="s">
        <v>640</v>
      </c>
      <c r="C1036" t="s">
        <v>642</v>
      </c>
      <c r="D1036" t="s">
        <v>327</v>
      </c>
      <c r="E1036" t="s">
        <v>323</v>
      </c>
      <c r="F1036" t="s">
        <v>328</v>
      </c>
      <c r="G1036" t="s">
        <v>329</v>
      </c>
      <c r="H1036">
        <v>0</v>
      </c>
      <c r="I1036">
        <v>0</v>
      </c>
      <c r="AQ1036">
        <v>0</v>
      </c>
      <c r="AR1036">
        <v>5.9330000000000001E-2</v>
      </c>
      <c r="AS1036">
        <v>0</v>
      </c>
      <c r="AT1036" t="s">
        <v>749</v>
      </c>
    </row>
    <row r="1037" spans="1:46" hidden="1">
      <c r="A1037" t="s">
        <v>14</v>
      </c>
      <c r="B1037" t="s">
        <v>640</v>
      </c>
      <c r="C1037" t="s">
        <v>643</v>
      </c>
      <c r="D1037" t="s">
        <v>330</v>
      </c>
      <c r="E1037" t="s">
        <v>323</v>
      </c>
      <c r="F1037" t="s">
        <v>331</v>
      </c>
      <c r="G1037" t="s">
        <v>329</v>
      </c>
      <c r="H1037">
        <v>0</v>
      </c>
      <c r="I1037">
        <v>0</v>
      </c>
      <c r="AQ1037">
        <v>0</v>
      </c>
      <c r="AR1037">
        <v>0.1</v>
      </c>
      <c r="AS1037">
        <v>0</v>
      </c>
      <c r="AT1037" t="s">
        <v>749</v>
      </c>
    </row>
    <row r="1038" spans="1:46" hidden="1">
      <c r="A1038" t="s">
        <v>14</v>
      </c>
      <c r="B1038" t="s">
        <v>640</v>
      </c>
      <c r="C1038" t="s">
        <v>644</v>
      </c>
      <c r="D1038" t="s">
        <v>332</v>
      </c>
      <c r="E1038" t="s">
        <v>323</v>
      </c>
      <c r="F1038" t="s">
        <v>333</v>
      </c>
      <c r="G1038" t="s">
        <v>329</v>
      </c>
      <c r="H1038">
        <v>0</v>
      </c>
      <c r="I1038">
        <v>0</v>
      </c>
      <c r="AQ1038">
        <v>0</v>
      </c>
      <c r="AR1038">
        <v>0.125</v>
      </c>
      <c r="AS1038">
        <v>0</v>
      </c>
      <c r="AT1038" t="s">
        <v>749</v>
      </c>
    </row>
    <row r="1039" spans="1:46" hidden="1">
      <c r="A1039" t="s">
        <v>14</v>
      </c>
      <c r="B1039" t="s">
        <v>640</v>
      </c>
      <c r="C1039" t="s">
        <v>645</v>
      </c>
      <c r="D1039" t="s">
        <v>334</v>
      </c>
      <c r="E1039" t="s">
        <v>323</v>
      </c>
      <c r="F1039" t="s">
        <v>335</v>
      </c>
      <c r="G1039" t="s">
        <v>329</v>
      </c>
      <c r="H1039">
        <v>0</v>
      </c>
      <c r="I1039">
        <v>0</v>
      </c>
      <c r="AQ1039">
        <v>0</v>
      </c>
      <c r="AR1039">
        <v>0.28000000000000003</v>
      </c>
    </row>
    <row r="1040" spans="1:46" hidden="1">
      <c r="A1040" t="s">
        <v>14</v>
      </c>
      <c r="B1040" t="s">
        <v>640</v>
      </c>
      <c r="C1040" t="s">
        <v>646</v>
      </c>
      <c r="D1040" t="s">
        <v>137</v>
      </c>
      <c r="E1040" t="s">
        <v>138</v>
      </c>
      <c r="F1040" t="s">
        <v>337</v>
      </c>
      <c r="G1040" t="s">
        <v>140</v>
      </c>
      <c r="H1040">
        <v>0</v>
      </c>
      <c r="I1040">
        <v>0</v>
      </c>
      <c r="AQ1040">
        <v>0</v>
      </c>
      <c r="AR1040">
        <v>212.1</v>
      </c>
      <c r="AS1040">
        <v>0</v>
      </c>
    </row>
    <row r="1041" spans="1:45" hidden="1">
      <c r="A1041" t="s">
        <v>14</v>
      </c>
      <c r="B1041" t="s">
        <v>640</v>
      </c>
      <c r="C1041" t="s">
        <v>136</v>
      </c>
      <c r="D1041" t="s">
        <v>137</v>
      </c>
      <c r="E1041" t="s">
        <v>138</v>
      </c>
      <c r="F1041" t="s">
        <v>139</v>
      </c>
      <c r="G1041" t="s">
        <v>140</v>
      </c>
      <c r="H1041">
        <v>7</v>
      </c>
      <c r="I1041">
        <v>2</v>
      </c>
      <c r="AQ1041">
        <v>9</v>
      </c>
      <c r="AR1041">
        <v>1696.8</v>
      </c>
      <c r="AS1041">
        <v>15271.2</v>
      </c>
    </row>
    <row r="1042" spans="1:45" hidden="1">
      <c r="A1042" t="s">
        <v>14</v>
      </c>
      <c r="B1042" t="s">
        <v>640</v>
      </c>
      <c r="C1042" t="s">
        <v>143</v>
      </c>
      <c r="D1042" t="s">
        <v>137</v>
      </c>
      <c r="E1042" t="s">
        <v>138</v>
      </c>
      <c r="F1042" t="s">
        <v>277</v>
      </c>
      <c r="G1042" t="s">
        <v>140</v>
      </c>
      <c r="H1042">
        <v>3</v>
      </c>
      <c r="I1042">
        <v>0</v>
      </c>
      <c r="AQ1042">
        <v>3</v>
      </c>
      <c r="AR1042">
        <v>3923.85</v>
      </c>
      <c r="AS1042">
        <v>11771.55</v>
      </c>
    </row>
    <row r="1043" spans="1:45" hidden="1">
      <c r="A1043" t="s">
        <v>14</v>
      </c>
      <c r="B1043" t="s">
        <v>640</v>
      </c>
      <c r="C1043" t="s">
        <v>647</v>
      </c>
      <c r="D1043" t="s">
        <v>137</v>
      </c>
      <c r="E1043" t="s">
        <v>138</v>
      </c>
      <c r="F1043" t="s">
        <v>338</v>
      </c>
      <c r="G1043" t="s">
        <v>140</v>
      </c>
      <c r="H1043">
        <v>4</v>
      </c>
      <c r="I1043">
        <v>2</v>
      </c>
      <c r="AQ1043">
        <v>6</v>
      </c>
      <c r="AR1043">
        <v>6893.25</v>
      </c>
      <c r="AS1043">
        <v>41359.5</v>
      </c>
    </row>
    <row r="1044" spans="1:45" hidden="1">
      <c r="A1044" t="s">
        <v>14</v>
      </c>
      <c r="B1044" t="s">
        <v>640</v>
      </c>
      <c r="C1044" t="s">
        <v>648</v>
      </c>
      <c r="D1044" t="s">
        <v>342</v>
      </c>
      <c r="E1044" t="s">
        <v>138</v>
      </c>
      <c r="F1044" t="s">
        <v>343</v>
      </c>
      <c r="G1044" t="s">
        <v>140</v>
      </c>
      <c r="H1044">
        <v>0</v>
      </c>
      <c r="I1044">
        <v>0</v>
      </c>
      <c r="AQ1044">
        <v>0</v>
      </c>
      <c r="AR1044">
        <v>13786.5</v>
      </c>
      <c r="AS1044">
        <v>0</v>
      </c>
    </row>
    <row r="1045" spans="1:45" hidden="1">
      <c r="A1045" t="s">
        <v>14</v>
      </c>
      <c r="B1045" t="s">
        <v>640</v>
      </c>
      <c r="C1045" t="s">
        <v>649</v>
      </c>
      <c r="D1045" t="s">
        <v>344</v>
      </c>
      <c r="E1045" t="s">
        <v>138</v>
      </c>
      <c r="F1045" t="s">
        <v>345</v>
      </c>
      <c r="G1045" t="s">
        <v>346</v>
      </c>
      <c r="H1045">
        <v>0</v>
      </c>
      <c r="I1045">
        <v>0</v>
      </c>
      <c r="AQ1045">
        <v>0</v>
      </c>
      <c r="AR1045">
        <v>11.11</v>
      </c>
      <c r="AS1045">
        <v>0</v>
      </c>
    </row>
    <row r="1046" spans="1:45" hidden="1">
      <c r="A1046" t="s">
        <v>14</v>
      </c>
      <c r="B1046" t="s">
        <v>640</v>
      </c>
      <c r="C1046" t="s">
        <v>650</v>
      </c>
      <c r="D1046" t="s">
        <v>339</v>
      </c>
      <c r="E1046" t="s">
        <v>138</v>
      </c>
      <c r="F1046" t="s">
        <v>340</v>
      </c>
      <c r="G1046" t="s">
        <v>341</v>
      </c>
      <c r="H1046">
        <v>4</v>
      </c>
      <c r="I1046">
        <v>3</v>
      </c>
      <c r="AQ1046">
        <v>7</v>
      </c>
      <c r="AR1046">
        <v>557.52</v>
      </c>
      <c r="AS1046">
        <v>3902.64</v>
      </c>
    </row>
    <row r="1047" spans="1:45" hidden="1">
      <c r="A1047" t="s">
        <v>14</v>
      </c>
      <c r="B1047" t="s">
        <v>640</v>
      </c>
      <c r="C1047" t="s">
        <v>651</v>
      </c>
      <c r="D1047" t="s">
        <v>347</v>
      </c>
      <c r="E1047" t="s">
        <v>138</v>
      </c>
      <c r="F1047" t="s">
        <v>350</v>
      </c>
      <c r="G1047" t="s">
        <v>349</v>
      </c>
      <c r="H1047">
        <v>50</v>
      </c>
      <c r="I1047">
        <v>3</v>
      </c>
      <c r="AQ1047">
        <v>53</v>
      </c>
      <c r="AR1047">
        <v>234.32</v>
      </c>
      <c r="AS1047">
        <v>12418.96</v>
      </c>
    </row>
    <row r="1048" spans="1:45" hidden="1">
      <c r="A1048" t="s">
        <v>14</v>
      </c>
      <c r="B1048" t="s">
        <v>640</v>
      </c>
      <c r="C1048" t="s">
        <v>652</v>
      </c>
      <c r="D1048" t="s">
        <v>347</v>
      </c>
      <c r="E1048" t="s">
        <v>138</v>
      </c>
      <c r="F1048" t="s">
        <v>348</v>
      </c>
      <c r="G1048" t="s">
        <v>349</v>
      </c>
      <c r="H1048">
        <v>4</v>
      </c>
      <c r="I1048">
        <v>9</v>
      </c>
      <c r="AQ1048">
        <v>13</v>
      </c>
      <c r="AR1048">
        <v>456.52</v>
      </c>
      <c r="AS1048">
        <v>5934.76</v>
      </c>
    </row>
    <row r="1049" spans="1:45" hidden="1">
      <c r="A1049" t="s">
        <v>14</v>
      </c>
      <c r="B1049" t="s">
        <v>640</v>
      </c>
      <c r="C1049" t="s">
        <v>653</v>
      </c>
      <c r="D1049" t="s">
        <v>347</v>
      </c>
      <c r="E1049" t="s">
        <v>138</v>
      </c>
      <c r="F1049" t="s">
        <v>351</v>
      </c>
      <c r="G1049" t="s">
        <v>349</v>
      </c>
      <c r="H1049">
        <v>0</v>
      </c>
      <c r="I1049">
        <v>4</v>
      </c>
      <c r="AQ1049">
        <v>4</v>
      </c>
      <c r="AR1049">
        <v>679.73</v>
      </c>
      <c r="AS1049">
        <v>2718.92</v>
      </c>
    </row>
    <row r="1050" spans="1:45" hidden="1">
      <c r="A1050" t="s">
        <v>14</v>
      </c>
      <c r="B1050" t="s">
        <v>640</v>
      </c>
      <c r="C1050" t="s">
        <v>654</v>
      </c>
      <c r="D1050" t="s">
        <v>352</v>
      </c>
      <c r="E1050" t="s">
        <v>138</v>
      </c>
      <c r="F1050" t="s">
        <v>353</v>
      </c>
      <c r="G1050" t="s">
        <v>354</v>
      </c>
      <c r="H1050">
        <v>2</v>
      </c>
      <c r="I1050">
        <v>2</v>
      </c>
      <c r="AQ1050">
        <v>4</v>
      </c>
      <c r="AR1050">
        <v>3923.85</v>
      </c>
      <c r="AS1050">
        <v>15695.4</v>
      </c>
    </row>
    <row r="1051" spans="1:45" hidden="1">
      <c r="A1051" t="s">
        <v>14</v>
      </c>
      <c r="B1051" t="s">
        <v>640</v>
      </c>
      <c r="C1051" t="s">
        <v>655</v>
      </c>
      <c r="D1051" t="s">
        <v>355</v>
      </c>
      <c r="E1051" t="s">
        <v>138</v>
      </c>
      <c r="F1051" t="s">
        <v>356</v>
      </c>
      <c r="G1051" t="s">
        <v>357</v>
      </c>
      <c r="H1051">
        <v>3</v>
      </c>
      <c r="I1051">
        <v>0</v>
      </c>
      <c r="AQ1051">
        <v>3</v>
      </c>
      <c r="AR1051">
        <v>556.51</v>
      </c>
      <c r="AS1051">
        <v>1669.53</v>
      </c>
    </row>
    <row r="1052" spans="1:45" hidden="1">
      <c r="A1052" t="s">
        <v>14</v>
      </c>
      <c r="B1052" t="s">
        <v>640</v>
      </c>
      <c r="C1052" t="s">
        <v>656</v>
      </c>
      <c r="D1052" t="s">
        <v>358</v>
      </c>
      <c r="E1052" t="s">
        <v>138</v>
      </c>
      <c r="F1052" t="s">
        <v>359</v>
      </c>
      <c r="G1052" t="s">
        <v>360</v>
      </c>
      <c r="H1052">
        <v>0</v>
      </c>
      <c r="I1052">
        <v>0</v>
      </c>
      <c r="AQ1052">
        <v>0</v>
      </c>
      <c r="AR1052">
        <v>334.31</v>
      </c>
      <c r="AS1052">
        <v>0</v>
      </c>
    </row>
    <row r="1053" spans="1:45" hidden="1">
      <c r="A1053" t="s">
        <v>14</v>
      </c>
      <c r="B1053" t="s">
        <v>640</v>
      </c>
      <c r="C1053" t="s">
        <v>657</v>
      </c>
      <c r="D1053" t="s">
        <v>361</v>
      </c>
      <c r="E1053" t="s">
        <v>138</v>
      </c>
      <c r="F1053" t="s">
        <v>362</v>
      </c>
      <c r="G1053" t="s">
        <v>363</v>
      </c>
      <c r="H1053">
        <v>17600</v>
      </c>
      <c r="I1053">
        <v>8760</v>
      </c>
      <c r="AQ1053">
        <v>26360</v>
      </c>
      <c r="AR1053">
        <v>1.0605</v>
      </c>
      <c r="AS1053">
        <v>27954.78</v>
      </c>
    </row>
    <row r="1054" spans="1:45" hidden="1">
      <c r="A1054" t="s">
        <v>14</v>
      </c>
      <c r="B1054" t="s">
        <v>640</v>
      </c>
      <c r="C1054" t="s">
        <v>658</v>
      </c>
      <c r="D1054" t="s">
        <v>364</v>
      </c>
      <c r="E1054" t="s">
        <v>138</v>
      </c>
      <c r="F1054" t="s">
        <v>366</v>
      </c>
      <c r="G1054" t="s">
        <v>363</v>
      </c>
      <c r="H1054">
        <v>0</v>
      </c>
      <c r="I1054">
        <v>0</v>
      </c>
      <c r="AQ1054">
        <v>0</v>
      </c>
      <c r="AR1054">
        <v>4.242</v>
      </c>
      <c r="AS1054">
        <v>0</v>
      </c>
    </row>
    <row r="1055" spans="1:45" hidden="1">
      <c r="A1055" t="s">
        <v>14</v>
      </c>
      <c r="B1055" t="s">
        <v>640</v>
      </c>
      <c r="C1055" t="s">
        <v>659</v>
      </c>
      <c r="D1055" t="s">
        <v>364</v>
      </c>
      <c r="E1055" t="s">
        <v>138</v>
      </c>
      <c r="F1055" t="s">
        <v>365</v>
      </c>
      <c r="G1055" t="s">
        <v>363</v>
      </c>
      <c r="H1055">
        <v>0</v>
      </c>
      <c r="I1055">
        <v>0</v>
      </c>
      <c r="AQ1055">
        <v>0</v>
      </c>
      <c r="AR1055">
        <v>8.484</v>
      </c>
      <c r="AS1055">
        <v>0</v>
      </c>
    </row>
    <row r="1056" spans="1:45" hidden="1">
      <c r="A1056" t="s">
        <v>14</v>
      </c>
      <c r="B1056" t="s">
        <v>640</v>
      </c>
      <c r="C1056" t="s">
        <v>660</v>
      </c>
      <c r="D1056" t="s">
        <v>364</v>
      </c>
      <c r="E1056" t="s">
        <v>138</v>
      </c>
      <c r="F1056" t="s">
        <v>367</v>
      </c>
      <c r="G1056" t="s">
        <v>363</v>
      </c>
      <c r="H1056">
        <v>480</v>
      </c>
      <c r="I1056">
        <v>240</v>
      </c>
      <c r="AQ1056">
        <v>720</v>
      </c>
      <c r="AR1056">
        <v>21.21</v>
      </c>
      <c r="AS1056">
        <v>15271.2</v>
      </c>
    </row>
    <row r="1057" spans="1:45" hidden="1">
      <c r="A1057" t="s">
        <v>14</v>
      </c>
      <c r="B1057" t="s">
        <v>640</v>
      </c>
      <c r="C1057" t="s">
        <v>278</v>
      </c>
      <c r="D1057" t="s">
        <v>146</v>
      </c>
      <c r="E1057" t="s">
        <v>138</v>
      </c>
      <c r="F1057" t="s">
        <v>279</v>
      </c>
      <c r="G1057" t="s">
        <v>148</v>
      </c>
      <c r="H1057">
        <v>2</v>
      </c>
      <c r="I1057">
        <v>5</v>
      </c>
      <c r="AQ1057">
        <v>7</v>
      </c>
      <c r="AR1057">
        <v>1272.5999999999999</v>
      </c>
      <c r="AS1057">
        <v>8908.2000000000007</v>
      </c>
    </row>
    <row r="1058" spans="1:45" hidden="1">
      <c r="A1058" t="s">
        <v>14</v>
      </c>
      <c r="B1058" t="s">
        <v>640</v>
      </c>
      <c r="C1058" t="s">
        <v>661</v>
      </c>
      <c r="D1058" t="s">
        <v>146</v>
      </c>
      <c r="E1058" t="s">
        <v>138</v>
      </c>
      <c r="F1058" t="s">
        <v>368</v>
      </c>
      <c r="G1058" t="s">
        <v>148</v>
      </c>
      <c r="H1058">
        <v>3</v>
      </c>
      <c r="I1058">
        <v>0</v>
      </c>
      <c r="AQ1058">
        <v>3</v>
      </c>
      <c r="AR1058">
        <v>2333.1</v>
      </c>
      <c r="AS1058">
        <v>6999.3</v>
      </c>
    </row>
    <row r="1059" spans="1:45" hidden="1">
      <c r="A1059" t="s">
        <v>14</v>
      </c>
      <c r="B1059" t="s">
        <v>640</v>
      </c>
      <c r="C1059" t="s">
        <v>662</v>
      </c>
      <c r="D1059" t="s">
        <v>146</v>
      </c>
      <c r="E1059" t="s">
        <v>138</v>
      </c>
      <c r="F1059" t="s">
        <v>369</v>
      </c>
      <c r="G1059" t="s">
        <v>148</v>
      </c>
      <c r="H1059">
        <v>2</v>
      </c>
      <c r="I1059">
        <v>3</v>
      </c>
      <c r="AQ1059">
        <v>5</v>
      </c>
      <c r="AR1059">
        <v>3711.75</v>
      </c>
      <c r="AS1059">
        <v>18558.75</v>
      </c>
    </row>
    <row r="1060" spans="1:45" hidden="1">
      <c r="A1060" t="s">
        <v>14</v>
      </c>
      <c r="B1060" t="s">
        <v>640</v>
      </c>
      <c r="C1060" t="s">
        <v>663</v>
      </c>
      <c r="D1060" t="s">
        <v>146</v>
      </c>
      <c r="E1060" t="s">
        <v>138</v>
      </c>
      <c r="F1060" t="s">
        <v>370</v>
      </c>
      <c r="G1060" t="s">
        <v>148</v>
      </c>
      <c r="H1060">
        <v>4</v>
      </c>
      <c r="I1060">
        <v>1</v>
      </c>
      <c r="AQ1060">
        <v>5</v>
      </c>
      <c r="AR1060">
        <v>5832.75</v>
      </c>
      <c r="AS1060">
        <v>29163.75</v>
      </c>
    </row>
    <row r="1061" spans="1:45" hidden="1">
      <c r="A1061" t="s">
        <v>14</v>
      </c>
      <c r="B1061" t="s">
        <v>640</v>
      </c>
      <c r="C1061" t="s">
        <v>664</v>
      </c>
      <c r="D1061" t="s">
        <v>371</v>
      </c>
      <c r="E1061" t="s">
        <v>138</v>
      </c>
      <c r="F1061" t="s">
        <v>372</v>
      </c>
      <c r="G1061" t="s">
        <v>373</v>
      </c>
      <c r="H1061">
        <v>2</v>
      </c>
      <c r="I1061">
        <v>2</v>
      </c>
      <c r="AQ1061">
        <v>4</v>
      </c>
      <c r="AR1061">
        <v>3711.75</v>
      </c>
      <c r="AS1061">
        <v>14847</v>
      </c>
    </row>
    <row r="1062" spans="1:45" hidden="1">
      <c r="A1062" t="s">
        <v>14</v>
      </c>
      <c r="B1062" t="s">
        <v>640</v>
      </c>
      <c r="C1062" t="s">
        <v>149</v>
      </c>
      <c r="D1062" t="s">
        <v>280</v>
      </c>
      <c r="E1062" t="s">
        <v>138</v>
      </c>
      <c r="F1062" t="s">
        <v>151</v>
      </c>
      <c r="G1062" t="s">
        <v>152</v>
      </c>
      <c r="H1062">
        <v>160000</v>
      </c>
      <c r="I1062">
        <v>47000</v>
      </c>
      <c r="AQ1062">
        <v>207000</v>
      </c>
      <c r="AR1062">
        <v>1.111</v>
      </c>
      <c r="AS1062">
        <v>229977</v>
      </c>
    </row>
    <row r="1063" spans="1:45" hidden="1">
      <c r="A1063" t="s">
        <v>14</v>
      </c>
      <c r="B1063" t="s">
        <v>640</v>
      </c>
      <c r="C1063" t="s">
        <v>153</v>
      </c>
      <c r="D1063" t="s">
        <v>154</v>
      </c>
      <c r="E1063" t="s">
        <v>138</v>
      </c>
      <c r="F1063" t="s">
        <v>155</v>
      </c>
      <c r="G1063" t="s">
        <v>156</v>
      </c>
      <c r="H1063">
        <v>970</v>
      </c>
      <c r="I1063">
        <v>240</v>
      </c>
      <c r="AQ1063">
        <v>1210</v>
      </c>
      <c r="AR1063">
        <v>116.655</v>
      </c>
      <c r="AS1063">
        <v>141152.54999999999</v>
      </c>
    </row>
    <row r="1064" spans="1:45" hidden="1">
      <c r="A1064" t="s">
        <v>14</v>
      </c>
      <c r="B1064" t="s">
        <v>640</v>
      </c>
      <c r="C1064" t="s">
        <v>665</v>
      </c>
      <c r="D1064" t="s">
        <v>375</v>
      </c>
      <c r="E1064" t="s">
        <v>138</v>
      </c>
      <c r="F1064" t="s">
        <v>376</v>
      </c>
      <c r="G1064" t="s">
        <v>377</v>
      </c>
      <c r="H1064">
        <v>11</v>
      </c>
      <c r="I1064">
        <v>0</v>
      </c>
      <c r="AQ1064">
        <v>11</v>
      </c>
      <c r="AR1064">
        <v>89.081999999999994</v>
      </c>
      <c r="AS1064">
        <v>979.90200000000004</v>
      </c>
    </row>
    <row r="1065" spans="1:45" hidden="1">
      <c r="A1065" t="s">
        <v>14</v>
      </c>
      <c r="B1065" t="s">
        <v>640</v>
      </c>
      <c r="C1065" t="s">
        <v>158</v>
      </c>
      <c r="D1065" t="s">
        <v>159</v>
      </c>
      <c r="E1065" t="s">
        <v>138</v>
      </c>
      <c r="F1065" t="s">
        <v>160</v>
      </c>
      <c r="G1065" t="s">
        <v>161</v>
      </c>
      <c r="H1065">
        <v>15</v>
      </c>
      <c r="I1065">
        <v>65</v>
      </c>
      <c r="AQ1065">
        <v>80</v>
      </c>
      <c r="AR1065">
        <v>66.66</v>
      </c>
      <c r="AS1065">
        <v>5332.8</v>
      </c>
    </row>
    <row r="1066" spans="1:45" hidden="1">
      <c r="A1066" t="s">
        <v>14</v>
      </c>
      <c r="B1066" t="s">
        <v>640</v>
      </c>
      <c r="C1066" t="s">
        <v>666</v>
      </c>
      <c r="D1066" t="s">
        <v>378</v>
      </c>
      <c r="E1066" t="s">
        <v>138</v>
      </c>
      <c r="F1066" t="s">
        <v>379</v>
      </c>
      <c r="G1066" t="s">
        <v>380</v>
      </c>
      <c r="H1066">
        <v>0</v>
      </c>
      <c r="I1066">
        <v>0</v>
      </c>
      <c r="AQ1066">
        <v>0</v>
      </c>
      <c r="AR1066">
        <v>389.86</v>
      </c>
      <c r="AS1066">
        <v>0</v>
      </c>
    </row>
    <row r="1067" spans="1:45" hidden="1">
      <c r="A1067" t="s">
        <v>14</v>
      </c>
      <c r="B1067" t="s">
        <v>640</v>
      </c>
      <c r="C1067" t="s">
        <v>667</v>
      </c>
      <c r="D1067" t="s">
        <v>281</v>
      </c>
      <c r="E1067" t="s">
        <v>138</v>
      </c>
      <c r="F1067" t="s">
        <v>384</v>
      </c>
      <c r="G1067" t="s">
        <v>165</v>
      </c>
      <c r="H1067">
        <v>51</v>
      </c>
      <c r="I1067">
        <v>12</v>
      </c>
      <c r="AQ1067">
        <v>63</v>
      </c>
      <c r="AR1067">
        <v>2227.0500000000002</v>
      </c>
      <c r="AS1067">
        <v>140304.15</v>
      </c>
    </row>
    <row r="1068" spans="1:45" hidden="1">
      <c r="A1068" t="s">
        <v>14</v>
      </c>
      <c r="B1068" t="s">
        <v>640</v>
      </c>
      <c r="C1068" t="s">
        <v>162</v>
      </c>
      <c r="D1068" t="s">
        <v>281</v>
      </c>
      <c r="E1068" t="s">
        <v>138</v>
      </c>
      <c r="F1068" t="s">
        <v>164</v>
      </c>
      <c r="G1068" t="s">
        <v>165</v>
      </c>
      <c r="H1068">
        <v>5</v>
      </c>
      <c r="I1068">
        <v>7</v>
      </c>
      <c r="AQ1068">
        <v>12</v>
      </c>
      <c r="AR1068">
        <v>4242</v>
      </c>
      <c r="AS1068">
        <v>50904</v>
      </c>
    </row>
    <row r="1069" spans="1:45" hidden="1">
      <c r="A1069" t="s">
        <v>14</v>
      </c>
      <c r="B1069" t="s">
        <v>640</v>
      </c>
      <c r="C1069" t="s">
        <v>668</v>
      </c>
      <c r="D1069" t="s">
        <v>381</v>
      </c>
      <c r="E1069" t="s">
        <v>138</v>
      </c>
      <c r="F1069" t="s">
        <v>382</v>
      </c>
      <c r="G1069" t="s">
        <v>383</v>
      </c>
      <c r="H1069">
        <v>0</v>
      </c>
      <c r="I1069">
        <v>2</v>
      </c>
      <c r="AQ1069">
        <v>2</v>
      </c>
      <c r="AR1069">
        <v>39.39</v>
      </c>
      <c r="AS1069">
        <v>78.78</v>
      </c>
    </row>
    <row r="1070" spans="1:45" hidden="1">
      <c r="A1070" t="s">
        <v>14</v>
      </c>
      <c r="B1070" t="s">
        <v>640</v>
      </c>
      <c r="C1070" t="s">
        <v>166</v>
      </c>
      <c r="D1070" t="s">
        <v>282</v>
      </c>
      <c r="E1070" t="s">
        <v>138</v>
      </c>
      <c r="F1070" t="s">
        <v>168</v>
      </c>
      <c r="G1070" t="s">
        <v>169</v>
      </c>
      <c r="H1070">
        <v>132500</v>
      </c>
      <c r="I1070">
        <v>33000</v>
      </c>
      <c r="AQ1070">
        <v>165500</v>
      </c>
      <c r="AR1070">
        <v>1.111</v>
      </c>
      <c r="AS1070">
        <v>183870.5</v>
      </c>
    </row>
    <row r="1071" spans="1:45" hidden="1">
      <c r="A1071" t="s">
        <v>14</v>
      </c>
      <c r="B1071" t="s">
        <v>640</v>
      </c>
      <c r="C1071" t="s">
        <v>669</v>
      </c>
      <c r="D1071" t="s">
        <v>385</v>
      </c>
      <c r="E1071" t="s">
        <v>138</v>
      </c>
      <c r="F1071" t="s">
        <v>386</v>
      </c>
      <c r="G1071" t="s">
        <v>387</v>
      </c>
      <c r="H1071">
        <v>6</v>
      </c>
      <c r="I1071">
        <v>1</v>
      </c>
      <c r="AQ1071">
        <v>7</v>
      </c>
      <c r="AR1071">
        <v>22270.5</v>
      </c>
      <c r="AS1071">
        <v>155893.5</v>
      </c>
    </row>
    <row r="1072" spans="1:45" hidden="1">
      <c r="A1072" t="s">
        <v>14</v>
      </c>
      <c r="B1072" t="s">
        <v>640</v>
      </c>
      <c r="C1072" t="s">
        <v>670</v>
      </c>
      <c r="D1072" t="s">
        <v>385</v>
      </c>
      <c r="E1072" t="s">
        <v>138</v>
      </c>
      <c r="F1072" t="s">
        <v>388</v>
      </c>
      <c r="G1072" t="s">
        <v>389</v>
      </c>
      <c r="H1072">
        <v>9300</v>
      </c>
      <c r="I1072">
        <v>5059</v>
      </c>
      <c r="AQ1072">
        <v>14359</v>
      </c>
      <c r="AR1072">
        <v>0.22220000000000001</v>
      </c>
      <c r="AS1072">
        <v>3190.5698000000002</v>
      </c>
    </row>
    <row r="1073" spans="1:46" hidden="1">
      <c r="A1073" t="s">
        <v>14</v>
      </c>
      <c r="B1073" t="s">
        <v>640</v>
      </c>
      <c r="C1073" t="s">
        <v>671</v>
      </c>
      <c r="D1073" t="s">
        <v>393</v>
      </c>
      <c r="E1073" t="s">
        <v>138</v>
      </c>
      <c r="F1073" t="s">
        <v>394</v>
      </c>
      <c r="G1073" t="s">
        <v>395</v>
      </c>
      <c r="H1073">
        <v>0</v>
      </c>
      <c r="I1073">
        <v>0</v>
      </c>
      <c r="AQ1073">
        <v>0</v>
      </c>
      <c r="AR1073">
        <v>99.99</v>
      </c>
      <c r="AS1073">
        <v>0</v>
      </c>
    </row>
    <row r="1074" spans="1:46" hidden="1">
      <c r="A1074" t="s">
        <v>14</v>
      </c>
      <c r="B1074" t="s">
        <v>640</v>
      </c>
      <c r="C1074" t="s">
        <v>672</v>
      </c>
      <c r="D1074" t="s">
        <v>393</v>
      </c>
      <c r="E1074" t="s">
        <v>138</v>
      </c>
      <c r="F1074" t="s">
        <v>396</v>
      </c>
      <c r="G1074" t="s">
        <v>395</v>
      </c>
      <c r="H1074">
        <v>0</v>
      </c>
      <c r="I1074">
        <v>0</v>
      </c>
      <c r="AQ1074">
        <v>0</v>
      </c>
      <c r="AR1074">
        <v>99.99</v>
      </c>
      <c r="AS1074">
        <v>0</v>
      </c>
    </row>
    <row r="1075" spans="1:46" hidden="1">
      <c r="A1075" t="s">
        <v>14</v>
      </c>
      <c r="B1075" t="s">
        <v>640</v>
      </c>
      <c r="C1075" t="s">
        <v>673</v>
      </c>
      <c r="D1075" t="s">
        <v>393</v>
      </c>
      <c r="E1075" t="s">
        <v>138</v>
      </c>
      <c r="F1075" t="s">
        <v>397</v>
      </c>
      <c r="G1075" t="s">
        <v>395</v>
      </c>
      <c r="H1075">
        <v>0</v>
      </c>
      <c r="I1075">
        <v>0</v>
      </c>
      <c r="AQ1075">
        <v>0</v>
      </c>
      <c r="AR1075">
        <v>66.66</v>
      </c>
      <c r="AS1075">
        <v>0</v>
      </c>
    </row>
    <row r="1076" spans="1:46" hidden="1">
      <c r="A1076" t="s">
        <v>14</v>
      </c>
      <c r="B1076" t="s">
        <v>640</v>
      </c>
      <c r="C1076" t="s">
        <v>674</v>
      </c>
      <c r="D1076" t="s">
        <v>287</v>
      </c>
      <c r="E1076" t="s">
        <v>138</v>
      </c>
      <c r="F1076" t="s">
        <v>402</v>
      </c>
      <c r="G1076" t="s">
        <v>403</v>
      </c>
      <c r="H1076">
        <v>0</v>
      </c>
      <c r="I1076">
        <v>0</v>
      </c>
      <c r="AQ1076">
        <v>0</v>
      </c>
      <c r="AR1076">
        <v>318150</v>
      </c>
      <c r="AS1076">
        <v>0</v>
      </c>
    </row>
    <row r="1077" spans="1:46" hidden="1">
      <c r="A1077" t="s">
        <v>14</v>
      </c>
      <c r="B1077" t="s">
        <v>640</v>
      </c>
      <c r="C1077" t="s">
        <v>675</v>
      </c>
      <c r="D1077" t="s">
        <v>390</v>
      </c>
      <c r="E1077" t="s">
        <v>138</v>
      </c>
      <c r="F1077" t="s">
        <v>391</v>
      </c>
      <c r="G1077" t="s">
        <v>392</v>
      </c>
      <c r="H1077">
        <v>0</v>
      </c>
      <c r="I1077">
        <v>0</v>
      </c>
      <c r="AQ1077">
        <v>0</v>
      </c>
      <c r="AR1077">
        <v>1336.23</v>
      </c>
      <c r="AS1077">
        <v>0</v>
      </c>
    </row>
    <row r="1078" spans="1:46" hidden="1">
      <c r="A1078" t="s">
        <v>14</v>
      </c>
      <c r="B1078" t="s">
        <v>640</v>
      </c>
      <c r="C1078" t="s">
        <v>676</v>
      </c>
      <c r="D1078" t="s">
        <v>398</v>
      </c>
      <c r="E1078" t="s">
        <v>138</v>
      </c>
      <c r="F1078" t="s">
        <v>399</v>
      </c>
      <c r="G1078" t="s">
        <v>400</v>
      </c>
      <c r="H1078">
        <v>0</v>
      </c>
      <c r="I1078">
        <v>0</v>
      </c>
      <c r="AQ1078">
        <v>0</v>
      </c>
      <c r="AR1078">
        <v>14475.825000000001</v>
      </c>
      <c r="AS1078">
        <v>0</v>
      </c>
    </row>
    <row r="1079" spans="1:46" hidden="1">
      <c r="A1079" t="s">
        <v>14</v>
      </c>
      <c r="B1079" t="s">
        <v>640</v>
      </c>
      <c r="C1079" t="s">
        <v>170</v>
      </c>
      <c r="D1079" t="s">
        <v>171</v>
      </c>
      <c r="E1079" t="s">
        <v>172</v>
      </c>
      <c r="F1079" t="s">
        <v>173</v>
      </c>
      <c r="G1079" t="s">
        <v>152</v>
      </c>
      <c r="H1079">
        <v>160000</v>
      </c>
      <c r="I1079">
        <v>45000</v>
      </c>
      <c r="AQ1079">
        <v>205000</v>
      </c>
      <c r="AR1079">
        <v>1.2726</v>
      </c>
      <c r="AS1079">
        <v>260883</v>
      </c>
    </row>
    <row r="1080" spans="1:46" hidden="1">
      <c r="A1080" t="s">
        <v>14</v>
      </c>
      <c r="B1080" t="s">
        <v>640</v>
      </c>
      <c r="C1080" t="s">
        <v>677</v>
      </c>
      <c r="D1080" t="s">
        <v>405</v>
      </c>
      <c r="E1080" t="s">
        <v>172</v>
      </c>
      <c r="F1080" t="s">
        <v>406</v>
      </c>
      <c r="G1080" t="s">
        <v>407</v>
      </c>
      <c r="H1080">
        <v>235</v>
      </c>
      <c r="I1080">
        <v>80</v>
      </c>
      <c r="AQ1080">
        <v>315</v>
      </c>
      <c r="AR1080">
        <v>47.47</v>
      </c>
      <c r="AS1080">
        <v>14953.05</v>
      </c>
    </row>
    <row r="1081" spans="1:46" hidden="1">
      <c r="A1081" t="s">
        <v>14</v>
      </c>
      <c r="B1081" t="s">
        <v>640</v>
      </c>
      <c r="C1081" t="s">
        <v>678</v>
      </c>
      <c r="D1081" t="s">
        <v>408</v>
      </c>
      <c r="E1081" t="s">
        <v>172</v>
      </c>
      <c r="F1081" t="s">
        <v>409</v>
      </c>
      <c r="G1081" t="s">
        <v>410</v>
      </c>
      <c r="H1081">
        <v>1000</v>
      </c>
      <c r="I1081">
        <v>100</v>
      </c>
      <c r="AQ1081">
        <v>1100</v>
      </c>
      <c r="AR1081">
        <v>1.0605</v>
      </c>
      <c r="AS1081">
        <v>1166.55</v>
      </c>
      <c r="AT1081" t="s">
        <v>750</v>
      </c>
    </row>
    <row r="1082" spans="1:46" hidden="1">
      <c r="A1082" t="s">
        <v>14</v>
      </c>
      <c r="B1082" t="s">
        <v>640</v>
      </c>
      <c r="C1082" t="s">
        <v>679</v>
      </c>
      <c r="D1082" t="s">
        <v>411</v>
      </c>
      <c r="E1082" t="s">
        <v>172</v>
      </c>
      <c r="F1082" t="s">
        <v>412</v>
      </c>
      <c r="G1082" t="s">
        <v>413</v>
      </c>
      <c r="H1082">
        <v>800</v>
      </c>
      <c r="I1082">
        <v>360</v>
      </c>
      <c r="AQ1082">
        <v>1160</v>
      </c>
      <c r="AR1082">
        <v>37.1175</v>
      </c>
      <c r="AS1082">
        <v>43056.3</v>
      </c>
    </row>
    <row r="1083" spans="1:46" hidden="1">
      <c r="A1083" t="s">
        <v>14</v>
      </c>
      <c r="B1083" t="s">
        <v>640</v>
      </c>
      <c r="C1083" t="s">
        <v>680</v>
      </c>
      <c r="D1083" t="s">
        <v>414</v>
      </c>
      <c r="E1083" t="s">
        <v>172</v>
      </c>
      <c r="F1083" t="s">
        <v>415</v>
      </c>
      <c r="G1083" t="s">
        <v>224</v>
      </c>
      <c r="H1083">
        <v>122</v>
      </c>
      <c r="I1083">
        <v>30</v>
      </c>
      <c r="AQ1083">
        <v>152</v>
      </c>
      <c r="AR1083">
        <v>42.42</v>
      </c>
      <c r="AS1083">
        <v>6447.84</v>
      </c>
      <c r="AT1083" t="s">
        <v>751</v>
      </c>
    </row>
    <row r="1084" spans="1:46" hidden="1">
      <c r="A1084" t="s">
        <v>14</v>
      </c>
      <c r="B1084" t="s">
        <v>640</v>
      </c>
      <c r="C1084" t="s">
        <v>681</v>
      </c>
      <c r="D1084" t="s">
        <v>416</v>
      </c>
      <c r="E1084" t="s">
        <v>172</v>
      </c>
      <c r="F1084" t="s">
        <v>417</v>
      </c>
      <c r="G1084" t="s">
        <v>418</v>
      </c>
      <c r="H1084">
        <v>4700</v>
      </c>
      <c r="I1084">
        <v>2100</v>
      </c>
      <c r="AQ1084">
        <v>6800</v>
      </c>
      <c r="AR1084">
        <v>0.32319999999999999</v>
      </c>
      <c r="AS1084">
        <v>2197.7600000000002</v>
      </c>
    </row>
    <row r="1085" spans="1:46" hidden="1">
      <c r="A1085" t="s">
        <v>14</v>
      </c>
      <c r="B1085" t="s">
        <v>640</v>
      </c>
      <c r="C1085" t="s">
        <v>682</v>
      </c>
      <c r="D1085" t="s">
        <v>419</v>
      </c>
      <c r="E1085" t="s">
        <v>172</v>
      </c>
      <c r="F1085" t="s">
        <v>420</v>
      </c>
      <c r="G1085" t="s">
        <v>421</v>
      </c>
      <c r="H1085">
        <v>3</v>
      </c>
      <c r="I1085">
        <v>1</v>
      </c>
      <c r="AQ1085">
        <v>4</v>
      </c>
      <c r="AR1085">
        <v>42.42</v>
      </c>
      <c r="AS1085">
        <v>169.68</v>
      </c>
    </row>
    <row r="1086" spans="1:46" hidden="1">
      <c r="A1086" t="s">
        <v>14</v>
      </c>
      <c r="B1086" t="s">
        <v>640</v>
      </c>
      <c r="C1086" t="s">
        <v>683</v>
      </c>
      <c r="D1086" t="s">
        <v>422</v>
      </c>
      <c r="E1086" t="s">
        <v>172</v>
      </c>
      <c r="F1086" t="s">
        <v>423</v>
      </c>
      <c r="G1086" t="s">
        <v>407</v>
      </c>
      <c r="H1086">
        <v>0</v>
      </c>
      <c r="I1086">
        <v>0</v>
      </c>
      <c r="AQ1086">
        <v>0</v>
      </c>
      <c r="AR1086">
        <v>47.47</v>
      </c>
      <c r="AS1086">
        <v>0</v>
      </c>
      <c r="AT1086" t="s">
        <v>752</v>
      </c>
    </row>
    <row r="1087" spans="1:46" hidden="1">
      <c r="A1087" t="s">
        <v>14</v>
      </c>
      <c r="B1087" t="s">
        <v>640</v>
      </c>
      <c r="C1087" t="s">
        <v>684</v>
      </c>
      <c r="D1087" t="s">
        <v>427</v>
      </c>
      <c r="E1087" t="s">
        <v>172</v>
      </c>
      <c r="F1087" t="s">
        <v>428</v>
      </c>
      <c r="G1087" t="s">
        <v>429</v>
      </c>
      <c r="H1087">
        <v>15</v>
      </c>
      <c r="I1087">
        <v>5</v>
      </c>
      <c r="AQ1087">
        <v>20</v>
      </c>
      <c r="AR1087">
        <v>636.29999999999995</v>
      </c>
      <c r="AS1087">
        <v>12726</v>
      </c>
      <c r="AT1087" t="s">
        <v>752</v>
      </c>
    </row>
    <row r="1088" spans="1:46" hidden="1">
      <c r="A1088" t="s">
        <v>14</v>
      </c>
      <c r="B1088" t="s">
        <v>640</v>
      </c>
      <c r="C1088" t="s">
        <v>174</v>
      </c>
      <c r="D1088" t="s">
        <v>175</v>
      </c>
      <c r="E1088" t="s">
        <v>172</v>
      </c>
      <c r="F1088" t="s">
        <v>176</v>
      </c>
      <c r="G1088" t="s">
        <v>177</v>
      </c>
      <c r="H1088">
        <v>3</v>
      </c>
      <c r="I1088">
        <v>2</v>
      </c>
      <c r="AQ1088">
        <v>5</v>
      </c>
      <c r="AR1088">
        <v>424.2</v>
      </c>
      <c r="AS1088">
        <v>2121</v>
      </c>
      <c r="AT1088" t="s">
        <v>753</v>
      </c>
    </row>
    <row r="1089" spans="1:46" hidden="1">
      <c r="A1089" t="s">
        <v>14</v>
      </c>
      <c r="B1089" t="s">
        <v>640</v>
      </c>
      <c r="C1089" t="s">
        <v>685</v>
      </c>
      <c r="D1089" t="s">
        <v>430</v>
      </c>
      <c r="E1089" t="s">
        <v>172</v>
      </c>
      <c r="F1089" t="s">
        <v>433</v>
      </c>
      <c r="G1089" t="s">
        <v>432</v>
      </c>
      <c r="H1089">
        <v>2</v>
      </c>
      <c r="I1089">
        <v>1</v>
      </c>
      <c r="AQ1089">
        <v>3</v>
      </c>
      <c r="AR1089">
        <v>1908.9</v>
      </c>
      <c r="AS1089">
        <v>5726.7</v>
      </c>
      <c r="AT1089" t="s">
        <v>753</v>
      </c>
    </row>
    <row r="1090" spans="1:46" hidden="1">
      <c r="A1090" t="s">
        <v>14</v>
      </c>
      <c r="B1090" t="s">
        <v>640</v>
      </c>
      <c r="C1090" t="s">
        <v>686</v>
      </c>
      <c r="D1090" t="s">
        <v>430</v>
      </c>
      <c r="E1090" t="s">
        <v>172</v>
      </c>
      <c r="F1090" t="s">
        <v>431</v>
      </c>
      <c r="G1090" t="s">
        <v>432</v>
      </c>
      <c r="H1090">
        <v>2</v>
      </c>
      <c r="I1090">
        <v>1</v>
      </c>
      <c r="AQ1090">
        <v>3</v>
      </c>
      <c r="AR1090">
        <v>2121</v>
      </c>
      <c r="AS1090">
        <v>6363</v>
      </c>
    </row>
    <row r="1091" spans="1:46" hidden="1">
      <c r="A1091" t="s">
        <v>14</v>
      </c>
      <c r="B1091" t="s">
        <v>640</v>
      </c>
      <c r="C1091" t="s">
        <v>687</v>
      </c>
      <c r="D1091" t="s">
        <v>430</v>
      </c>
      <c r="E1091" t="s">
        <v>172</v>
      </c>
      <c r="F1091" t="s">
        <v>438</v>
      </c>
      <c r="G1091" t="s">
        <v>432</v>
      </c>
      <c r="H1091">
        <v>1</v>
      </c>
      <c r="I1091">
        <v>0</v>
      </c>
      <c r="AQ1091">
        <v>1</v>
      </c>
      <c r="AR1091">
        <v>2439.15</v>
      </c>
      <c r="AS1091">
        <v>2439.15</v>
      </c>
    </row>
    <row r="1092" spans="1:46" hidden="1">
      <c r="A1092" t="s">
        <v>14</v>
      </c>
      <c r="B1092" t="s">
        <v>640</v>
      </c>
      <c r="C1092" t="s">
        <v>688</v>
      </c>
      <c r="D1092" t="s">
        <v>430</v>
      </c>
      <c r="E1092" t="s">
        <v>172</v>
      </c>
      <c r="F1092" t="s">
        <v>434</v>
      </c>
      <c r="G1092" t="s">
        <v>432</v>
      </c>
      <c r="H1092">
        <v>2</v>
      </c>
      <c r="I1092">
        <v>0</v>
      </c>
      <c r="AQ1092">
        <v>2</v>
      </c>
      <c r="AR1092">
        <v>2651.25</v>
      </c>
      <c r="AS1092">
        <v>5302.5</v>
      </c>
    </row>
    <row r="1093" spans="1:46" hidden="1">
      <c r="A1093" t="s">
        <v>14</v>
      </c>
      <c r="B1093" t="s">
        <v>640</v>
      </c>
      <c r="C1093" t="s">
        <v>645</v>
      </c>
      <c r="D1093" t="s">
        <v>435</v>
      </c>
      <c r="E1093" t="s">
        <v>172</v>
      </c>
      <c r="F1093" t="s">
        <v>436</v>
      </c>
      <c r="G1093" t="s">
        <v>437</v>
      </c>
      <c r="H1093">
        <v>0</v>
      </c>
      <c r="I1093">
        <v>0</v>
      </c>
      <c r="AQ1093">
        <v>0</v>
      </c>
      <c r="AR1093">
        <v>0.28000000000000003</v>
      </c>
      <c r="AT1093" t="s">
        <v>754</v>
      </c>
    </row>
    <row r="1094" spans="1:46" hidden="1">
      <c r="A1094" t="s">
        <v>14</v>
      </c>
      <c r="B1094" t="s">
        <v>640</v>
      </c>
      <c r="C1094" t="s">
        <v>689</v>
      </c>
      <c r="D1094" t="s">
        <v>439</v>
      </c>
      <c r="E1094" t="s">
        <v>172</v>
      </c>
      <c r="F1094" t="s">
        <v>690</v>
      </c>
      <c r="G1094" t="s">
        <v>441</v>
      </c>
      <c r="H1094">
        <v>2</v>
      </c>
      <c r="I1094">
        <v>1</v>
      </c>
      <c r="AQ1094">
        <v>3</v>
      </c>
      <c r="AR1094">
        <v>318.14999999999998</v>
      </c>
      <c r="AS1094">
        <v>954.45</v>
      </c>
    </row>
    <row r="1095" spans="1:46" hidden="1">
      <c r="A1095" t="s">
        <v>14</v>
      </c>
      <c r="B1095" t="s">
        <v>640</v>
      </c>
      <c r="C1095" t="s">
        <v>691</v>
      </c>
      <c r="D1095" t="s">
        <v>439</v>
      </c>
      <c r="E1095" t="s">
        <v>172</v>
      </c>
      <c r="F1095" t="s">
        <v>442</v>
      </c>
      <c r="G1095" t="s">
        <v>441</v>
      </c>
      <c r="H1095">
        <v>3</v>
      </c>
      <c r="I1095">
        <v>5</v>
      </c>
      <c r="AQ1095">
        <v>8</v>
      </c>
      <c r="AR1095">
        <v>1272.5999999999999</v>
      </c>
      <c r="AS1095">
        <v>10180.799999999999</v>
      </c>
    </row>
    <row r="1096" spans="1:46" hidden="1">
      <c r="A1096" t="s">
        <v>14</v>
      </c>
      <c r="B1096" t="s">
        <v>640</v>
      </c>
      <c r="C1096" t="s">
        <v>692</v>
      </c>
      <c r="D1096" t="s">
        <v>439</v>
      </c>
      <c r="E1096" t="s">
        <v>172</v>
      </c>
      <c r="F1096" t="s">
        <v>443</v>
      </c>
      <c r="G1096" t="s">
        <v>441</v>
      </c>
      <c r="H1096">
        <v>5</v>
      </c>
      <c r="I1096">
        <v>0</v>
      </c>
      <c r="AQ1096">
        <v>5</v>
      </c>
      <c r="AR1096">
        <v>1590.75</v>
      </c>
      <c r="AS1096">
        <v>7953.75</v>
      </c>
    </row>
    <row r="1097" spans="1:46" hidden="1">
      <c r="A1097" t="s">
        <v>14</v>
      </c>
      <c r="B1097" t="s">
        <v>640</v>
      </c>
      <c r="C1097" t="s">
        <v>693</v>
      </c>
      <c r="D1097" t="s">
        <v>439</v>
      </c>
      <c r="E1097" t="s">
        <v>172</v>
      </c>
      <c r="F1097" t="s">
        <v>440</v>
      </c>
      <c r="G1097" t="s">
        <v>441</v>
      </c>
      <c r="H1097">
        <v>3</v>
      </c>
      <c r="I1097">
        <v>2</v>
      </c>
      <c r="AQ1097">
        <v>5</v>
      </c>
      <c r="AR1097">
        <v>1590.75</v>
      </c>
      <c r="AS1097">
        <v>7953.75</v>
      </c>
    </row>
    <row r="1098" spans="1:46" hidden="1">
      <c r="A1098" t="s">
        <v>14</v>
      </c>
      <c r="B1098" t="s">
        <v>640</v>
      </c>
      <c r="C1098" t="s">
        <v>694</v>
      </c>
      <c r="D1098" t="s">
        <v>439</v>
      </c>
      <c r="E1098" t="s">
        <v>172</v>
      </c>
      <c r="F1098" t="s">
        <v>695</v>
      </c>
      <c r="G1098" t="s">
        <v>441</v>
      </c>
      <c r="H1098">
        <v>1</v>
      </c>
      <c r="I1098">
        <v>0</v>
      </c>
      <c r="AQ1098">
        <v>1</v>
      </c>
      <c r="AR1098">
        <v>1802.85</v>
      </c>
      <c r="AS1098">
        <v>1802.85</v>
      </c>
    </row>
    <row r="1099" spans="1:46" hidden="1">
      <c r="A1099" t="s">
        <v>14</v>
      </c>
      <c r="B1099" t="s">
        <v>640</v>
      </c>
      <c r="C1099" t="s">
        <v>696</v>
      </c>
      <c r="D1099" t="s">
        <v>446</v>
      </c>
      <c r="E1099" t="s">
        <v>172</v>
      </c>
      <c r="F1099" t="s">
        <v>447</v>
      </c>
      <c r="G1099" t="s">
        <v>448</v>
      </c>
      <c r="H1099">
        <v>50.4</v>
      </c>
      <c r="I1099">
        <v>0</v>
      </c>
      <c r="AQ1099">
        <v>50.4</v>
      </c>
      <c r="AR1099">
        <v>10.605</v>
      </c>
      <c r="AS1099">
        <v>534.49199999999996</v>
      </c>
    </row>
    <row r="1100" spans="1:46" hidden="1">
      <c r="A1100" t="s">
        <v>14</v>
      </c>
      <c r="B1100" t="s">
        <v>640</v>
      </c>
      <c r="C1100" t="s">
        <v>178</v>
      </c>
      <c r="D1100" t="s">
        <v>179</v>
      </c>
      <c r="E1100" t="s">
        <v>172</v>
      </c>
      <c r="F1100" t="s">
        <v>180</v>
      </c>
      <c r="G1100" t="s">
        <v>181</v>
      </c>
      <c r="H1100">
        <v>1050</v>
      </c>
      <c r="I1100">
        <v>500</v>
      </c>
      <c r="AQ1100">
        <v>1550</v>
      </c>
      <c r="AR1100">
        <v>106.05</v>
      </c>
      <c r="AS1100">
        <v>164377.5</v>
      </c>
    </row>
    <row r="1101" spans="1:46" hidden="1">
      <c r="A1101" t="s">
        <v>14</v>
      </c>
      <c r="B1101" t="s">
        <v>640</v>
      </c>
      <c r="C1101" t="s">
        <v>182</v>
      </c>
      <c r="D1101" t="s">
        <v>179</v>
      </c>
      <c r="E1101" t="s">
        <v>172</v>
      </c>
      <c r="F1101" t="s">
        <v>183</v>
      </c>
      <c r="G1101" t="s">
        <v>152</v>
      </c>
      <c r="H1101">
        <v>200000</v>
      </c>
      <c r="I1101">
        <v>50000</v>
      </c>
      <c r="AQ1101">
        <v>250000</v>
      </c>
      <c r="AR1101">
        <v>0.1515</v>
      </c>
      <c r="AS1101">
        <v>37875</v>
      </c>
      <c r="AT1101" t="s">
        <v>752</v>
      </c>
    </row>
    <row r="1102" spans="1:46" hidden="1">
      <c r="A1102" t="s">
        <v>14</v>
      </c>
      <c r="B1102" t="s">
        <v>640</v>
      </c>
      <c r="C1102" t="s">
        <v>697</v>
      </c>
      <c r="D1102" t="s">
        <v>449</v>
      </c>
      <c r="E1102" t="s">
        <v>172</v>
      </c>
      <c r="F1102" t="s">
        <v>450</v>
      </c>
      <c r="G1102" t="s">
        <v>451</v>
      </c>
      <c r="H1102">
        <v>3</v>
      </c>
      <c r="I1102">
        <v>2</v>
      </c>
      <c r="AQ1102">
        <v>5</v>
      </c>
      <c r="AR1102">
        <v>1908.9</v>
      </c>
      <c r="AS1102">
        <v>9544.5</v>
      </c>
    </row>
    <row r="1103" spans="1:46" hidden="1">
      <c r="A1103" t="s">
        <v>14</v>
      </c>
      <c r="B1103" t="s">
        <v>640</v>
      </c>
      <c r="C1103" t="s">
        <v>698</v>
      </c>
      <c r="D1103" t="s">
        <v>424</v>
      </c>
      <c r="E1103" t="s">
        <v>172</v>
      </c>
      <c r="F1103" t="s">
        <v>425</v>
      </c>
      <c r="G1103" t="s">
        <v>426</v>
      </c>
      <c r="H1103">
        <v>14</v>
      </c>
      <c r="I1103">
        <v>10</v>
      </c>
      <c r="AQ1103">
        <v>24</v>
      </c>
      <c r="AR1103">
        <v>132.5625</v>
      </c>
      <c r="AS1103">
        <v>3181.5</v>
      </c>
    </row>
    <row r="1104" spans="1:46" hidden="1">
      <c r="A1104" t="s">
        <v>14</v>
      </c>
      <c r="B1104" t="s">
        <v>640</v>
      </c>
      <c r="C1104" t="s">
        <v>699</v>
      </c>
      <c r="D1104" t="s">
        <v>287</v>
      </c>
      <c r="E1104" t="s">
        <v>172</v>
      </c>
      <c r="F1104" t="s">
        <v>452</v>
      </c>
      <c r="G1104" t="s">
        <v>453</v>
      </c>
      <c r="H1104">
        <v>1</v>
      </c>
      <c r="I1104">
        <v>0</v>
      </c>
      <c r="AQ1104">
        <v>1</v>
      </c>
      <c r="AR1104">
        <v>3181.5</v>
      </c>
      <c r="AS1104">
        <v>3181.5</v>
      </c>
    </row>
    <row r="1105" spans="1:46" hidden="1">
      <c r="A1105" t="s">
        <v>14</v>
      </c>
      <c r="B1105" t="s">
        <v>640</v>
      </c>
      <c r="C1105" t="s">
        <v>700</v>
      </c>
      <c r="D1105" t="s">
        <v>287</v>
      </c>
      <c r="E1105" t="s">
        <v>172</v>
      </c>
      <c r="F1105" t="s">
        <v>454</v>
      </c>
      <c r="G1105" t="s">
        <v>455</v>
      </c>
      <c r="H1105">
        <v>1</v>
      </c>
      <c r="I1105">
        <v>0</v>
      </c>
      <c r="AQ1105">
        <v>1</v>
      </c>
      <c r="AR1105">
        <v>318150</v>
      </c>
      <c r="AS1105">
        <v>318150</v>
      </c>
      <c r="AT1105" t="s">
        <v>755</v>
      </c>
    </row>
    <row r="1106" spans="1:46" hidden="1">
      <c r="A1106" t="s">
        <v>14</v>
      </c>
      <c r="B1106" t="s">
        <v>640</v>
      </c>
      <c r="C1106" t="s">
        <v>701</v>
      </c>
      <c r="D1106" t="s">
        <v>287</v>
      </c>
      <c r="E1106" t="s">
        <v>172</v>
      </c>
      <c r="F1106" t="s">
        <v>456</v>
      </c>
      <c r="G1106" t="s">
        <v>457</v>
      </c>
      <c r="H1106">
        <v>1</v>
      </c>
      <c r="I1106">
        <v>0</v>
      </c>
      <c r="AQ1106">
        <v>1</v>
      </c>
      <c r="AR1106">
        <v>238612.5</v>
      </c>
      <c r="AS1106">
        <v>238612.5</v>
      </c>
    </row>
    <row r="1107" spans="1:46" hidden="1">
      <c r="A1107" t="s">
        <v>14</v>
      </c>
      <c r="B1107" t="s">
        <v>640</v>
      </c>
      <c r="C1107" t="s">
        <v>184</v>
      </c>
      <c r="D1107" t="s">
        <v>185</v>
      </c>
      <c r="E1107" t="s">
        <v>186</v>
      </c>
      <c r="F1107" t="s">
        <v>187</v>
      </c>
      <c r="G1107" t="s">
        <v>188</v>
      </c>
      <c r="H1107">
        <v>1</v>
      </c>
      <c r="I1107">
        <v>0</v>
      </c>
      <c r="AQ1107">
        <v>1</v>
      </c>
      <c r="AR1107">
        <v>2121</v>
      </c>
      <c r="AS1107">
        <v>2121</v>
      </c>
    </row>
    <row r="1108" spans="1:46" hidden="1">
      <c r="A1108" t="s">
        <v>14</v>
      </c>
      <c r="B1108" t="s">
        <v>640</v>
      </c>
      <c r="C1108" t="s">
        <v>189</v>
      </c>
      <c r="D1108" t="s">
        <v>190</v>
      </c>
      <c r="E1108" t="s">
        <v>186</v>
      </c>
      <c r="F1108" t="s">
        <v>191</v>
      </c>
      <c r="G1108" t="s">
        <v>192</v>
      </c>
      <c r="H1108">
        <v>26</v>
      </c>
      <c r="I1108">
        <v>6</v>
      </c>
      <c r="AQ1108">
        <v>32</v>
      </c>
      <c r="AR1108">
        <v>1060.5</v>
      </c>
      <c r="AS1108">
        <v>33936</v>
      </c>
    </row>
    <row r="1109" spans="1:46" hidden="1">
      <c r="A1109" t="s">
        <v>14</v>
      </c>
      <c r="B1109" t="s">
        <v>640</v>
      </c>
      <c r="C1109" t="s">
        <v>702</v>
      </c>
      <c r="D1109" t="s">
        <v>190</v>
      </c>
      <c r="E1109" t="s">
        <v>186</v>
      </c>
      <c r="F1109" t="s">
        <v>458</v>
      </c>
      <c r="G1109" t="s">
        <v>459</v>
      </c>
      <c r="H1109">
        <v>3</v>
      </c>
      <c r="I1109">
        <v>3</v>
      </c>
      <c r="AQ1109">
        <v>6</v>
      </c>
      <c r="AR1109">
        <v>1590.75</v>
      </c>
      <c r="AS1109">
        <v>9544.5</v>
      </c>
    </row>
    <row r="1110" spans="1:46" hidden="1">
      <c r="A1110" t="s">
        <v>14</v>
      </c>
      <c r="B1110" t="s">
        <v>640</v>
      </c>
      <c r="C1110" t="s">
        <v>193</v>
      </c>
      <c r="D1110" t="s">
        <v>194</v>
      </c>
      <c r="E1110" t="s">
        <v>186</v>
      </c>
      <c r="F1110" t="s">
        <v>195</v>
      </c>
      <c r="G1110" t="s">
        <v>152</v>
      </c>
      <c r="H1110">
        <v>160000</v>
      </c>
      <c r="I1110">
        <v>47000</v>
      </c>
      <c r="AQ1110">
        <v>207000</v>
      </c>
      <c r="AR1110">
        <v>0.63629999999999998</v>
      </c>
      <c r="AS1110">
        <v>131714.1</v>
      </c>
    </row>
    <row r="1111" spans="1:46" hidden="1">
      <c r="A1111" t="s">
        <v>14</v>
      </c>
      <c r="B1111" t="s">
        <v>640</v>
      </c>
      <c r="C1111" t="s">
        <v>197</v>
      </c>
      <c r="D1111" t="s">
        <v>198</v>
      </c>
      <c r="E1111" t="s">
        <v>186</v>
      </c>
      <c r="F1111" t="s">
        <v>199</v>
      </c>
      <c r="G1111" t="s">
        <v>200</v>
      </c>
      <c r="H1111">
        <v>0</v>
      </c>
      <c r="I1111">
        <v>0</v>
      </c>
      <c r="AQ1111">
        <v>0</v>
      </c>
      <c r="AR1111">
        <v>4984.3500000000004</v>
      </c>
      <c r="AS1111">
        <v>0</v>
      </c>
    </row>
    <row r="1112" spans="1:46" hidden="1">
      <c r="A1112" t="s">
        <v>14</v>
      </c>
      <c r="B1112" t="s">
        <v>640</v>
      </c>
      <c r="C1112" t="s">
        <v>201</v>
      </c>
      <c r="D1112" t="s">
        <v>202</v>
      </c>
      <c r="E1112" t="s">
        <v>186</v>
      </c>
      <c r="F1112" t="s">
        <v>203</v>
      </c>
      <c r="G1112" t="s">
        <v>204</v>
      </c>
      <c r="H1112">
        <v>0</v>
      </c>
      <c r="I1112">
        <v>0</v>
      </c>
      <c r="AQ1112">
        <v>0</v>
      </c>
      <c r="AR1112">
        <v>31.815000000000001</v>
      </c>
      <c r="AS1112">
        <v>0</v>
      </c>
    </row>
    <row r="1113" spans="1:46" hidden="1">
      <c r="A1113" t="s">
        <v>14</v>
      </c>
      <c r="B1113" t="s">
        <v>640</v>
      </c>
      <c r="C1113" t="s">
        <v>703</v>
      </c>
      <c r="D1113" t="s">
        <v>460</v>
      </c>
      <c r="E1113" t="s">
        <v>186</v>
      </c>
      <c r="F1113" t="s">
        <v>461</v>
      </c>
      <c r="G1113" t="s">
        <v>462</v>
      </c>
      <c r="H1113">
        <v>0</v>
      </c>
      <c r="I1113">
        <v>0</v>
      </c>
      <c r="AQ1113">
        <v>0</v>
      </c>
      <c r="AR1113">
        <v>15907.5</v>
      </c>
      <c r="AS1113">
        <v>0</v>
      </c>
    </row>
    <row r="1114" spans="1:46" hidden="1">
      <c r="A1114" t="s">
        <v>14</v>
      </c>
      <c r="B1114" t="s">
        <v>640</v>
      </c>
      <c r="C1114" t="s">
        <v>704</v>
      </c>
      <c r="D1114" t="s">
        <v>468</v>
      </c>
      <c r="E1114" t="s">
        <v>186</v>
      </c>
      <c r="F1114" t="s">
        <v>469</v>
      </c>
      <c r="G1114" t="s">
        <v>470</v>
      </c>
      <c r="H1114">
        <v>0</v>
      </c>
      <c r="I1114">
        <v>0</v>
      </c>
      <c r="AQ1114">
        <v>0</v>
      </c>
      <c r="AR1114">
        <v>159.07499999999999</v>
      </c>
      <c r="AS1114">
        <v>0</v>
      </c>
    </row>
    <row r="1115" spans="1:46" hidden="1">
      <c r="A1115" t="s">
        <v>14</v>
      </c>
      <c r="B1115" t="s">
        <v>640</v>
      </c>
      <c r="C1115" t="s">
        <v>705</v>
      </c>
      <c r="D1115" t="s">
        <v>463</v>
      </c>
      <c r="E1115" t="s">
        <v>186</v>
      </c>
      <c r="F1115" t="s">
        <v>466</v>
      </c>
      <c r="G1115" t="s">
        <v>467</v>
      </c>
      <c r="H1115">
        <v>0</v>
      </c>
      <c r="I1115">
        <v>0</v>
      </c>
      <c r="AQ1115">
        <v>0</v>
      </c>
      <c r="AR1115">
        <v>509.04</v>
      </c>
      <c r="AS1115">
        <v>0</v>
      </c>
    </row>
    <row r="1116" spans="1:46" hidden="1">
      <c r="A1116" t="s">
        <v>14</v>
      </c>
      <c r="B1116" t="s">
        <v>640</v>
      </c>
      <c r="C1116" t="s">
        <v>706</v>
      </c>
      <c r="D1116" t="s">
        <v>463</v>
      </c>
      <c r="E1116" t="s">
        <v>186</v>
      </c>
      <c r="F1116" t="s">
        <v>464</v>
      </c>
      <c r="G1116" t="s">
        <v>465</v>
      </c>
      <c r="H1116">
        <v>0</v>
      </c>
      <c r="I1116">
        <v>0</v>
      </c>
      <c r="AQ1116">
        <v>0</v>
      </c>
      <c r="AR1116">
        <v>1060.5</v>
      </c>
      <c r="AS1116">
        <v>0</v>
      </c>
    </row>
    <row r="1117" spans="1:46" hidden="1">
      <c r="A1117" t="s">
        <v>14</v>
      </c>
      <c r="B1117" t="s">
        <v>640</v>
      </c>
      <c r="C1117" t="s">
        <v>707</v>
      </c>
      <c r="D1117" t="s">
        <v>471</v>
      </c>
      <c r="E1117" t="s">
        <v>186</v>
      </c>
      <c r="F1117" t="s">
        <v>472</v>
      </c>
      <c r="G1117" t="s">
        <v>473</v>
      </c>
      <c r="H1117">
        <v>0</v>
      </c>
      <c r="I1117">
        <v>0</v>
      </c>
      <c r="AQ1117">
        <v>0</v>
      </c>
      <c r="AR1117">
        <v>15377.25</v>
      </c>
      <c r="AS1117">
        <v>0</v>
      </c>
    </row>
    <row r="1118" spans="1:46" hidden="1">
      <c r="A1118" t="s">
        <v>14</v>
      </c>
      <c r="B1118" t="s">
        <v>640</v>
      </c>
      <c r="C1118" t="s">
        <v>205</v>
      </c>
      <c r="D1118" t="s">
        <v>206</v>
      </c>
      <c r="E1118" t="s">
        <v>207</v>
      </c>
      <c r="F1118" t="s">
        <v>208</v>
      </c>
      <c r="G1118" t="s">
        <v>209</v>
      </c>
      <c r="H1118">
        <v>199000</v>
      </c>
      <c r="I1118">
        <v>0</v>
      </c>
      <c r="AQ1118">
        <v>199000</v>
      </c>
      <c r="AR1118">
        <v>0.16159999999999999</v>
      </c>
      <c r="AS1118">
        <v>32158.400000000001</v>
      </c>
    </row>
    <row r="1119" spans="1:46" hidden="1">
      <c r="A1119" t="s">
        <v>14</v>
      </c>
      <c r="B1119" t="s">
        <v>640</v>
      </c>
      <c r="C1119" t="s">
        <v>210</v>
      </c>
      <c r="D1119" t="s">
        <v>211</v>
      </c>
      <c r="E1119" t="s">
        <v>207</v>
      </c>
      <c r="F1119" t="s">
        <v>212</v>
      </c>
      <c r="G1119" t="s">
        <v>209</v>
      </c>
      <c r="H1119">
        <v>190000</v>
      </c>
      <c r="I1119">
        <v>0</v>
      </c>
      <c r="AQ1119">
        <v>190000</v>
      </c>
      <c r="AR1119">
        <v>0.63629999999999998</v>
      </c>
      <c r="AS1119">
        <v>120897</v>
      </c>
    </row>
    <row r="1120" spans="1:46" hidden="1">
      <c r="A1120" t="s">
        <v>14</v>
      </c>
      <c r="B1120" t="s">
        <v>640</v>
      </c>
      <c r="C1120" t="s">
        <v>213</v>
      </c>
      <c r="D1120" t="s">
        <v>214</v>
      </c>
      <c r="E1120" t="s">
        <v>207</v>
      </c>
      <c r="F1120" t="s">
        <v>215</v>
      </c>
      <c r="G1120" t="s">
        <v>152</v>
      </c>
      <c r="H1120">
        <v>190000</v>
      </c>
      <c r="I1120">
        <v>0</v>
      </c>
      <c r="AQ1120">
        <v>190000</v>
      </c>
      <c r="AR1120">
        <v>0.32319999999999999</v>
      </c>
      <c r="AS1120">
        <v>61408</v>
      </c>
    </row>
    <row r="1121" spans="1:46" hidden="1">
      <c r="A1121" t="s">
        <v>14</v>
      </c>
      <c r="B1121" t="s">
        <v>640</v>
      </c>
      <c r="C1121" t="s">
        <v>255</v>
      </c>
      <c r="D1121" t="s">
        <v>256</v>
      </c>
      <c r="E1121" t="s">
        <v>207</v>
      </c>
      <c r="F1121" t="s">
        <v>257</v>
      </c>
      <c r="G1121" t="s">
        <v>258</v>
      </c>
      <c r="H1121">
        <v>1356</v>
      </c>
      <c r="I1121">
        <v>0</v>
      </c>
      <c r="AQ1121">
        <v>1356</v>
      </c>
      <c r="AR1121">
        <v>31.815000000000001</v>
      </c>
      <c r="AS1121">
        <v>43141.14</v>
      </c>
    </row>
    <row r="1122" spans="1:46" hidden="1">
      <c r="A1122" t="s">
        <v>14</v>
      </c>
      <c r="B1122" t="s">
        <v>640</v>
      </c>
      <c r="C1122" t="s">
        <v>217</v>
      </c>
      <c r="D1122" t="s">
        <v>218</v>
      </c>
      <c r="E1122" t="s">
        <v>207</v>
      </c>
      <c r="F1122" t="s">
        <v>219</v>
      </c>
      <c r="G1122" t="s">
        <v>220</v>
      </c>
      <c r="H1122">
        <v>1272</v>
      </c>
      <c r="I1122">
        <v>0</v>
      </c>
      <c r="AQ1122">
        <v>1272</v>
      </c>
      <c r="AR1122">
        <v>9.5950000000000006</v>
      </c>
      <c r="AS1122">
        <v>12204.84</v>
      </c>
    </row>
    <row r="1123" spans="1:46" hidden="1">
      <c r="A1123" t="s">
        <v>14</v>
      </c>
      <c r="B1123" t="s">
        <v>640</v>
      </c>
      <c r="C1123" t="s">
        <v>708</v>
      </c>
      <c r="D1123" t="s">
        <v>474</v>
      </c>
      <c r="E1123" t="s">
        <v>207</v>
      </c>
      <c r="F1123" t="s">
        <v>475</v>
      </c>
      <c r="G1123" t="s">
        <v>476</v>
      </c>
      <c r="H1123">
        <v>16</v>
      </c>
      <c r="I1123">
        <v>0</v>
      </c>
      <c r="AQ1123">
        <v>16</v>
      </c>
      <c r="AR1123">
        <v>79.790000000000006</v>
      </c>
      <c r="AS1123">
        <v>1276.6400000000001</v>
      </c>
    </row>
    <row r="1124" spans="1:46" hidden="1">
      <c r="A1124" t="s">
        <v>14</v>
      </c>
      <c r="B1124" t="s">
        <v>640</v>
      </c>
      <c r="C1124" t="s">
        <v>709</v>
      </c>
      <c r="D1124" t="s">
        <v>477</v>
      </c>
      <c r="E1124" t="s">
        <v>207</v>
      </c>
      <c r="F1124" t="s">
        <v>478</v>
      </c>
      <c r="G1124" t="s">
        <v>479</v>
      </c>
      <c r="H1124">
        <v>5750</v>
      </c>
      <c r="I1124">
        <v>0</v>
      </c>
      <c r="AQ1124">
        <v>5750</v>
      </c>
      <c r="AR1124">
        <v>2.121</v>
      </c>
      <c r="AS1124">
        <v>12195.75</v>
      </c>
    </row>
    <row r="1125" spans="1:46" hidden="1">
      <c r="A1125" t="s">
        <v>14</v>
      </c>
      <c r="B1125" t="s">
        <v>640</v>
      </c>
      <c r="C1125" t="s">
        <v>221</v>
      </c>
      <c r="D1125" t="s">
        <v>222</v>
      </c>
      <c r="E1125" t="s">
        <v>207</v>
      </c>
      <c r="F1125" t="s">
        <v>223</v>
      </c>
      <c r="G1125" t="s">
        <v>224</v>
      </c>
      <c r="H1125">
        <v>2</v>
      </c>
      <c r="I1125">
        <v>0</v>
      </c>
      <c r="AQ1125">
        <v>2</v>
      </c>
      <c r="AR1125">
        <v>2651.25</v>
      </c>
      <c r="AS1125">
        <v>5302.5</v>
      </c>
    </row>
    <row r="1126" spans="1:46" hidden="1">
      <c r="A1126" t="s">
        <v>14</v>
      </c>
      <c r="B1126" t="s">
        <v>640</v>
      </c>
      <c r="C1126" t="s">
        <v>225</v>
      </c>
      <c r="D1126" t="s">
        <v>226</v>
      </c>
      <c r="E1126" t="s">
        <v>207</v>
      </c>
      <c r="F1126" t="s">
        <v>227</v>
      </c>
      <c r="G1126" t="s">
        <v>228</v>
      </c>
      <c r="H1126">
        <v>340</v>
      </c>
      <c r="I1126">
        <v>0</v>
      </c>
      <c r="AQ1126">
        <v>340</v>
      </c>
      <c r="AR1126">
        <v>21.21</v>
      </c>
      <c r="AS1126">
        <v>7211.4</v>
      </c>
    </row>
    <row r="1127" spans="1:46" hidden="1">
      <c r="A1127" t="s">
        <v>14</v>
      </c>
      <c r="B1127" t="s">
        <v>640</v>
      </c>
      <c r="C1127" t="s">
        <v>710</v>
      </c>
      <c r="D1127" t="s">
        <v>480</v>
      </c>
      <c r="E1127" t="s">
        <v>207</v>
      </c>
      <c r="F1127" t="s">
        <v>481</v>
      </c>
      <c r="G1127" t="s">
        <v>482</v>
      </c>
      <c r="H1127">
        <v>2</v>
      </c>
      <c r="I1127">
        <v>0</v>
      </c>
      <c r="AQ1127">
        <v>2</v>
      </c>
      <c r="AR1127">
        <v>1272.5999999999999</v>
      </c>
      <c r="AS1127">
        <v>2545.1999999999998</v>
      </c>
    </row>
    <row r="1128" spans="1:46" hidden="1">
      <c r="A1128" t="s">
        <v>14</v>
      </c>
      <c r="B1128" t="s">
        <v>640</v>
      </c>
      <c r="C1128" t="s">
        <v>711</v>
      </c>
      <c r="D1128" t="s">
        <v>488</v>
      </c>
      <c r="E1128" t="s">
        <v>207</v>
      </c>
      <c r="F1128" t="s">
        <v>489</v>
      </c>
      <c r="G1128" t="s">
        <v>490</v>
      </c>
      <c r="H1128">
        <v>21000</v>
      </c>
      <c r="I1128">
        <v>0</v>
      </c>
      <c r="AQ1128">
        <v>21000</v>
      </c>
      <c r="AR1128">
        <v>0.5353</v>
      </c>
      <c r="AS1128">
        <v>11241.3</v>
      </c>
    </row>
    <row r="1129" spans="1:46" hidden="1">
      <c r="A1129" t="s">
        <v>14</v>
      </c>
      <c r="B1129" t="s">
        <v>640</v>
      </c>
      <c r="C1129" t="s">
        <v>712</v>
      </c>
      <c r="D1129" t="s">
        <v>483</v>
      </c>
      <c r="E1129" t="s">
        <v>207</v>
      </c>
      <c r="F1129" t="s">
        <v>484</v>
      </c>
      <c r="G1129" t="s">
        <v>392</v>
      </c>
      <c r="H1129">
        <v>1</v>
      </c>
      <c r="I1129">
        <v>0</v>
      </c>
      <c r="AQ1129">
        <v>1</v>
      </c>
      <c r="AR1129">
        <v>2121</v>
      </c>
      <c r="AS1129">
        <v>2121</v>
      </c>
    </row>
    <row r="1130" spans="1:46" hidden="1">
      <c r="A1130" t="s">
        <v>14</v>
      </c>
      <c r="B1130" t="s">
        <v>640</v>
      </c>
      <c r="C1130" t="s">
        <v>713</v>
      </c>
      <c r="D1130" t="s">
        <v>485</v>
      </c>
      <c r="E1130" t="s">
        <v>207</v>
      </c>
      <c r="F1130" t="s">
        <v>486</v>
      </c>
      <c r="G1130" t="s">
        <v>487</v>
      </c>
      <c r="H1130">
        <v>7</v>
      </c>
      <c r="I1130">
        <v>0</v>
      </c>
      <c r="AQ1130">
        <v>7</v>
      </c>
      <c r="AR1130">
        <v>265.125</v>
      </c>
      <c r="AS1130">
        <v>1855.875</v>
      </c>
      <c r="AT1130" t="s">
        <v>756</v>
      </c>
    </row>
    <row r="1131" spans="1:46" hidden="1">
      <c r="A1131" t="s">
        <v>14</v>
      </c>
      <c r="B1131" t="s">
        <v>640</v>
      </c>
      <c r="C1131" t="s">
        <v>229</v>
      </c>
      <c r="D1131" t="s">
        <v>230</v>
      </c>
      <c r="E1131" t="s">
        <v>231</v>
      </c>
      <c r="F1131" t="s">
        <v>232</v>
      </c>
      <c r="G1131" t="s">
        <v>233</v>
      </c>
      <c r="H1131">
        <v>24</v>
      </c>
      <c r="I1131">
        <v>26</v>
      </c>
      <c r="AQ1131">
        <v>50</v>
      </c>
      <c r="AR1131">
        <v>1484.7</v>
      </c>
      <c r="AS1131">
        <v>74235</v>
      </c>
      <c r="AT1131" t="s">
        <v>756</v>
      </c>
    </row>
    <row r="1132" spans="1:46" hidden="1">
      <c r="A1132" t="s">
        <v>14</v>
      </c>
      <c r="B1132" t="s">
        <v>640</v>
      </c>
      <c r="C1132" t="s">
        <v>234</v>
      </c>
      <c r="D1132" t="s">
        <v>230</v>
      </c>
      <c r="E1132" t="s">
        <v>231</v>
      </c>
      <c r="F1132" t="s">
        <v>285</v>
      </c>
      <c r="G1132" t="s">
        <v>233</v>
      </c>
      <c r="H1132">
        <v>26</v>
      </c>
      <c r="I1132">
        <v>0</v>
      </c>
      <c r="AQ1132">
        <v>26</v>
      </c>
      <c r="AR1132">
        <v>1696.8</v>
      </c>
      <c r="AS1132">
        <v>44116.800000000003</v>
      </c>
      <c r="AT1132" t="s">
        <v>756</v>
      </c>
    </row>
    <row r="1133" spans="1:46" hidden="1">
      <c r="A1133" t="s">
        <v>14</v>
      </c>
      <c r="B1133" t="s">
        <v>640</v>
      </c>
      <c r="C1133" t="s">
        <v>714</v>
      </c>
      <c r="D1133" t="s">
        <v>230</v>
      </c>
      <c r="E1133" t="s">
        <v>231</v>
      </c>
      <c r="F1133" t="s">
        <v>491</v>
      </c>
      <c r="G1133" t="s">
        <v>233</v>
      </c>
      <c r="H1133">
        <v>0</v>
      </c>
      <c r="I1133">
        <v>0</v>
      </c>
      <c r="AQ1133">
        <v>0</v>
      </c>
      <c r="AR1133">
        <v>1908.9</v>
      </c>
      <c r="AS1133">
        <v>0</v>
      </c>
      <c r="AT1133" t="s">
        <v>756</v>
      </c>
    </row>
    <row r="1134" spans="1:46" hidden="1">
      <c r="A1134" t="s">
        <v>14</v>
      </c>
      <c r="B1134" t="s">
        <v>640</v>
      </c>
      <c r="C1134" t="s">
        <v>236</v>
      </c>
      <c r="D1134" t="s">
        <v>237</v>
      </c>
      <c r="E1134" t="s">
        <v>231</v>
      </c>
      <c r="F1134" t="s">
        <v>238</v>
      </c>
      <c r="G1134" t="s">
        <v>239</v>
      </c>
      <c r="H1134">
        <v>0</v>
      </c>
      <c r="I1134">
        <v>0</v>
      </c>
      <c r="AQ1134">
        <v>0</v>
      </c>
      <c r="AR1134">
        <v>265.125</v>
      </c>
      <c r="AS1134">
        <v>0</v>
      </c>
      <c r="AT1134" t="s">
        <v>756</v>
      </c>
    </row>
    <row r="1135" spans="1:46" hidden="1">
      <c r="A1135" t="s">
        <v>14</v>
      </c>
      <c r="B1135" t="s">
        <v>640</v>
      </c>
      <c r="C1135" t="s">
        <v>715</v>
      </c>
      <c r="D1135" t="s">
        <v>492</v>
      </c>
      <c r="E1135" t="s">
        <v>231</v>
      </c>
      <c r="F1135" t="s">
        <v>493</v>
      </c>
      <c r="G1135" t="s">
        <v>494</v>
      </c>
      <c r="H1135">
        <v>8</v>
      </c>
      <c r="I1135">
        <v>0</v>
      </c>
      <c r="AQ1135">
        <v>8</v>
      </c>
      <c r="AR1135">
        <v>742.35</v>
      </c>
      <c r="AS1135">
        <v>5938.8</v>
      </c>
      <c r="AT1135" t="s">
        <v>756</v>
      </c>
    </row>
    <row r="1136" spans="1:46" hidden="1">
      <c r="A1136" t="s">
        <v>14</v>
      </c>
      <c r="B1136" t="s">
        <v>640</v>
      </c>
      <c r="C1136" t="s">
        <v>716</v>
      </c>
      <c r="D1136" t="s">
        <v>495</v>
      </c>
      <c r="E1136" t="s">
        <v>231</v>
      </c>
      <c r="F1136" t="s">
        <v>496</v>
      </c>
      <c r="G1136" t="s">
        <v>497</v>
      </c>
      <c r="H1136">
        <v>0</v>
      </c>
      <c r="I1136">
        <v>0</v>
      </c>
      <c r="AQ1136">
        <v>0</v>
      </c>
      <c r="AR1136">
        <v>848.4</v>
      </c>
      <c r="AS1136">
        <v>0</v>
      </c>
    </row>
    <row r="1137" spans="1:46" hidden="1">
      <c r="A1137" t="s">
        <v>14</v>
      </c>
      <c r="B1137" t="s">
        <v>640</v>
      </c>
      <c r="C1137" t="s">
        <v>717</v>
      </c>
      <c r="D1137" t="s">
        <v>498</v>
      </c>
      <c r="E1137" t="s">
        <v>242</v>
      </c>
      <c r="F1137" t="s">
        <v>499</v>
      </c>
      <c r="G1137" t="s">
        <v>500</v>
      </c>
      <c r="H1137">
        <v>200000</v>
      </c>
      <c r="I1137">
        <v>47600</v>
      </c>
      <c r="AQ1137">
        <v>247600</v>
      </c>
      <c r="AR1137">
        <v>1.4341999999999999</v>
      </c>
      <c r="AS1137">
        <v>355107.92</v>
      </c>
    </row>
    <row r="1138" spans="1:46" hidden="1">
      <c r="A1138" t="s">
        <v>14</v>
      </c>
      <c r="B1138" t="s">
        <v>640</v>
      </c>
      <c r="C1138" t="s">
        <v>718</v>
      </c>
      <c r="D1138" t="s">
        <v>504</v>
      </c>
      <c r="E1138" t="s">
        <v>242</v>
      </c>
      <c r="F1138" t="s">
        <v>505</v>
      </c>
      <c r="G1138" t="s">
        <v>506</v>
      </c>
      <c r="H1138">
        <v>93075</v>
      </c>
      <c r="I1138">
        <v>11800</v>
      </c>
      <c r="AQ1138">
        <v>104875</v>
      </c>
      <c r="AR1138">
        <v>0.84840000000000004</v>
      </c>
      <c r="AS1138">
        <v>88975.95</v>
      </c>
    </row>
    <row r="1139" spans="1:46" hidden="1">
      <c r="A1139" t="s">
        <v>14</v>
      </c>
      <c r="B1139" t="s">
        <v>640</v>
      </c>
      <c r="C1139" t="s">
        <v>719</v>
      </c>
      <c r="D1139" t="s">
        <v>501</v>
      </c>
      <c r="E1139" t="s">
        <v>242</v>
      </c>
      <c r="F1139" t="s">
        <v>502</v>
      </c>
      <c r="G1139" t="s">
        <v>503</v>
      </c>
      <c r="H1139">
        <v>0</v>
      </c>
      <c r="I1139">
        <v>0</v>
      </c>
      <c r="AQ1139">
        <v>0</v>
      </c>
      <c r="AR1139">
        <v>1272.5999999999999</v>
      </c>
      <c r="AS1139">
        <v>0</v>
      </c>
    </row>
    <row r="1140" spans="1:46" hidden="1">
      <c r="A1140" t="s">
        <v>14</v>
      </c>
      <c r="B1140" t="s">
        <v>640</v>
      </c>
      <c r="C1140" t="s">
        <v>720</v>
      </c>
      <c r="D1140" t="s">
        <v>518</v>
      </c>
      <c r="E1140" t="s">
        <v>242</v>
      </c>
      <c r="F1140" t="s">
        <v>519</v>
      </c>
      <c r="G1140" t="s">
        <v>517</v>
      </c>
      <c r="H1140">
        <v>1</v>
      </c>
      <c r="I1140">
        <v>0</v>
      </c>
      <c r="AQ1140">
        <v>1</v>
      </c>
      <c r="AR1140">
        <v>3181.5</v>
      </c>
      <c r="AS1140">
        <v>3181.5</v>
      </c>
    </row>
    <row r="1141" spans="1:46" hidden="1">
      <c r="A1141" t="s">
        <v>14</v>
      </c>
      <c r="B1141" t="s">
        <v>640</v>
      </c>
      <c r="C1141" t="s">
        <v>721</v>
      </c>
      <c r="D1141" t="s">
        <v>520</v>
      </c>
      <c r="E1141" t="s">
        <v>242</v>
      </c>
      <c r="F1141" t="s">
        <v>521</v>
      </c>
      <c r="G1141" t="s">
        <v>517</v>
      </c>
      <c r="H1141">
        <v>0</v>
      </c>
      <c r="I1141">
        <v>0</v>
      </c>
      <c r="AQ1141">
        <v>0</v>
      </c>
      <c r="AR1141">
        <v>2651.25</v>
      </c>
      <c r="AS1141">
        <v>0</v>
      </c>
    </row>
    <row r="1142" spans="1:46" hidden="1">
      <c r="A1142" t="s">
        <v>14</v>
      </c>
      <c r="B1142" t="s">
        <v>640</v>
      </c>
      <c r="C1142" t="s">
        <v>240</v>
      </c>
      <c r="D1142" t="s">
        <v>241</v>
      </c>
      <c r="E1142" t="s">
        <v>242</v>
      </c>
      <c r="F1142" t="s">
        <v>243</v>
      </c>
      <c r="G1142" t="s">
        <v>244</v>
      </c>
      <c r="H1142">
        <v>11</v>
      </c>
      <c r="I1142">
        <v>23</v>
      </c>
      <c r="AQ1142">
        <v>34</v>
      </c>
      <c r="AR1142">
        <v>318.14999999999998</v>
      </c>
      <c r="AS1142">
        <v>10817.1</v>
      </c>
      <c r="AT1142" t="s">
        <v>757</v>
      </c>
    </row>
    <row r="1143" spans="1:46" hidden="1">
      <c r="A1143" t="s">
        <v>14</v>
      </c>
      <c r="B1143" t="s">
        <v>640</v>
      </c>
      <c r="C1143" t="s">
        <v>245</v>
      </c>
      <c r="D1143" t="s">
        <v>246</v>
      </c>
      <c r="E1143" t="s">
        <v>242</v>
      </c>
      <c r="F1143" t="s">
        <v>247</v>
      </c>
      <c r="G1143" t="s">
        <v>248</v>
      </c>
      <c r="H1143">
        <v>25</v>
      </c>
      <c r="I1143">
        <v>8</v>
      </c>
      <c r="AQ1143">
        <v>33</v>
      </c>
      <c r="AR1143">
        <v>265.125</v>
      </c>
      <c r="AS1143">
        <v>8749.125</v>
      </c>
      <c r="AT1143" t="s">
        <v>757</v>
      </c>
    </row>
    <row r="1144" spans="1:46" hidden="1">
      <c r="A1144" t="s">
        <v>14</v>
      </c>
      <c r="B1144" t="s">
        <v>640</v>
      </c>
      <c r="C1144" t="s">
        <v>259</v>
      </c>
      <c r="D1144" t="s">
        <v>260</v>
      </c>
      <c r="E1144" t="s">
        <v>242</v>
      </c>
      <c r="F1144" t="s">
        <v>261</v>
      </c>
      <c r="G1144" t="s">
        <v>262</v>
      </c>
      <c r="H1144">
        <v>29</v>
      </c>
      <c r="I1144">
        <v>22</v>
      </c>
      <c r="AQ1144">
        <v>51</v>
      </c>
      <c r="AR1144">
        <v>318.14999999999998</v>
      </c>
      <c r="AS1144">
        <v>16225.65</v>
      </c>
    </row>
    <row r="1145" spans="1:46" hidden="1">
      <c r="A1145" t="s">
        <v>14</v>
      </c>
      <c r="B1145" t="s">
        <v>640</v>
      </c>
      <c r="C1145" t="s">
        <v>722</v>
      </c>
      <c r="D1145" t="s">
        <v>507</v>
      </c>
      <c r="E1145" t="s">
        <v>242</v>
      </c>
      <c r="F1145" t="s">
        <v>508</v>
      </c>
      <c r="G1145" t="s">
        <v>509</v>
      </c>
      <c r="H1145">
        <v>2</v>
      </c>
      <c r="I1145">
        <v>0</v>
      </c>
      <c r="AQ1145">
        <v>2</v>
      </c>
      <c r="AR1145">
        <v>2121</v>
      </c>
      <c r="AS1145">
        <v>4242</v>
      </c>
    </row>
    <row r="1146" spans="1:46" hidden="1">
      <c r="A1146" t="s">
        <v>14</v>
      </c>
      <c r="B1146" t="s">
        <v>640</v>
      </c>
      <c r="C1146" t="s">
        <v>723</v>
      </c>
      <c r="D1146" t="s">
        <v>510</v>
      </c>
      <c r="E1146" t="s">
        <v>242</v>
      </c>
      <c r="F1146" t="s">
        <v>511</v>
      </c>
      <c r="G1146" t="s">
        <v>512</v>
      </c>
      <c r="H1146">
        <v>8</v>
      </c>
      <c r="I1146">
        <v>19</v>
      </c>
      <c r="AQ1146">
        <v>27</v>
      </c>
      <c r="AR1146">
        <v>212.1</v>
      </c>
      <c r="AS1146">
        <v>5726.7</v>
      </c>
    </row>
    <row r="1147" spans="1:46" hidden="1">
      <c r="A1147" t="s">
        <v>14</v>
      </c>
      <c r="B1147" t="s">
        <v>640</v>
      </c>
      <c r="C1147" t="s">
        <v>724</v>
      </c>
      <c r="D1147" t="s">
        <v>526</v>
      </c>
      <c r="E1147" t="s">
        <v>242</v>
      </c>
      <c r="F1147" t="s">
        <v>527</v>
      </c>
      <c r="G1147" t="s">
        <v>528</v>
      </c>
      <c r="H1147">
        <v>0</v>
      </c>
      <c r="I1147">
        <v>0</v>
      </c>
      <c r="AQ1147">
        <v>0</v>
      </c>
      <c r="AR1147">
        <v>0.42420000000000002</v>
      </c>
      <c r="AS1147">
        <v>0</v>
      </c>
    </row>
    <row r="1148" spans="1:46" hidden="1">
      <c r="A1148" t="s">
        <v>14</v>
      </c>
      <c r="B1148" t="s">
        <v>640</v>
      </c>
      <c r="C1148" t="s">
        <v>725</v>
      </c>
      <c r="D1148" t="s">
        <v>529</v>
      </c>
      <c r="E1148" t="s">
        <v>242</v>
      </c>
      <c r="F1148" t="s">
        <v>530</v>
      </c>
      <c r="G1148" t="s">
        <v>531</v>
      </c>
      <c r="H1148">
        <v>1</v>
      </c>
      <c r="I1148">
        <v>0</v>
      </c>
      <c r="AQ1148">
        <v>1</v>
      </c>
      <c r="AR1148">
        <v>212.1</v>
      </c>
      <c r="AS1148">
        <v>212.1</v>
      </c>
    </row>
    <row r="1149" spans="1:46" hidden="1">
      <c r="A1149" t="s">
        <v>14</v>
      </c>
      <c r="B1149" t="s">
        <v>640</v>
      </c>
      <c r="C1149" t="s">
        <v>726</v>
      </c>
      <c r="D1149" t="s">
        <v>532</v>
      </c>
      <c r="E1149" t="s">
        <v>242</v>
      </c>
      <c r="F1149" t="s">
        <v>533</v>
      </c>
      <c r="G1149" t="s">
        <v>534</v>
      </c>
      <c r="H1149">
        <v>0</v>
      </c>
      <c r="I1149">
        <v>0</v>
      </c>
      <c r="AQ1149">
        <v>0</v>
      </c>
      <c r="AR1149">
        <v>21.21</v>
      </c>
      <c r="AS1149">
        <v>0</v>
      </c>
    </row>
    <row r="1150" spans="1:46" hidden="1">
      <c r="A1150" t="s">
        <v>14</v>
      </c>
      <c r="B1150" t="s">
        <v>640</v>
      </c>
      <c r="C1150" t="s">
        <v>727</v>
      </c>
      <c r="D1150" t="s">
        <v>287</v>
      </c>
      <c r="E1150" t="s">
        <v>242</v>
      </c>
      <c r="F1150" t="s">
        <v>537</v>
      </c>
      <c r="G1150" t="s">
        <v>538</v>
      </c>
      <c r="H1150">
        <v>0</v>
      </c>
      <c r="I1150">
        <v>0</v>
      </c>
      <c r="AQ1150">
        <v>0</v>
      </c>
      <c r="AR1150">
        <v>127.26</v>
      </c>
      <c r="AS1150">
        <v>0</v>
      </c>
    </row>
    <row r="1151" spans="1:46" hidden="1">
      <c r="A1151" t="s">
        <v>14</v>
      </c>
      <c r="B1151" t="s">
        <v>640</v>
      </c>
      <c r="C1151" t="s">
        <v>728</v>
      </c>
      <c r="D1151" t="s">
        <v>287</v>
      </c>
      <c r="E1151" t="s">
        <v>242</v>
      </c>
      <c r="F1151" t="s">
        <v>535</v>
      </c>
      <c r="G1151" t="s">
        <v>536</v>
      </c>
      <c r="H1151">
        <v>0</v>
      </c>
      <c r="I1151">
        <v>0</v>
      </c>
      <c r="AQ1151">
        <v>0</v>
      </c>
      <c r="AR1151">
        <v>424.2</v>
      </c>
      <c r="AS1151">
        <v>0</v>
      </c>
    </row>
    <row r="1152" spans="1:46" hidden="1">
      <c r="A1152" t="s">
        <v>14</v>
      </c>
      <c r="B1152" t="s">
        <v>640</v>
      </c>
      <c r="C1152" t="s">
        <v>729</v>
      </c>
      <c r="D1152" t="s">
        <v>522</v>
      </c>
      <c r="E1152" t="s">
        <v>242</v>
      </c>
      <c r="F1152" t="s">
        <v>523</v>
      </c>
      <c r="G1152" t="s">
        <v>517</v>
      </c>
      <c r="H1152">
        <v>2</v>
      </c>
      <c r="I1152">
        <v>0</v>
      </c>
      <c r="AQ1152">
        <v>2</v>
      </c>
      <c r="AR1152">
        <v>1272.5999999999999</v>
      </c>
      <c r="AS1152">
        <v>2545.1999999999998</v>
      </c>
    </row>
    <row r="1153" spans="1:45" hidden="1">
      <c r="A1153" t="s">
        <v>14</v>
      </c>
      <c r="B1153" t="s">
        <v>640</v>
      </c>
      <c r="C1153" t="s">
        <v>730</v>
      </c>
      <c r="D1153" t="s">
        <v>515</v>
      </c>
      <c r="E1153" t="s">
        <v>242</v>
      </c>
      <c r="F1153" t="s">
        <v>516</v>
      </c>
      <c r="G1153" t="s">
        <v>517</v>
      </c>
      <c r="H1153">
        <v>2</v>
      </c>
      <c r="I1153">
        <v>0</v>
      </c>
      <c r="AQ1153">
        <v>2</v>
      </c>
      <c r="AR1153">
        <v>3181.5</v>
      </c>
      <c r="AS1153">
        <v>6363</v>
      </c>
    </row>
    <row r="1154" spans="1:45" hidden="1">
      <c r="A1154" t="s">
        <v>14</v>
      </c>
      <c r="B1154" t="s">
        <v>640</v>
      </c>
      <c r="C1154" t="s">
        <v>731</v>
      </c>
      <c r="D1154" t="s">
        <v>524</v>
      </c>
      <c r="E1154" t="s">
        <v>242</v>
      </c>
      <c r="F1154" t="s">
        <v>525</v>
      </c>
      <c r="G1154" t="s">
        <v>503</v>
      </c>
      <c r="H1154">
        <v>2</v>
      </c>
      <c r="I1154">
        <v>0</v>
      </c>
      <c r="AQ1154">
        <v>2</v>
      </c>
      <c r="AR1154">
        <v>15907.5</v>
      </c>
      <c r="AS1154">
        <v>31815</v>
      </c>
    </row>
    <row r="1155" spans="1:45" hidden="1">
      <c r="A1155" t="s">
        <v>14</v>
      </c>
      <c r="B1155" t="s">
        <v>640</v>
      </c>
      <c r="C1155" t="s">
        <v>732</v>
      </c>
      <c r="D1155" t="s">
        <v>513</v>
      </c>
      <c r="E1155" t="s">
        <v>242</v>
      </c>
      <c r="F1155" t="s">
        <v>514</v>
      </c>
      <c r="G1155" t="s">
        <v>453</v>
      </c>
      <c r="H1155">
        <v>2</v>
      </c>
      <c r="I1155">
        <v>0</v>
      </c>
      <c r="AQ1155">
        <v>2</v>
      </c>
      <c r="AR1155">
        <v>848.4</v>
      </c>
      <c r="AS1155">
        <v>1696.8</v>
      </c>
    </row>
    <row r="1156" spans="1:45" hidden="1">
      <c r="A1156" t="s">
        <v>14</v>
      </c>
      <c r="B1156" t="s">
        <v>640</v>
      </c>
      <c r="C1156" t="s">
        <v>733</v>
      </c>
      <c r="D1156" t="s">
        <v>287</v>
      </c>
      <c r="E1156" t="s">
        <v>242</v>
      </c>
      <c r="F1156" t="s">
        <v>539</v>
      </c>
      <c r="G1156" t="s">
        <v>540</v>
      </c>
      <c r="H1156">
        <v>80000</v>
      </c>
      <c r="I1156">
        <v>40000</v>
      </c>
      <c r="AQ1156">
        <v>120000</v>
      </c>
      <c r="AR1156">
        <v>8.08</v>
      </c>
      <c r="AS1156">
        <v>969600</v>
      </c>
    </row>
    <row r="1157" spans="1:45" hidden="1">
      <c r="A1157" t="s">
        <v>14</v>
      </c>
      <c r="B1157" t="s">
        <v>640</v>
      </c>
      <c r="C1157" t="s">
        <v>734</v>
      </c>
      <c r="D1157" t="s">
        <v>287</v>
      </c>
      <c r="E1157" t="s">
        <v>242</v>
      </c>
      <c r="F1157" t="s">
        <v>541</v>
      </c>
      <c r="G1157" t="s">
        <v>540</v>
      </c>
      <c r="H1157">
        <v>80000</v>
      </c>
      <c r="I1157">
        <v>40000</v>
      </c>
      <c r="AQ1157">
        <v>120000</v>
      </c>
      <c r="AR1157">
        <v>7.4740000000000002</v>
      </c>
      <c r="AS1157">
        <v>896880</v>
      </c>
    </row>
    <row r="1158" spans="1:45" hidden="1">
      <c r="A1158" t="s">
        <v>14</v>
      </c>
      <c r="B1158" t="s">
        <v>640</v>
      </c>
      <c r="C1158" t="s">
        <v>735</v>
      </c>
      <c r="D1158" t="s">
        <v>543</v>
      </c>
      <c r="E1158" t="s">
        <v>542</v>
      </c>
      <c r="F1158" t="s">
        <v>544</v>
      </c>
      <c r="G1158" t="s">
        <v>545</v>
      </c>
      <c r="H1158">
        <v>0</v>
      </c>
      <c r="I1158">
        <v>0</v>
      </c>
      <c r="AQ1158">
        <v>0</v>
      </c>
      <c r="AR1158">
        <v>0</v>
      </c>
      <c r="AS1158">
        <v>0</v>
      </c>
    </row>
    <row r="1159" spans="1:45" hidden="1">
      <c r="A1159" t="s">
        <v>14</v>
      </c>
      <c r="B1159" t="s">
        <v>640</v>
      </c>
      <c r="C1159" t="s">
        <v>286</v>
      </c>
      <c r="D1159" t="s">
        <v>287</v>
      </c>
      <c r="E1159" t="s">
        <v>288</v>
      </c>
      <c r="F1159" t="s">
        <v>289</v>
      </c>
      <c r="G1159" t="s">
        <v>547</v>
      </c>
      <c r="AQ1159">
        <v>0</v>
      </c>
      <c r="AR1159">
        <v>0.05</v>
      </c>
      <c r="AS1159">
        <v>270986.88019</v>
      </c>
    </row>
    <row r="1160" spans="1:45" hidden="1">
      <c r="A1160" t="s">
        <v>14</v>
      </c>
      <c r="B1160" t="s">
        <v>640</v>
      </c>
      <c r="C1160" t="s">
        <v>291</v>
      </c>
      <c r="D1160" t="s">
        <v>287</v>
      </c>
      <c r="E1160" t="s">
        <v>288</v>
      </c>
      <c r="F1160" t="s">
        <v>292</v>
      </c>
      <c r="G1160" t="s">
        <v>293</v>
      </c>
      <c r="AQ1160">
        <v>0</v>
      </c>
      <c r="AR1160">
        <v>6.0600000000000001E-2</v>
      </c>
      <c r="AS1160">
        <v>0</v>
      </c>
    </row>
    <row r="1161" spans="1:45" hidden="1">
      <c r="A1161" t="s">
        <v>14</v>
      </c>
      <c r="B1161" t="s">
        <v>640</v>
      </c>
      <c r="C1161" t="s">
        <v>736</v>
      </c>
      <c r="D1161" t="s">
        <v>287</v>
      </c>
      <c r="E1161" t="s">
        <v>288</v>
      </c>
      <c r="F1161" t="s">
        <v>550</v>
      </c>
      <c r="G1161" t="s">
        <v>293</v>
      </c>
      <c r="AQ1161">
        <v>0</v>
      </c>
      <c r="AR1161">
        <v>5.0500000000000003E-2</v>
      </c>
      <c r="AS1161">
        <v>0</v>
      </c>
    </row>
    <row r="1162" spans="1:45" hidden="1">
      <c r="A1162" t="s">
        <v>14</v>
      </c>
      <c r="B1162" t="s">
        <v>640</v>
      </c>
      <c r="C1162" t="s">
        <v>737</v>
      </c>
      <c r="D1162" t="s">
        <v>287</v>
      </c>
      <c r="E1162" t="s">
        <v>288</v>
      </c>
      <c r="F1162" t="s">
        <v>548</v>
      </c>
      <c r="G1162" t="s">
        <v>293</v>
      </c>
      <c r="AQ1162">
        <v>0</v>
      </c>
      <c r="AR1162">
        <v>0.1111</v>
      </c>
      <c r="AS1162">
        <v>0</v>
      </c>
    </row>
    <row r="1163" spans="1:45" hidden="1">
      <c r="A1163" t="s">
        <v>14</v>
      </c>
      <c r="B1163" t="s">
        <v>640</v>
      </c>
      <c r="C1163" t="s">
        <v>738</v>
      </c>
      <c r="D1163" t="s">
        <v>287</v>
      </c>
      <c r="E1163" t="s">
        <v>288</v>
      </c>
      <c r="F1163" t="s">
        <v>549</v>
      </c>
      <c r="G1163" t="s">
        <v>293</v>
      </c>
      <c r="AQ1163">
        <v>0</v>
      </c>
      <c r="AR1163">
        <v>0.10100000000000001</v>
      </c>
      <c r="AS1163">
        <v>0</v>
      </c>
    </row>
    <row r="1164" spans="1:45" hidden="1">
      <c r="A1164" t="s">
        <v>16</v>
      </c>
      <c r="B1164" t="s">
        <v>758</v>
      </c>
      <c r="C1164" t="s">
        <v>641</v>
      </c>
      <c r="D1164" t="s">
        <v>324</v>
      </c>
      <c r="E1164" t="s">
        <v>323</v>
      </c>
      <c r="F1164" t="s">
        <v>325</v>
      </c>
      <c r="G1164" t="s">
        <v>326</v>
      </c>
      <c r="AQ1164">
        <v>0</v>
      </c>
      <c r="AR1164">
        <v>1.35E-2</v>
      </c>
      <c r="AS1164">
        <v>0</v>
      </c>
    </row>
    <row r="1165" spans="1:45" hidden="1">
      <c r="A1165" t="s">
        <v>16</v>
      </c>
      <c r="B1165" t="s">
        <v>758</v>
      </c>
      <c r="C1165" t="s">
        <v>642</v>
      </c>
      <c r="D1165" t="s">
        <v>327</v>
      </c>
      <c r="E1165" t="s">
        <v>323</v>
      </c>
      <c r="F1165" t="s">
        <v>328</v>
      </c>
      <c r="G1165" t="s">
        <v>329</v>
      </c>
      <c r="AQ1165">
        <v>0</v>
      </c>
      <c r="AR1165">
        <v>5.9330000000000001E-2</v>
      </c>
      <c r="AS1165">
        <v>0</v>
      </c>
    </row>
    <row r="1166" spans="1:45" hidden="1">
      <c r="A1166" t="s">
        <v>16</v>
      </c>
      <c r="B1166" t="s">
        <v>758</v>
      </c>
      <c r="C1166" t="s">
        <v>643</v>
      </c>
      <c r="D1166" t="s">
        <v>330</v>
      </c>
      <c r="E1166" t="s">
        <v>323</v>
      </c>
      <c r="F1166" t="s">
        <v>331</v>
      </c>
      <c r="G1166" t="s">
        <v>740</v>
      </c>
      <c r="AQ1166">
        <v>0</v>
      </c>
      <c r="AR1166">
        <v>0.1</v>
      </c>
      <c r="AS1166">
        <v>0</v>
      </c>
    </row>
    <row r="1167" spans="1:45" hidden="1">
      <c r="A1167" t="s">
        <v>16</v>
      </c>
      <c r="B1167" t="s">
        <v>758</v>
      </c>
      <c r="C1167" t="s">
        <v>644</v>
      </c>
      <c r="D1167" t="s">
        <v>332</v>
      </c>
      <c r="E1167" t="s">
        <v>323</v>
      </c>
      <c r="F1167" t="s">
        <v>333</v>
      </c>
      <c r="G1167" t="s">
        <v>740</v>
      </c>
      <c r="AQ1167">
        <v>0</v>
      </c>
      <c r="AR1167">
        <v>0.125</v>
      </c>
      <c r="AS1167">
        <v>0</v>
      </c>
    </row>
    <row r="1168" spans="1:45" hidden="1">
      <c r="A1168" t="s">
        <v>16</v>
      </c>
      <c r="B1168" t="s">
        <v>758</v>
      </c>
      <c r="C1168" t="s">
        <v>645</v>
      </c>
      <c r="D1168" t="s">
        <v>334</v>
      </c>
      <c r="E1168" t="s">
        <v>323</v>
      </c>
      <c r="F1168" t="s">
        <v>335</v>
      </c>
      <c r="G1168" t="s">
        <v>329</v>
      </c>
      <c r="AQ1168">
        <v>0</v>
      </c>
      <c r="AR1168">
        <v>0.28000000000000003</v>
      </c>
    </row>
    <row r="1169" spans="1:45" hidden="1">
      <c r="A1169" t="s">
        <v>16</v>
      </c>
      <c r="B1169" t="s">
        <v>758</v>
      </c>
      <c r="C1169" t="s">
        <v>646</v>
      </c>
      <c r="D1169" t="s">
        <v>137</v>
      </c>
      <c r="E1169" t="s">
        <v>138</v>
      </c>
      <c r="F1169" t="s">
        <v>337</v>
      </c>
      <c r="G1169" t="s">
        <v>140</v>
      </c>
      <c r="H1169">
        <v>0</v>
      </c>
      <c r="I1169">
        <v>0</v>
      </c>
      <c r="J1169">
        <v>1</v>
      </c>
      <c r="K1169">
        <v>0</v>
      </c>
      <c r="AQ1169">
        <v>1</v>
      </c>
      <c r="AR1169">
        <v>212.1</v>
      </c>
      <c r="AS1169">
        <v>212.1</v>
      </c>
    </row>
    <row r="1170" spans="1:45" hidden="1">
      <c r="A1170" t="s">
        <v>16</v>
      </c>
      <c r="B1170" t="s">
        <v>758</v>
      </c>
      <c r="C1170" t="s">
        <v>136</v>
      </c>
      <c r="D1170" t="s">
        <v>137</v>
      </c>
      <c r="E1170" t="s">
        <v>138</v>
      </c>
      <c r="F1170" t="s">
        <v>139</v>
      </c>
      <c r="G1170" t="s">
        <v>140</v>
      </c>
      <c r="H1170">
        <v>4</v>
      </c>
      <c r="I1170">
        <v>0</v>
      </c>
      <c r="J1170">
        <v>0</v>
      </c>
      <c r="K1170">
        <v>3</v>
      </c>
      <c r="L1170">
        <v>7</v>
      </c>
      <c r="M1170">
        <v>6</v>
      </c>
      <c r="AQ1170">
        <v>20</v>
      </c>
      <c r="AR1170">
        <v>1696.8</v>
      </c>
      <c r="AS1170">
        <v>33936</v>
      </c>
    </row>
    <row r="1171" spans="1:45" hidden="1">
      <c r="A1171" t="s">
        <v>16</v>
      </c>
      <c r="B1171" t="s">
        <v>758</v>
      </c>
      <c r="C1171" t="s">
        <v>143</v>
      </c>
      <c r="D1171" t="s">
        <v>137</v>
      </c>
      <c r="E1171" t="s">
        <v>138</v>
      </c>
      <c r="F1171" t="s">
        <v>277</v>
      </c>
      <c r="G1171" t="s">
        <v>140</v>
      </c>
      <c r="H1171">
        <v>1</v>
      </c>
      <c r="I1171">
        <v>0</v>
      </c>
      <c r="J1171">
        <v>2</v>
      </c>
      <c r="K1171">
        <v>0</v>
      </c>
      <c r="AQ1171">
        <v>3</v>
      </c>
      <c r="AR1171">
        <v>3923.85</v>
      </c>
      <c r="AS1171">
        <v>11771.55</v>
      </c>
    </row>
    <row r="1172" spans="1:45" hidden="1">
      <c r="A1172" t="s">
        <v>16</v>
      </c>
      <c r="B1172" t="s">
        <v>758</v>
      </c>
      <c r="C1172" t="s">
        <v>647</v>
      </c>
      <c r="D1172" t="s">
        <v>137</v>
      </c>
      <c r="E1172" t="s">
        <v>138</v>
      </c>
      <c r="F1172" t="s">
        <v>338</v>
      </c>
      <c r="G1172" t="s">
        <v>140</v>
      </c>
      <c r="H1172">
        <v>4</v>
      </c>
      <c r="I1172">
        <v>0</v>
      </c>
      <c r="J1172">
        <v>0</v>
      </c>
      <c r="K1172">
        <v>1</v>
      </c>
      <c r="AQ1172">
        <v>5</v>
      </c>
      <c r="AR1172">
        <v>6893.25</v>
      </c>
      <c r="AS1172">
        <v>34466.25</v>
      </c>
    </row>
    <row r="1173" spans="1:45" hidden="1">
      <c r="A1173" t="s">
        <v>16</v>
      </c>
      <c r="B1173" t="s">
        <v>758</v>
      </c>
      <c r="C1173" t="s">
        <v>648</v>
      </c>
      <c r="D1173" t="s">
        <v>342</v>
      </c>
      <c r="E1173" t="s">
        <v>138</v>
      </c>
      <c r="F1173" t="s">
        <v>343</v>
      </c>
      <c r="G1173" t="s">
        <v>140</v>
      </c>
      <c r="H1173">
        <v>0</v>
      </c>
      <c r="I1173">
        <v>0</v>
      </c>
      <c r="J1173">
        <v>0</v>
      </c>
      <c r="K1173">
        <v>0</v>
      </c>
      <c r="AQ1173">
        <v>0</v>
      </c>
      <c r="AR1173">
        <v>13786.5</v>
      </c>
      <c r="AS1173">
        <v>0</v>
      </c>
    </row>
    <row r="1174" spans="1:45" hidden="1">
      <c r="A1174" t="s">
        <v>16</v>
      </c>
      <c r="B1174" t="s">
        <v>758</v>
      </c>
      <c r="C1174" t="s">
        <v>649</v>
      </c>
      <c r="D1174" t="s">
        <v>344</v>
      </c>
      <c r="E1174" t="s">
        <v>138</v>
      </c>
      <c r="F1174" t="s">
        <v>345</v>
      </c>
      <c r="G1174" t="s">
        <v>346</v>
      </c>
      <c r="H1174">
        <v>0</v>
      </c>
      <c r="I1174">
        <v>0</v>
      </c>
      <c r="J1174">
        <v>0</v>
      </c>
      <c r="K1174">
        <v>0</v>
      </c>
      <c r="AQ1174">
        <v>0</v>
      </c>
      <c r="AR1174">
        <v>11.11</v>
      </c>
      <c r="AS1174">
        <v>0</v>
      </c>
    </row>
    <row r="1175" spans="1:45" hidden="1">
      <c r="A1175" t="s">
        <v>16</v>
      </c>
      <c r="B1175" t="s">
        <v>758</v>
      </c>
      <c r="C1175" t="s">
        <v>650</v>
      </c>
      <c r="D1175" t="s">
        <v>339</v>
      </c>
      <c r="E1175" t="s">
        <v>138</v>
      </c>
      <c r="F1175" t="s">
        <v>340</v>
      </c>
      <c r="G1175" t="s">
        <v>341</v>
      </c>
      <c r="H1175">
        <v>0</v>
      </c>
      <c r="I1175">
        <v>0</v>
      </c>
      <c r="J1175">
        <v>0</v>
      </c>
      <c r="K1175">
        <v>0</v>
      </c>
      <c r="AQ1175">
        <v>0</v>
      </c>
      <c r="AR1175">
        <v>557.52</v>
      </c>
      <c r="AS1175">
        <v>0</v>
      </c>
    </row>
    <row r="1176" spans="1:45" hidden="1">
      <c r="A1176" t="s">
        <v>16</v>
      </c>
      <c r="B1176" t="s">
        <v>758</v>
      </c>
      <c r="C1176" t="s">
        <v>651</v>
      </c>
      <c r="D1176" t="s">
        <v>347</v>
      </c>
      <c r="E1176" t="s">
        <v>138</v>
      </c>
      <c r="F1176" t="s">
        <v>350</v>
      </c>
      <c r="G1176" t="s">
        <v>349</v>
      </c>
      <c r="H1176">
        <v>0</v>
      </c>
      <c r="I1176">
        <v>0</v>
      </c>
      <c r="J1176">
        <v>0</v>
      </c>
      <c r="K1176">
        <v>6</v>
      </c>
      <c r="L1176">
        <v>16</v>
      </c>
      <c r="M1176">
        <v>10</v>
      </c>
      <c r="AQ1176">
        <v>32</v>
      </c>
      <c r="AR1176">
        <v>234.32</v>
      </c>
      <c r="AS1176">
        <v>7498.24</v>
      </c>
    </row>
    <row r="1177" spans="1:45" hidden="1">
      <c r="A1177" t="s">
        <v>16</v>
      </c>
      <c r="B1177" t="s">
        <v>758</v>
      </c>
      <c r="C1177" t="s">
        <v>652</v>
      </c>
      <c r="D1177" t="s">
        <v>347</v>
      </c>
      <c r="E1177" t="s">
        <v>138</v>
      </c>
      <c r="F1177" t="s">
        <v>348</v>
      </c>
      <c r="G1177" t="s">
        <v>349</v>
      </c>
      <c r="H1177">
        <v>2</v>
      </c>
      <c r="I1177">
        <v>0</v>
      </c>
      <c r="J1177">
        <v>0</v>
      </c>
      <c r="K1177">
        <v>0</v>
      </c>
      <c r="AQ1177">
        <v>2</v>
      </c>
      <c r="AR1177">
        <v>456.52</v>
      </c>
      <c r="AS1177">
        <v>913.04</v>
      </c>
    </row>
    <row r="1178" spans="1:45" hidden="1">
      <c r="A1178" t="s">
        <v>16</v>
      </c>
      <c r="B1178" t="s">
        <v>758</v>
      </c>
      <c r="C1178" t="s">
        <v>653</v>
      </c>
      <c r="D1178" t="s">
        <v>347</v>
      </c>
      <c r="E1178" t="s">
        <v>138</v>
      </c>
      <c r="F1178" t="s">
        <v>351</v>
      </c>
      <c r="G1178" t="s">
        <v>349</v>
      </c>
      <c r="H1178">
        <v>0</v>
      </c>
      <c r="I1178">
        <v>0</v>
      </c>
      <c r="J1178">
        <v>0</v>
      </c>
      <c r="K1178">
        <v>0</v>
      </c>
      <c r="AQ1178">
        <v>0</v>
      </c>
      <c r="AR1178">
        <v>679.73</v>
      </c>
      <c r="AS1178">
        <v>0</v>
      </c>
    </row>
    <row r="1179" spans="1:45" hidden="1">
      <c r="A1179" t="s">
        <v>16</v>
      </c>
      <c r="B1179" t="s">
        <v>758</v>
      </c>
      <c r="C1179" t="s">
        <v>654</v>
      </c>
      <c r="D1179" t="s">
        <v>352</v>
      </c>
      <c r="E1179" t="s">
        <v>138</v>
      </c>
      <c r="F1179" t="s">
        <v>353</v>
      </c>
      <c r="G1179" t="s">
        <v>354</v>
      </c>
      <c r="H1179">
        <v>0</v>
      </c>
      <c r="I1179">
        <v>0</v>
      </c>
      <c r="J1179">
        <v>0</v>
      </c>
      <c r="K1179">
        <v>0</v>
      </c>
      <c r="AQ1179">
        <v>0</v>
      </c>
      <c r="AR1179">
        <v>3923.85</v>
      </c>
      <c r="AS1179">
        <v>0</v>
      </c>
    </row>
    <row r="1180" spans="1:45" hidden="1">
      <c r="A1180" t="s">
        <v>16</v>
      </c>
      <c r="B1180" t="s">
        <v>758</v>
      </c>
      <c r="C1180" t="s">
        <v>655</v>
      </c>
      <c r="D1180" t="s">
        <v>355</v>
      </c>
      <c r="E1180" t="s">
        <v>138</v>
      </c>
      <c r="F1180" t="s">
        <v>356</v>
      </c>
      <c r="G1180" t="s">
        <v>357</v>
      </c>
      <c r="H1180">
        <v>0</v>
      </c>
      <c r="I1180">
        <v>0</v>
      </c>
      <c r="J1180">
        <v>0</v>
      </c>
      <c r="K1180">
        <v>0</v>
      </c>
      <c r="AQ1180">
        <v>0</v>
      </c>
      <c r="AR1180">
        <v>556.51</v>
      </c>
      <c r="AS1180">
        <v>0</v>
      </c>
    </row>
    <row r="1181" spans="1:45" hidden="1">
      <c r="A1181" t="s">
        <v>16</v>
      </c>
      <c r="B1181" t="s">
        <v>758</v>
      </c>
      <c r="C1181" t="s">
        <v>656</v>
      </c>
      <c r="D1181" t="s">
        <v>358</v>
      </c>
      <c r="E1181" t="s">
        <v>138</v>
      </c>
      <c r="F1181" t="s">
        <v>359</v>
      </c>
      <c r="G1181" t="s">
        <v>360</v>
      </c>
      <c r="H1181">
        <v>0</v>
      </c>
      <c r="I1181">
        <v>0</v>
      </c>
      <c r="J1181">
        <v>0</v>
      </c>
      <c r="K1181">
        <v>0</v>
      </c>
      <c r="AQ1181">
        <v>0</v>
      </c>
      <c r="AR1181">
        <v>334.31</v>
      </c>
      <c r="AS1181">
        <v>0</v>
      </c>
    </row>
    <row r="1182" spans="1:45" hidden="1">
      <c r="A1182" t="s">
        <v>16</v>
      </c>
      <c r="B1182" t="s">
        <v>758</v>
      </c>
      <c r="C1182" t="s">
        <v>657</v>
      </c>
      <c r="D1182" t="s">
        <v>361</v>
      </c>
      <c r="E1182" t="s">
        <v>138</v>
      </c>
      <c r="F1182" t="s">
        <v>362</v>
      </c>
      <c r="G1182" t="s">
        <v>363</v>
      </c>
      <c r="H1182">
        <v>0</v>
      </c>
      <c r="I1182">
        <v>0</v>
      </c>
      <c r="J1182">
        <v>0</v>
      </c>
      <c r="K1182">
        <v>0</v>
      </c>
      <c r="AQ1182">
        <v>0</v>
      </c>
      <c r="AR1182">
        <v>1.0605</v>
      </c>
      <c r="AS1182">
        <v>0</v>
      </c>
    </row>
    <row r="1183" spans="1:45" hidden="1">
      <c r="A1183" t="s">
        <v>16</v>
      </c>
      <c r="B1183" t="s">
        <v>758</v>
      </c>
      <c r="C1183" t="s">
        <v>658</v>
      </c>
      <c r="D1183" t="s">
        <v>364</v>
      </c>
      <c r="E1183" t="s">
        <v>138</v>
      </c>
      <c r="F1183" t="s">
        <v>366</v>
      </c>
      <c r="G1183" t="s">
        <v>363</v>
      </c>
      <c r="H1183">
        <v>0</v>
      </c>
      <c r="I1183">
        <v>0</v>
      </c>
      <c r="J1183">
        <v>0</v>
      </c>
      <c r="K1183">
        <v>0</v>
      </c>
      <c r="AQ1183">
        <v>0</v>
      </c>
      <c r="AR1183">
        <v>4.242</v>
      </c>
      <c r="AS1183">
        <v>0</v>
      </c>
    </row>
    <row r="1184" spans="1:45" hidden="1">
      <c r="A1184" t="s">
        <v>16</v>
      </c>
      <c r="B1184" t="s">
        <v>758</v>
      </c>
      <c r="C1184" t="s">
        <v>659</v>
      </c>
      <c r="D1184" t="s">
        <v>364</v>
      </c>
      <c r="E1184" t="s">
        <v>138</v>
      </c>
      <c r="F1184" t="s">
        <v>365</v>
      </c>
      <c r="G1184" t="s">
        <v>363</v>
      </c>
      <c r="H1184">
        <v>0</v>
      </c>
      <c r="I1184">
        <v>0</v>
      </c>
      <c r="J1184">
        <v>0</v>
      </c>
      <c r="K1184">
        <v>0</v>
      </c>
      <c r="AQ1184">
        <v>0</v>
      </c>
      <c r="AR1184">
        <v>8.484</v>
      </c>
      <c r="AS1184">
        <v>0</v>
      </c>
    </row>
    <row r="1185" spans="1:45" hidden="1">
      <c r="A1185" t="s">
        <v>16</v>
      </c>
      <c r="B1185" t="s">
        <v>758</v>
      </c>
      <c r="C1185" t="s">
        <v>660</v>
      </c>
      <c r="D1185" t="s">
        <v>364</v>
      </c>
      <c r="E1185" t="s">
        <v>138</v>
      </c>
      <c r="F1185" t="s">
        <v>367</v>
      </c>
      <c r="G1185" t="s">
        <v>363</v>
      </c>
      <c r="H1185">
        <v>0</v>
      </c>
      <c r="I1185">
        <v>0</v>
      </c>
      <c r="J1185">
        <v>0</v>
      </c>
      <c r="K1185">
        <v>0</v>
      </c>
      <c r="AQ1185">
        <v>0</v>
      </c>
      <c r="AR1185">
        <v>21.21</v>
      </c>
      <c r="AS1185">
        <v>0</v>
      </c>
    </row>
    <row r="1186" spans="1:45" hidden="1">
      <c r="A1186" t="s">
        <v>16</v>
      </c>
      <c r="B1186" t="s">
        <v>758</v>
      </c>
      <c r="C1186" t="s">
        <v>278</v>
      </c>
      <c r="D1186" t="s">
        <v>146</v>
      </c>
      <c r="E1186" t="s">
        <v>138</v>
      </c>
      <c r="F1186" t="s">
        <v>279</v>
      </c>
      <c r="G1186" t="s">
        <v>148</v>
      </c>
      <c r="H1186">
        <v>0</v>
      </c>
      <c r="I1186">
        <v>0</v>
      </c>
      <c r="J1186">
        <v>0</v>
      </c>
      <c r="K1186">
        <v>0</v>
      </c>
      <c r="AQ1186">
        <v>0</v>
      </c>
      <c r="AR1186">
        <v>1272.5999999999999</v>
      </c>
      <c r="AS1186">
        <v>0</v>
      </c>
    </row>
    <row r="1187" spans="1:45" hidden="1">
      <c r="A1187" t="s">
        <v>16</v>
      </c>
      <c r="B1187" t="s">
        <v>758</v>
      </c>
      <c r="C1187" t="s">
        <v>661</v>
      </c>
      <c r="D1187" t="s">
        <v>146</v>
      </c>
      <c r="E1187" t="s">
        <v>138</v>
      </c>
      <c r="F1187" t="s">
        <v>368</v>
      </c>
      <c r="G1187" t="s">
        <v>148</v>
      </c>
      <c r="H1187">
        <v>3</v>
      </c>
      <c r="I1187">
        <v>0</v>
      </c>
      <c r="J1187">
        <v>0</v>
      </c>
      <c r="K1187">
        <v>4</v>
      </c>
      <c r="L1187">
        <v>2</v>
      </c>
      <c r="M1187">
        <v>5</v>
      </c>
      <c r="AQ1187">
        <v>14</v>
      </c>
      <c r="AR1187">
        <v>2333.1</v>
      </c>
      <c r="AS1187">
        <v>32663.4</v>
      </c>
    </row>
    <row r="1188" spans="1:45" hidden="1">
      <c r="A1188" t="s">
        <v>16</v>
      </c>
      <c r="B1188" t="s">
        <v>758</v>
      </c>
      <c r="C1188" t="s">
        <v>662</v>
      </c>
      <c r="D1188" t="s">
        <v>146</v>
      </c>
      <c r="E1188" t="s">
        <v>138</v>
      </c>
      <c r="F1188" t="s">
        <v>369</v>
      </c>
      <c r="G1188" t="s">
        <v>148</v>
      </c>
      <c r="H1188">
        <v>3</v>
      </c>
      <c r="I1188">
        <v>0</v>
      </c>
      <c r="J1188">
        <v>0</v>
      </c>
      <c r="K1188">
        <v>0</v>
      </c>
      <c r="AQ1188">
        <v>3</v>
      </c>
      <c r="AR1188">
        <v>3711.75</v>
      </c>
      <c r="AS1188">
        <v>11135.25</v>
      </c>
    </row>
    <row r="1189" spans="1:45" hidden="1">
      <c r="A1189" t="s">
        <v>16</v>
      </c>
      <c r="B1189" t="s">
        <v>758</v>
      </c>
      <c r="C1189" t="s">
        <v>663</v>
      </c>
      <c r="D1189" t="s">
        <v>146</v>
      </c>
      <c r="E1189" t="s">
        <v>138</v>
      </c>
      <c r="F1189" t="s">
        <v>370</v>
      </c>
      <c r="G1189" t="s">
        <v>148</v>
      </c>
      <c r="H1189">
        <v>0</v>
      </c>
      <c r="I1189">
        <v>0</v>
      </c>
      <c r="J1189">
        <v>0</v>
      </c>
      <c r="K1189">
        <v>0</v>
      </c>
      <c r="AQ1189">
        <v>0</v>
      </c>
      <c r="AR1189">
        <v>5832.75</v>
      </c>
      <c r="AS1189">
        <v>0</v>
      </c>
    </row>
    <row r="1190" spans="1:45" hidden="1">
      <c r="A1190" t="s">
        <v>16</v>
      </c>
      <c r="B1190" t="s">
        <v>758</v>
      </c>
      <c r="C1190" t="s">
        <v>664</v>
      </c>
      <c r="D1190" t="s">
        <v>371</v>
      </c>
      <c r="E1190" t="s">
        <v>138</v>
      </c>
      <c r="F1190" t="s">
        <v>372</v>
      </c>
      <c r="G1190" t="s">
        <v>373</v>
      </c>
      <c r="H1190">
        <v>0</v>
      </c>
      <c r="I1190">
        <v>0</v>
      </c>
      <c r="J1190">
        <v>0</v>
      </c>
      <c r="K1190">
        <v>0</v>
      </c>
      <c r="AQ1190">
        <v>0</v>
      </c>
      <c r="AR1190">
        <v>3711.75</v>
      </c>
      <c r="AS1190">
        <v>0</v>
      </c>
    </row>
    <row r="1191" spans="1:45" hidden="1">
      <c r="A1191" t="s">
        <v>16</v>
      </c>
      <c r="B1191" t="s">
        <v>758</v>
      </c>
      <c r="C1191" t="s">
        <v>149</v>
      </c>
      <c r="D1191" t="s">
        <v>280</v>
      </c>
      <c r="E1191" t="s">
        <v>138</v>
      </c>
      <c r="F1191" t="s">
        <v>151</v>
      </c>
      <c r="G1191" t="s">
        <v>152</v>
      </c>
      <c r="H1191">
        <v>34413</v>
      </c>
      <c r="I1191">
        <v>0</v>
      </c>
      <c r="J1191">
        <v>0</v>
      </c>
      <c r="K1191">
        <v>17135</v>
      </c>
      <c r="L1191">
        <v>11000</v>
      </c>
      <c r="M1191">
        <v>6000</v>
      </c>
      <c r="AQ1191">
        <v>68548</v>
      </c>
      <c r="AR1191">
        <v>1.111</v>
      </c>
      <c r="AS1191">
        <v>76156.827999999994</v>
      </c>
    </row>
    <row r="1192" spans="1:45" hidden="1">
      <c r="A1192" t="s">
        <v>16</v>
      </c>
      <c r="B1192" t="s">
        <v>758</v>
      </c>
      <c r="C1192" t="s">
        <v>153</v>
      </c>
      <c r="D1192" t="s">
        <v>154</v>
      </c>
      <c r="E1192" t="s">
        <v>138</v>
      </c>
      <c r="F1192" t="s">
        <v>155</v>
      </c>
      <c r="G1192" t="s">
        <v>156</v>
      </c>
      <c r="H1192">
        <v>545</v>
      </c>
      <c r="I1192">
        <v>0</v>
      </c>
      <c r="J1192">
        <v>0</v>
      </c>
      <c r="K1192">
        <v>120</v>
      </c>
      <c r="L1192">
        <v>400</v>
      </c>
      <c r="M1192">
        <v>300</v>
      </c>
      <c r="AQ1192">
        <v>1365</v>
      </c>
      <c r="AR1192">
        <v>116.655</v>
      </c>
      <c r="AS1192">
        <v>159234.07500000001</v>
      </c>
    </row>
    <row r="1193" spans="1:45" hidden="1">
      <c r="A1193" t="s">
        <v>16</v>
      </c>
      <c r="B1193" t="s">
        <v>758</v>
      </c>
      <c r="C1193" t="s">
        <v>665</v>
      </c>
      <c r="D1193" t="s">
        <v>375</v>
      </c>
      <c r="E1193" t="s">
        <v>138</v>
      </c>
      <c r="F1193" t="s">
        <v>376</v>
      </c>
      <c r="G1193" t="s">
        <v>377</v>
      </c>
      <c r="H1193">
        <v>6</v>
      </c>
      <c r="I1193">
        <v>4</v>
      </c>
      <c r="J1193">
        <v>1</v>
      </c>
      <c r="K1193">
        <v>0</v>
      </c>
      <c r="AQ1193">
        <v>11</v>
      </c>
      <c r="AR1193">
        <v>89.081999999999994</v>
      </c>
      <c r="AS1193">
        <v>979.90200000000004</v>
      </c>
    </row>
    <row r="1194" spans="1:45" hidden="1">
      <c r="A1194" t="s">
        <v>16</v>
      </c>
      <c r="B1194" t="s">
        <v>758</v>
      </c>
      <c r="C1194" t="s">
        <v>158</v>
      </c>
      <c r="D1194" t="s">
        <v>159</v>
      </c>
      <c r="E1194" t="s">
        <v>138</v>
      </c>
      <c r="F1194" t="s">
        <v>160</v>
      </c>
      <c r="G1194" t="s">
        <v>161</v>
      </c>
      <c r="H1194">
        <v>105</v>
      </c>
      <c r="I1194">
        <v>300</v>
      </c>
      <c r="J1194">
        <v>110</v>
      </c>
      <c r="K1194">
        <v>44</v>
      </c>
      <c r="L1194">
        <v>80</v>
      </c>
      <c r="AQ1194">
        <v>639</v>
      </c>
      <c r="AR1194">
        <v>66.66</v>
      </c>
      <c r="AS1194">
        <v>42595.74</v>
      </c>
    </row>
    <row r="1195" spans="1:45" hidden="1">
      <c r="A1195" t="s">
        <v>16</v>
      </c>
      <c r="B1195" t="s">
        <v>758</v>
      </c>
      <c r="C1195" t="s">
        <v>666</v>
      </c>
      <c r="D1195" t="s">
        <v>378</v>
      </c>
      <c r="E1195" t="s">
        <v>138</v>
      </c>
      <c r="F1195" t="s">
        <v>379</v>
      </c>
      <c r="G1195" t="s">
        <v>380</v>
      </c>
      <c r="H1195">
        <v>0</v>
      </c>
      <c r="I1195">
        <v>0</v>
      </c>
      <c r="J1195">
        <v>0</v>
      </c>
      <c r="K1195">
        <v>0</v>
      </c>
      <c r="AQ1195">
        <v>0</v>
      </c>
      <c r="AR1195">
        <v>389.86</v>
      </c>
      <c r="AS1195">
        <v>0</v>
      </c>
    </row>
    <row r="1196" spans="1:45" hidden="1">
      <c r="A1196" t="s">
        <v>16</v>
      </c>
      <c r="B1196" t="s">
        <v>758</v>
      </c>
      <c r="C1196" t="s">
        <v>667</v>
      </c>
      <c r="D1196" t="s">
        <v>281</v>
      </c>
      <c r="E1196" t="s">
        <v>138</v>
      </c>
      <c r="F1196" t="s">
        <v>384</v>
      </c>
      <c r="G1196" t="s">
        <v>165</v>
      </c>
      <c r="H1196">
        <v>10</v>
      </c>
      <c r="I1196">
        <v>0</v>
      </c>
      <c r="J1196">
        <v>0</v>
      </c>
      <c r="K1196">
        <v>5</v>
      </c>
      <c r="AQ1196">
        <v>15</v>
      </c>
      <c r="AR1196">
        <v>2227.0500000000002</v>
      </c>
      <c r="AS1196">
        <v>33405.75</v>
      </c>
    </row>
    <row r="1197" spans="1:45" hidden="1">
      <c r="A1197" t="s">
        <v>16</v>
      </c>
      <c r="B1197" t="s">
        <v>758</v>
      </c>
      <c r="C1197" t="s">
        <v>162</v>
      </c>
      <c r="D1197" t="s">
        <v>281</v>
      </c>
      <c r="E1197" t="s">
        <v>138</v>
      </c>
      <c r="F1197" t="s">
        <v>164</v>
      </c>
      <c r="G1197" t="s">
        <v>165</v>
      </c>
      <c r="H1197">
        <v>0</v>
      </c>
      <c r="I1197">
        <v>0</v>
      </c>
      <c r="J1197">
        <v>0</v>
      </c>
      <c r="K1197">
        <v>1</v>
      </c>
      <c r="AQ1197">
        <v>1</v>
      </c>
      <c r="AR1197">
        <v>4242</v>
      </c>
      <c r="AS1197">
        <v>4242</v>
      </c>
    </row>
    <row r="1198" spans="1:45" hidden="1">
      <c r="A1198" t="s">
        <v>16</v>
      </c>
      <c r="B1198" t="s">
        <v>758</v>
      </c>
      <c r="C1198" t="s">
        <v>668</v>
      </c>
      <c r="D1198" t="s">
        <v>381</v>
      </c>
      <c r="E1198" t="s">
        <v>138</v>
      </c>
      <c r="F1198" t="s">
        <v>382</v>
      </c>
      <c r="G1198" t="s">
        <v>383</v>
      </c>
      <c r="H1198">
        <v>0</v>
      </c>
      <c r="I1198">
        <v>0</v>
      </c>
      <c r="J1198">
        <v>0</v>
      </c>
      <c r="K1198">
        <v>0</v>
      </c>
      <c r="AQ1198">
        <v>0</v>
      </c>
      <c r="AR1198">
        <v>39.39</v>
      </c>
      <c r="AS1198">
        <v>0</v>
      </c>
    </row>
    <row r="1199" spans="1:45" hidden="1">
      <c r="A1199" t="s">
        <v>16</v>
      </c>
      <c r="B1199" t="s">
        <v>758</v>
      </c>
      <c r="C1199" t="s">
        <v>166</v>
      </c>
      <c r="D1199" t="s">
        <v>282</v>
      </c>
      <c r="E1199" t="s">
        <v>138</v>
      </c>
      <c r="F1199" t="s">
        <v>168</v>
      </c>
      <c r="G1199" t="s">
        <v>169</v>
      </c>
      <c r="H1199">
        <v>24000</v>
      </c>
      <c r="I1199">
        <v>40600</v>
      </c>
      <c r="J1199">
        <v>22000</v>
      </c>
      <c r="K1199">
        <v>17135</v>
      </c>
      <c r="AQ1199">
        <v>103735</v>
      </c>
      <c r="AR1199">
        <v>1.111</v>
      </c>
      <c r="AS1199">
        <v>115249.58500000001</v>
      </c>
    </row>
    <row r="1200" spans="1:45" hidden="1">
      <c r="A1200" t="s">
        <v>16</v>
      </c>
      <c r="B1200" t="s">
        <v>758</v>
      </c>
      <c r="C1200" t="s">
        <v>669</v>
      </c>
      <c r="D1200" t="s">
        <v>385</v>
      </c>
      <c r="E1200" t="s">
        <v>138</v>
      </c>
      <c r="F1200" t="s">
        <v>386</v>
      </c>
      <c r="G1200" t="s">
        <v>387</v>
      </c>
      <c r="H1200">
        <v>1</v>
      </c>
      <c r="I1200">
        <v>1</v>
      </c>
      <c r="J1200">
        <v>0</v>
      </c>
      <c r="K1200">
        <v>2</v>
      </c>
      <c r="L1200">
        <v>7</v>
      </c>
      <c r="M1200">
        <v>6</v>
      </c>
      <c r="AQ1200">
        <v>17</v>
      </c>
      <c r="AR1200">
        <v>22270.5</v>
      </c>
      <c r="AS1200">
        <v>378598.5</v>
      </c>
    </row>
    <row r="1201" spans="1:45" hidden="1">
      <c r="A1201" t="s">
        <v>16</v>
      </c>
      <c r="B1201" t="s">
        <v>758</v>
      </c>
      <c r="C1201" t="s">
        <v>670</v>
      </c>
      <c r="D1201" t="s">
        <v>385</v>
      </c>
      <c r="E1201" t="s">
        <v>138</v>
      </c>
      <c r="F1201" t="s">
        <v>388</v>
      </c>
      <c r="G1201" t="s">
        <v>389</v>
      </c>
      <c r="H1201">
        <v>2500</v>
      </c>
      <c r="I1201">
        <v>2500</v>
      </c>
      <c r="J1201">
        <v>0</v>
      </c>
      <c r="K1201">
        <v>1000</v>
      </c>
      <c r="L1201">
        <v>700</v>
      </c>
      <c r="M1201">
        <v>500</v>
      </c>
      <c r="AQ1201">
        <v>7200</v>
      </c>
      <c r="AR1201">
        <v>0.22220000000000001</v>
      </c>
      <c r="AS1201">
        <v>1599.84</v>
      </c>
    </row>
    <row r="1202" spans="1:45" hidden="1">
      <c r="A1202" t="s">
        <v>16</v>
      </c>
      <c r="B1202" t="s">
        <v>758</v>
      </c>
      <c r="C1202" t="s">
        <v>671</v>
      </c>
      <c r="D1202" t="s">
        <v>393</v>
      </c>
      <c r="E1202" t="s">
        <v>138</v>
      </c>
      <c r="F1202" t="s">
        <v>394</v>
      </c>
      <c r="G1202" t="s">
        <v>395</v>
      </c>
      <c r="H1202">
        <v>0</v>
      </c>
      <c r="I1202">
        <v>0</v>
      </c>
      <c r="J1202">
        <v>0</v>
      </c>
      <c r="K1202">
        <v>0</v>
      </c>
      <c r="AQ1202">
        <v>0</v>
      </c>
      <c r="AR1202">
        <v>99.99</v>
      </c>
      <c r="AS1202">
        <v>0</v>
      </c>
    </row>
    <row r="1203" spans="1:45" hidden="1">
      <c r="A1203" t="s">
        <v>16</v>
      </c>
      <c r="B1203" t="s">
        <v>758</v>
      </c>
      <c r="C1203" t="s">
        <v>672</v>
      </c>
      <c r="D1203" t="s">
        <v>393</v>
      </c>
      <c r="E1203" t="s">
        <v>138</v>
      </c>
      <c r="F1203" t="s">
        <v>396</v>
      </c>
      <c r="G1203" t="s">
        <v>395</v>
      </c>
      <c r="H1203">
        <v>0</v>
      </c>
      <c r="I1203">
        <v>0</v>
      </c>
      <c r="J1203">
        <v>0</v>
      </c>
      <c r="K1203">
        <v>0</v>
      </c>
      <c r="AQ1203">
        <v>0</v>
      </c>
      <c r="AR1203">
        <v>99.99</v>
      </c>
      <c r="AS1203">
        <v>0</v>
      </c>
    </row>
    <row r="1204" spans="1:45" hidden="1">
      <c r="A1204" t="s">
        <v>16</v>
      </c>
      <c r="B1204" t="s">
        <v>758</v>
      </c>
      <c r="C1204" t="s">
        <v>673</v>
      </c>
      <c r="D1204" t="s">
        <v>393</v>
      </c>
      <c r="E1204" t="s">
        <v>138</v>
      </c>
      <c r="F1204" t="s">
        <v>397</v>
      </c>
      <c r="G1204" t="s">
        <v>395</v>
      </c>
      <c r="H1204">
        <v>0</v>
      </c>
      <c r="I1204">
        <v>0</v>
      </c>
      <c r="J1204">
        <v>0</v>
      </c>
      <c r="K1204">
        <v>0</v>
      </c>
      <c r="AQ1204">
        <v>0</v>
      </c>
      <c r="AR1204">
        <v>66.66</v>
      </c>
      <c r="AS1204">
        <v>0</v>
      </c>
    </row>
    <row r="1205" spans="1:45" hidden="1">
      <c r="A1205" t="s">
        <v>16</v>
      </c>
      <c r="B1205" t="s">
        <v>758</v>
      </c>
      <c r="C1205" t="s">
        <v>674</v>
      </c>
      <c r="D1205" t="s">
        <v>287</v>
      </c>
      <c r="E1205" t="s">
        <v>138</v>
      </c>
      <c r="F1205" t="s">
        <v>402</v>
      </c>
      <c r="G1205" t="s">
        <v>403</v>
      </c>
      <c r="H1205">
        <v>0</v>
      </c>
      <c r="I1205">
        <v>0</v>
      </c>
      <c r="J1205">
        <v>0</v>
      </c>
      <c r="K1205">
        <v>0</v>
      </c>
      <c r="AQ1205">
        <v>0</v>
      </c>
      <c r="AR1205">
        <v>318150</v>
      </c>
      <c r="AS1205">
        <v>0</v>
      </c>
    </row>
    <row r="1206" spans="1:45" hidden="1">
      <c r="A1206" t="s">
        <v>16</v>
      </c>
      <c r="B1206" t="s">
        <v>758</v>
      </c>
      <c r="C1206" t="s">
        <v>675</v>
      </c>
      <c r="D1206" t="s">
        <v>390</v>
      </c>
      <c r="E1206" t="s">
        <v>138</v>
      </c>
      <c r="F1206" t="s">
        <v>391</v>
      </c>
      <c r="G1206" t="s">
        <v>392</v>
      </c>
      <c r="H1206">
        <v>0</v>
      </c>
      <c r="I1206">
        <v>0</v>
      </c>
      <c r="J1206">
        <v>0</v>
      </c>
      <c r="K1206">
        <v>0</v>
      </c>
      <c r="AQ1206">
        <v>0</v>
      </c>
      <c r="AR1206">
        <v>1336.23</v>
      </c>
      <c r="AS1206">
        <v>0</v>
      </c>
    </row>
    <row r="1207" spans="1:45" hidden="1">
      <c r="A1207" t="s">
        <v>16</v>
      </c>
      <c r="B1207" t="s">
        <v>758</v>
      </c>
      <c r="C1207" t="s">
        <v>676</v>
      </c>
      <c r="D1207" t="s">
        <v>398</v>
      </c>
      <c r="E1207" t="s">
        <v>138</v>
      </c>
      <c r="F1207" t="s">
        <v>399</v>
      </c>
      <c r="G1207" t="s">
        <v>400</v>
      </c>
      <c r="H1207">
        <v>0</v>
      </c>
      <c r="I1207">
        <v>0</v>
      </c>
      <c r="J1207">
        <v>0</v>
      </c>
      <c r="K1207">
        <v>0</v>
      </c>
      <c r="AQ1207">
        <v>0</v>
      </c>
      <c r="AR1207">
        <v>14475.825000000001</v>
      </c>
      <c r="AS1207">
        <v>0</v>
      </c>
    </row>
    <row r="1208" spans="1:45" hidden="1">
      <c r="A1208" t="s">
        <v>16</v>
      </c>
      <c r="B1208" t="s">
        <v>758</v>
      </c>
      <c r="C1208" t="s">
        <v>170</v>
      </c>
      <c r="D1208" t="s">
        <v>171</v>
      </c>
      <c r="E1208" t="s">
        <v>172</v>
      </c>
      <c r="F1208" t="s">
        <v>173</v>
      </c>
      <c r="G1208" t="s">
        <v>152</v>
      </c>
      <c r="H1208">
        <v>38538</v>
      </c>
      <c r="I1208">
        <v>69366</v>
      </c>
      <c r="J1208">
        <v>25544</v>
      </c>
      <c r="K1208">
        <v>18000</v>
      </c>
      <c r="L1208">
        <v>11000</v>
      </c>
      <c r="M1208">
        <v>6000</v>
      </c>
      <c r="AQ1208">
        <v>168448</v>
      </c>
      <c r="AR1208">
        <v>1.2726</v>
      </c>
      <c r="AS1208">
        <v>214366.92480000001</v>
      </c>
    </row>
    <row r="1209" spans="1:45" hidden="1">
      <c r="A1209" t="s">
        <v>16</v>
      </c>
      <c r="B1209" t="s">
        <v>758</v>
      </c>
      <c r="C1209" t="s">
        <v>677</v>
      </c>
      <c r="D1209" t="s">
        <v>405</v>
      </c>
      <c r="E1209" t="s">
        <v>172</v>
      </c>
      <c r="F1209" t="s">
        <v>406</v>
      </c>
      <c r="G1209" t="s">
        <v>407</v>
      </c>
      <c r="H1209">
        <v>120</v>
      </c>
      <c r="I1209">
        <v>160</v>
      </c>
      <c r="J1209">
        <v>138</v>
      </c>
      <c r="K1209">
        <v>70</v>
      </c>
      <c r="L1209">
        <v>160</v>
      </c>
      <c r="M1209">
        <v>120</v>
      </c>
      <c r="AQ1209">
        <v>768</v>
      </c>
      <c r="AR1209">
        <v>47.47</v>
      </c>
      <c r="AS1209">
        <v>36456.959999999999</v>
      </c>
    </row>
    <row r="1210" spans="1:45" hidden="1">
      <c r="A1210" t="s">
        <v>16</v>
      </c>
      <c r="B1210" t="s">
        <v>758</v>
      </c>
      <c r="C1210" t="s">
        <v>678</v>
      </c>
      <c r="D1210" t="s">
        <v>408</v>
      </c>
      <c r="E1210" t="s">
        <v>172</v>
      </c>
      <c r="F1210" t="s">
        <v>409</v>
      </c>
      <c r="G1210" t="s">
        <v>410</v>
      </c>
      <c r="H1210">
        <v>1000</v>
      </c>
      <c r="I1210">
        <v>2000</v>
      </c>
      <c r="J1210">
        <v>0</v>
      </c>
      <c r="K1210">
        <v>0</v>
      </c>
      <c r="AQ1210">
        <v>3000</v>
      </c>
      <c r="AR1210">
        <v>1.0605</v>
      </c>
      <c r="AS1210">
        <v>3181.5</v>
      </c>
    </row>
    <row r="1211" spans="1:45" hidden="1">
      <c r="A1211" t="s">
        <v>16</v>
      </c>
      <c r="B1211" t="s">
        <v>758</v>
      </c>
      <c r="C1211" t="s">
        <v>679</v>
      </c>
      <c r="D1211" t="s">
        <v>411</v>
      </c>
      <c r="E1211" t="s">
        <v>172</v>
      </c>
      <c r="F1211" t="s">
        <v>412</v>
      </c>
      <c r="G1211" t="s">
        <v>413</v>
      </c>
      <c r="H1211">
        <v>230</v>
      </c>
      <c r="I1211">
        <v>410</v>
      </c>
      <c r="J1211">
        <v>223</v>
      </c>
      <c r="K1211">
        <v>40</v>
      </c>
      <c r="AQ1211">
        <v>903</v>
      </c>
      <c r="AR1211">
        <v>37.1175</v>
      </c>
      <c r="AS1211">
        <v>33517.102500000001</v>
      </c>
    </row>
    <row r="1212" spans="1:45" hidden="1">
      <c r="A1212" t="s">
        <v>16</v>
      </c>
      <c r="B1212" t="s">
        <v>758</v>
      </c>
      <c r="C1212" t="s">
        <v>680</v>
      </c>
      <c r="D1212" t="s">
        <v>414</v>
      </c>
      <c r="E1212" t="s">
        <v>172</v>
      </c>
      <c r="F1212" t="s">
        <v>415</v>
      </c>
      <c r="G1212" t="s">
        <v>224</v>
      </c>
      <c r="H1212">
        <v>8</v>
      </c>
      <c r="I1212">
        <v>29</v>
      </c>
      <c r="J1212">
        <v>9</v>
      </c>
      <c r="K1212">
        <v>12</v>
      </c>
      <c r="L1212">
        <v>8</v>
      </c>
      <c r="M1212">
        <v>6</v>
      </c>
      <c r="AQ1212">
        <v>72</v>
      </c>
      <c r="AR1212">
        <v>42.42</v>
      </c>
      <c r="AS1212">
        <v>3054.24</v>
      </c>
    </row>
    <row r="1213" spans="1:45" hidden="1">
      <c r="A1213" t="s">
        <v>16</v>
      </c>
      <c r="B1213" t="s">
        <v>758</v>
      </c>
      <c r="C1213" t="s">
        <v>681</v>
      </c>
      <c r="D1213" t="s">
        <v>416</v>
      </c>
      <c r="E1213" t="s">
        <v>172</v>
      </c>
      <c r="F1213" t="s">
        <v>417</v>
      </c>
      <c r="G1213" t="s">
        <v>418</v>
      </c>
      <c r="H1213">
        <v>1390</v>
      </c>
      <c r="I1213">
        <v>6000</v>
      </c>
      <c r="J1213">
        <v>2927</v>
      </c>
      <c r="K1213">
        <v>11595</v>
      </c>
      <c r="L1213">
        <v>6000</v>
      </c>
      <c r="M1213">
        <v>6000</v>
      </c>
      <c r="AQ1213">
        <v>33912</v>
      </c>
      <c r="AR1213">
        <v>0.32319999999999999</v>
      </c>
      <c r="AS1213">
        <v>10960.358399999999</v>
      </c>
    </row>
    <row r="1214" spans="1:45" hidden="1">
      <c r="A1214" t="s">
        <v>16</v>
      </c>
      <c r="B1214" t="s">
        <v>758</v>
      </c>
      <c r="C1214" t="s">
        <v>682</v>
      </c>
      <c r="D1214" t="s">
        <v>419</v>
      </c>
      <c r="E1214" t="s">
        <v>172</v>
      </c>
      <c r="F1214" t="s">
        <v>420</v>
      </c>
      <c r="G1214" t="s">
        <v>421</v>
      </c>
      <c r="H1214">
        <v>4</v>
      </c>
      <c r="I1214">
        <v>18</v>
      </c>
      <c r="J1214">
        <v>5</v>
      </c>
      <c r="K1214">
        <v>4</v>
      </c>
      <c r="L1214">
        <v>8</v>
      </c>
      <c r="M1214">
        <v>6</v>
      </c>
      <c r="AQ1214">
        <v>45</v>
      </c>
      <c r="AR1214">
        <v>42.42</v>
      </c>
      <c r="AS1214">
        <v>1908.9</v>
      </c>
    </row>
    <row r="1215" spans="1:45" hidden="1">
      <c r="A1215" t="s">
        <v>16</v>
      </c>
      <c r="B1215" t="s">
        <v>758</v>
      </c>
      <c r="C1215" t="s">
        <v>683</v>
      </c>
      <c r="D1215" t="s">
        <v>422</v>
      </c>
      <c r="E1215" t="s">
        <v>172</v>
      </c>
      <c r="F1215" t="s">
        <v>423</v>
      </c>
      <c r="G1215" t="s">
        <v>407</v>
      </c>
      <c r="H1215">
        <v>0</v>
      </c>
      <c r="I1215">
        <v>6</v>
      </c>
      <c r="J1215">
        <v>0</v>
      </c>
      <c r="K1215">
        <v>0</v>
      </c>
      <c r="AQ1215">
        <v>6</v>
      </c>
      <c r="AR1215">
        <v>47.47</v>
      </c>
      <c r="AS1215">
        <v>284.82</v>
      </c>
    </row>
    <row r="1216" spans="1:45" hidden="1">
      <c r="A1216" t="s">
        <v>16</v>
      </c>
      <c r="B1216" t="s">
        <v>758</v>
      </c>
      <c r="C1216" t="s">
        <v>684</v>
      </c>
      <c r="D1216" t="s">
        <v>427</v>
      </c>
      <c r="E1216" t="s">
        <v>172</v>
      </c>
      <c r="F1216" t="s">
        <v>428</v>
      </c>
      <c r="G1216" t="s">
        <v>429</v>
      </c>
      <c r="H1216">
        <v>6</v>
      </c>
      <c r="I1216">
        <v>6</v>
      </c>
      <c r="J1216">
        <v>4</v>
      </c>
      <c r="K1216">
        <v>3</v>
      </c>
      <c r="AQ1216">
        <v>19</v>
      </c>
      <c r="AR1216">
        <v>636.29999999999995</v>
      </c>
      <c r="AS1216">
        <v>12089.7</v>
      </c>
    </row>
    <row r="1217" spans="1:45" hidden="1">
      <c r="A1217" t="s">
        <v>16</v>
      </c>
      <c r="B1217" t="s">
        <v>758</v>
      </c>
      <c r="C1217" t="s">
        <v>174</v>
      </c>
      <c r="D1217" t="s">
        <v>175</v>
      </c>
      <c r="E1217" t="s">
        <v>172</v>
      </c>
      <c r="F1217" t="s">
        <v>176</v>
      </c>
      <c r="G1217" t="s">
        <v>177</v>
      </c>
      <c r="H1217">
        <v>7</v>
      </c>
      <c r="I1217">
        <v>10</v>
      </c>
      <c r="J1217">
        <v>3</v>
      </c>
      <c r="K1217">
        <v>3</v>
      </c>
      <c r="AQ1217">
        <v>23</v>
      </c>
      <c r="AR1217">
        <v>424.2</v>
      </c>
      <c r="AS1217">
        <v>9756.6</v>
      </c>
    </row>
    <row r="1218" spans="1:45" hidden="1">
      <c r="A1218" t="s">
        <v>16</v>
      </c>
      <c r="B1218" t="s">
        <v>758</v>
      </c>
      <c r="C1218" t="s">
        <v>685</v>
      </c>
      <c r="D1218" t="s">
        <v>430</v>
      </c>
      <c r="E1218" t="s">
        <v>172</v>
      </c>
      <c r="F1218" t="s">
        <v>433</v>
      </c>
      <c r="G1218" t="s">
        <v>432</v>
      </c>
      <c r="H1218">
        <v>1</v>
      </c>
      <c r="I1218">
        <v>0</v>
      </c>
      <c r="J1218">
        <v>1</v>
      </c>
      <c r="K1218">
        <v>0</v>
      </c>
      <c r="AQ1218">
        <v>2</v>
      </c>
      <c r="AR1218">
        <v>1908.9</v>
      </c>
      <c r="AS1218">
        <v>3817.8</v>
      </c>
    </row>
    <row r="1219" spans="1:45" hidden="1">
      <c r="A1219" t="s">
        <v>16</v>
      </c>
      <c r="B1219" t="s">
        <v>758</v>
      </c>
      <c r="C1219" t="s">
        <v>686</v>
      </c>
      <c r="D1219" t="s">
        <v>430</v>
      </c>
      <c r="E1219" t="s">
        <v>172</v>
      </c>
      <c r="F1219" t="s">
        <v>431</v>
      </c>
      <c r="G1219" t="s">
        <v>432</v>
      </c>
      <c r="H1219">
        <v>0</v>
      </c>
      <c r="I1219">
        <v>1</v>
      </c>
      <c r="J1219">
        <v>1</v>
      </c>
      <c r="K1219">
        <v>1</v>
      </c>
      <c r="AQ1219">
        <v>3</v>
      </c>
      <c r="AR1219">
        <v>2121</v>
      </c>
      <c r="AS1219">
        <v>6363</v>
      </c>
    </row>
    <row r="1220" spans="1:45" hidden="1">
      <c r="A1220" t="s">
        <v>16</v>
      </c>
      <c r="B1220" t="s">
        <v>758</v>
      </c>
      <c r="C1220" t="s">
        <v>687</v>
      </c>
      <c r="D1220" t="s">
        <v>430</v>
      </c>
      <c r="E1220" t="s">
        <v>172</v>
      </c>
      <c r="F1220" t="s">
        <v>438</v>
      </c>
      <c r="G1220" t="s">
        <v>432</v>
      </c>
      <c r="H1220">
        <v>0</v>
      </c>
      <c r="I1220">
        <v>0</v>
      </c>
      <c r="J1220">
        <v>0</v>
      </c>
      <c r="K1220">
        <v>0</v>
      </c>
      <c r="AQ1220">
        <v>0</v>
      </c>
      <c r="AR1220">
        <v>2439.15</v>
      </c>
      <c r="AS1220">
        <v>0</v>
      </c>
    </row>
    <row r="1221" spans="1:45" hidden="1">
      <c r="A1221" t="s">
        <v>16</v>
      </c>
      <c r="B1221" t="s">
        <v>758</v>
      </c>
      <c r="C1221" t="s">
        <v>688</v>
      </c>
      <c r="D1221" t="s">
        <v>430</v>
      </c>
      <c r="E1221" t="s">
        <v>172</v>
      </c>
      <c r="F1221" t="s">
        <v>434</v>
      </c>
      <c r="G1221" t="s">
        <v>432</v>
      </c>
      <c r="H1221">
        <v>2</v>
      </c>
      <c r="I1221">
        <v>2</v>
      </c>
      <c r="J1221">
        <v>0</v>
      </c>
      <c r="K1221">
        <v>0</v>
      </c>
      <c r="AQ1221">
        <v>4</v>
      </c>
      <c r="AR1221">
        <v>2651.25</v>
      </c>
      <c r="AS1221">
        <v>10605</v>
      </c>
    </row>
    <row r="1222" spans="1:45" hidden="1">
      <c r="A1222" t="s">
        <v>16</v>
      </c>
      <c r="B1222" t="s">
        <v>758</v>
      </c>
      <c r="C1222" t="s">
        <v>645</v>
      </c>
      <c r="D1222" t="s">
        <v>435</v>
      </c>
      <c r="E1222" t="s">
        <v>172</v>
      </c>
      <c r="F1222" t="s">
        <v>436</v>
      </c>
      <c r="G1222" t="s">
        <v>437</v>
      </c>
      <c r="H1222">
        <v>0</v>
      </c>
      <c r="I1222">
        <v>0</v>
      </c>
      <c r="J1222">
        <v>0</v>
      </c>
      <c r="K1222">
        <v>0</v>
      </c>
      <c r="AQ1222">
        <v>0</v>
      </c>
      <c r="AR1222">
        <v>0.28000000000000003</v>
      </c>
    </row>
    <row r="1223" spans="1:45" hidden="1">
      <c r="A1223" t="s">
        <v>16</v>
      </c>
      <c r="B1223" t="s">
        <v>758</v>
      </c>
      <c r="C1223" t="s">
        <v>689</v>
      </c>
      <c r="D1223" t="s">
        <v>439</v>
      </c>
      <c r="E1223" t="s">
        <v>172</v>
      </c>
      <c r="F1223" t="s">
        <v>690</v>
      </c>
      <c r="G1223" t="s">
        <v>441</v>
      </c>
      <c r="H1223">
        <v>1</v>
      </c>
      <c r="I1223">
        <v>5</v>
      </c>
      <c r="J1223">
        <v>0</v>
      </c>
      <c r="K1223">
        <v>0</v>
      </c>
      <c r="AQ1223">
        <v>6</v>
      </c>
      <c r="AR1223">
        <v>318.14999999999998</v>
      </c>
      <c r="AS1223">
        <v>1908.9</v>
      </c>
    </row>
    <row r="1224" spans="1:45" hidden="1">
      <c r="A1224" t="s">
        <v>16</v>
      </c>
      <c r="B1224" t="s">
        <v>758</v>
      </c>
      <c r="C1224" t="s">
        <v>691</v>
      </c>
      <c r="D1224" t="s">
        <v>439</v>
      </c>
      <c r="E1224" t="s">
        <v>172</v>
      </c>
      <c r="F1224" t="s">
        <v>442</v>
      </c>
      <c r="G1224" t="s">
        <v>441</v>
      </c>
      <c r="H1224">
        <v>3</v>
      </c>
      <c r="I1224">
        <v>5</v>
      </c>
      <c r="J1224">
        <v>3</v>
      </c>
      <c r="K1224">
        <v>2</v>
      </c>
      <c r="AQ1224">
        <v>13</v>
      </c>
      <c r="AR1224">
        <v>1272.5999999999999</v>
      </c>
      <c r="AS1224">
        <v>16543.8</v>
      </c>
    </row>
    <row r="1225" spans="1:45" hidden="1">
      <c r="A1225" t="s">
        <v>16</v>
      </c>
      <c r="B1225" t="s">
        <v>758</v>
      </c>
      <c r="C1225" t="s">
        <v>692</v>
      </c>
      <c r="D1225" t="s">
        <v>439</v>
      </c>
      <c r="E1225" t="s">
        <v>172</v>
      </c>
      <c r="F1225" t="s">
        <v>443</v>
      </c>
      <c r="G1225" t="s">
        <v>441</v>
      </c>
      <c r="H1225">
        <v>1</v>
      </c>
      <c r="I1225">
        <v>2</v>
      </c>
      <c r="J1225">
        <v>0</v>
      </c>
      <c r="K1225">
        <v>0</v>
      </c>
      <c r="AQ1225">
        <v>3</v>
      </c>
      <c r="AR1225">
        <v>1590.75</v>
      </c>
      <c r="AS1225">
        <v>4772.25</v>
      </c>
    </row>
    <row r="1226" spans="1:45" hidden="1">
      <c r="A1226" t="s">
        <v>16</v>
      </c>
      <c r="B1226" t="s">
        <v>758</v>
      </c>
      <c r="C1226" t="s">
        <v>693</v>
      </c>
      <c r="D1226" t="s">
        <v>439</v>
      </c>
      <c r="E1226" t="s">
        <v>172</v>
      </c>
      <c r="F1226" t="s">
        <v>440</v>
      </c>
      <c r="G1226" t="s">
        <v>441</v>
      </c>
      <c r="H1226">
        <v>2</v>
      </c>
      <c r="I1226">
        <v>6</v>
      </c>
      <c r="J1226">
        <v>2</v>
      </c>
      <c r="K1226">
        <v>2</v>
      </c>
      <c r="AQ1226">
        <v>12</v>
      </c>
      <c r="AR1226">
        <v>1590.75</v>
      </c>
      <c r="AS1226">
        <v>19089</v>
      </c>
    </row>
    <row r="1227" spans="1:45" hidden="1">
      <c r="A1227" t="s">
        <v>16</v>
      </c>
      <c r="B1227" t="s">
        <v>758</v>
      </c>
      <c r="C1227" t="s">
        <v>694</v>
      </c>
      <c r="D1227" t="s">
        <v>439</v>
      </c>
      <c r="E1227" t="s">
        <v>172</v>
      </c>
      <c r="F1227" t="s">
        <v>695</v>
      </c>
      <c r="G1227" t="s">
        <v>441</v>
      </c>
      <c r="H1227">
        <v>0</v>
      </c>
      <c r="I1227">
        <v>0</v>
      </c>
      <c r="J1227">
        <v>0</v>
      </c>
      <c r="K1227">
        <v>0</v>
      </c>
      <c r="AQ1227">
        <v>0</v>
      </c>
      <c r="AR1227">
        <v>1802.85</v>
      </c>
      <c r="AS1227">
        <v>0</v>
      </c>
    </row>
    <row r="1228" spans="1:45" hidden="1">
      <c r="A1228" t="s">
        <v>16</v>
      </c>
      <c r="B1228" t="s">
        <v>758</v>
      </c>
      <c r="C1228" t="s">
        <v>696</v>
      </c>
      <c r="D1228" t="s">
        <v>446</v>
      </c>
      <c r="E1228" t="s">
        <v>172</v>
      </c>
      <c r="F1228" t="s">
        <v>447</v>
      </c>
      <c r="G1228" t="s">
        <v>448</v>
      </c>
      <c r="H1228">
        <v>0</v>
      </c>
      <c r="I1228">
        <v>0</v>
      </c>
      <c r="J1228">
        <v>0</v>
      </c>
      <c r="K1228">
        <v>0</v>
      </c>
      <c r="AQ1228">
        <v>0</v>
      </c>
      <c r="AR1228">
        <v>10.605</v>
      </c>
      <c r="AS1228">
        <v>0</v>
      </c>
    </row>
    <row r="1229" spans="1:45" hidden="1">
      <c r="A1229" t="s">
        <v>16</v>
      </c>
      <c r="B1229" t="s">
        <v>758</v>
      </c>
      <c r="C1229" t="s">
        <v>178</v>
      </c>
      <c r="D1229" t="s">
        <v>179</v>
      </c>
      <c r="E1229" t="s">
        <v>172</v>
      </c>
      <c r="F1229" t="s">
        <v>180</v>
      </c>
      <c r="G1229" t="s">
        <v>181</v>
      </c>
      <c r="H1229">
        <v>206</v>
      </c>
      <c r="I1229">
        <v>400</v>
      </c>
      <c r="J1229">
        <v>44</v>
      </c>
      <c r="K1229">
        <v>70</v>
      </c>
      <c r="L1229">
        <v>80</v>
      </c>
      <c r="M1229">
        <v>60</v>
      </c>
      <c r="AQ1229">
        <v>860</v>
      </c>
      <c r="AR1229">
        <v>106.05</v>
      </c>
      <c r="AS1229">
        <v>91203</v>
      </c>
    </row>
    <row r="1230" spans="1:45" hidden="1">
      <c r="A1230" t="s">
        <v>16</v>
      </c>
      <c r="B1230" t="s">
        <v>758</v>
      </c>
      <c r="C1230" t="s">
        <v>182</v>
      </c>
      <c r="D1230" t="s">
        <v>179</v>
      </c>
      <c r="E1230" t="s">
        <v>172</v>
      </c>
      <c r="F1230" t="s">
        <v>183</v>
      </c>
      <c r="G1230" t="s">
        <v>152</v>
      </c>
      <c r="H1230">
        <v>39018</v>
      </c>
      <c r="I1230">
        <v>69366</v>
      </c>
      <c r="J1230">
        <v>25545</v>
      </c>
      <c r="K1230">
        <v>17135</v>
      </c>
      <c r="L1230">
        <v>11000</v>
      </c>
      <c r="M1230">
        <v>6000</v>
      </c>
      <c r="AQ1230">
        <v>168064</v>
      </c>
      <c r="AR1230">
        <v>0.1515</v>
      </c>
      <c r="AS1230">
        <v>25461.696</v>
      </c>
    </row>
    <row r="1231" spans="1:45" hidden="1">
      <c r="A1231" t="s">
        <v>16</v>
      </c>
      <c r="B1231" t="s">
        <v>758</v>
      </c>
      <c r="C1231" t="s">
        <v>697</v>
      </c>
      <c r="D1231" t="s">
        <v>449</v>
      </c>
      <c r="E1231" t="s">
        <v>172</v>
      </c>
      <c r="F1231" t="s">
        <v>450</v>
      </c>
      <c r="G1231" t="s">
        <v>451</v>
      </c>
      <c r="H1231">
        <v>2</v>
      </c>
      <c r="I1231">
        <v>3</v>
      </c>
      <c r="J1231">
        <v>3</v>
      </c>
      <c r="K1231">
        <v>2</v>
      </c>
      <c r="AQ1231">
        <v>10</v>
      </c>
      <c r="AR1231">
        <v>1908.9</v>
      </c>
      <c r="AS1231">
        <v>19089</v>
      </c>
    </row>
    <row r="1232" spans="1:45" hidden="1">
      <c r="A1232" t="s">
        <v>16</v>
      </c>
      <c r="B1232" t="s">
        <v>758</v>
      </c>
      <c r="C1232" t="s">
        <v>698</v>
      </c>
      <c r="D1232" t="s">
        <v>424</v>
      </c>
      <c r="E1232" t="s">
        <v>172</v>
      </c>
      <c r="F1232" t="s">
        <v>425</v>
      </c>
      <c r="G1232" t="s">
        <v>426</v>
      </c>
      <c r="H1232">
        <v>0</v>
      </c>
      <c r="I1232">
        <v>5</v>
      </c>
      <c r="J1232">
        <v>3</v>
      </c>
      <c r="K1232">
        <v>0</v>
      </c>
      <c r="AQ1232">
        <v>8</v>
      </c>
      <c r="AR1232">
        <v>132.5625</v>
      </c>
      <c r="AS1232">
        <v>1060.5</v>
      </c>
    </row>
    <row r="1233" spans="1:45" hidden="1">
      <c r="A1233" t="s">
        <v>16</v>
      </c>
      <c r="B1233" t="s">
        <v>758</v>
      </c>
      <c r="C1233" t="s">
        <v>699</v>
      </c>
      <c r="D1233" t="s">
        <v>287</v>
      </c>
      <c r="E1233" t="s">
        <v>172</v>
      </c>
      <c r="F1233" t="s">
        <v>452</v>
      </c>
      <c r="G1233" t="s">
        <v>453</v>
      </c>
      <c r="H1233">
        <v>0</v>
      </c>
      <c r="I1233">
        <v>1</v>
      </c>
      <c r="J1233">
        <v>0</v>
      </c>
      <c r="K1233">
        <v>0</v>
      </c>
      <c r="AQ1233">
        <v>1</v>
      </c>
      <c r="AR1233">
        <v>3181.5</v>
      </c>
      <c r="AS1233">
        <v>3181.5</v>
      </c>
    </row>
    <row r="1234" spans="1:45" hidden="1">
      <c r="A1234" t="s">
        <v>16</v>
      </c>
      <c r="B1234" t="s">
        <v>758</v>
      </c>
      <c r="C1234" t="s">
        <v>700</v>
      </c>
      <c r="D1234" t="s">
        <v>287</v>
      </c>
      <c r="E1234" t="s">
        <v>172</v>
      </c>
      <c r="F1234" t="s">
        <v>454</v>
      </c>
      <c r="G1234" t="s">
        <v>455</v>
      </c>
      <c r="H1234">
        <v>0</v>
      </c>
      <c r="I1234">
        <v>0</v>
      </c>
      <c r="J1234">
        <v>0</v>
      </c>
      <c r="K1234">
        <v>0</v>
      </c>
      <c r="AQ1234">
        <v>0</v>
      </c>
      <c r="AR1234">
        <v>318150</v>
      </c>
      <c r="AS1234">
        <v>0</v>
      </c>
    </row>
    <row r="1235" spans="1:45" hidden="1">
      <c r="A1235" t="s">
        <v>16</v>
      </c>
      <c r="B1235" t="s">
        <v>758</v>
      </c>
      <c r="C1235" t="s">
        <v>701</v>
      </c>
      <c r="D1235" t="s">
        <v>287</v>
      </c>
      <c r="E1235" t="s">
        <v>172</v>
      </c>
      <c r="F1235" t="s">
        <v>456</v>
      </c>
      <c r="G1235" t="s">
        <v>457</v>
      </c>
      <c r="H1235">
        <v>0</v>
      </c>
      <c r="I1235">
        <v>0</v>
      </c>
      <c r="J1235">
        <v>0</v>
      </c>
      <c r="K1235">
        <v>0</v>
      </c>
      <c r="AQ1235">
        <v>0</v>
      </c>
      <c r="AR1235">
        <v>238612.5</v>
      </c>
      <c r="AS1235">
        <v>0</v>
      </c>
    </row>
    <row r="1236" spans="1:45" hidden="1">
      <c r="A1236" t="s">
        <v>16</v>
      </c>
      <c r="B1236" t="s">
        <v>758</v>
      </c>
      <c r="C1236" t="s">
        <v>184</v>
      </c>
      <c r="D1236" t="s">
        <v>185</v>
      </c>
      <c r="E1236" t="s">
        <v>186</v>
      </c>
      <c r="F1236" t="s">
        <v>187</v>
      </c>
      <c r="G1236" t="s">
        <v>188</v>
      </c>
      <c r="H1236">
        <v>3</v>
      </c>
      <c r="I1236">
        <v>1</v>
      </c>
      <c r="J1236">
        <v>1</v>
      </c>
      <c r="K1236">
        <v>1</v>
      </c>
      <c r="AQ1236">
        <v>6</v>
      </c>
      <c r="AR1236">
        <v>2121</v>
      </c>
      <c r="AS1236">
        <v>12726</v>
      </c>
    </row>
    <row r="1237" spans="1:45" hidden="1">
      <c r="A1237" t="s">
        <v>16</v>
      </c>
      <c r="B1237" t="s">
        <v>758</v>
      </c>
      <c r="C1237" t="s">
        <v>189</v>
      </c>
      <c r="D1237" t="s">
        <v>190</v>
      </c>
      <c r="E1237" t="s">
        <v>186</v>
      </c>
      <c r="F1237" t="s">
        <v>191</v>
      </c>
      <c r="G1237" t="s">
        <v>192</v>
      </c>
      <c r="H1237">
        <v>1</v>
      </c>
      <c r="I1237">
        <v>3</v>
      </c>
      <c r="J1237">
        <v>2</v>
      </c>
      <c r="K1237">
        <v>2</v>
      </c>
      <c r="L1237">
        <v>7</v>
      </c>
      <c r="M1237">
        <v>6</v>
      </c>
      <c r="AQ1237">
        <v>21</v>
      </c>
      <c r="AR1237">
        <v>1060.5</v>
      </c>
      <c r="AS1237">
        <v>22270.5</v>
      </c>
    </row>
    <row r="1238" spans="1:45" hidden="1">
      <c r="A1238" t="s">
        <v>16</v>
      </c>
      <c r="B1238" t="s">
        <v>758</v>
      </c>
      <c r="C1238" t="s">
        <v>702</v>
      </c>
      <c r="D1238" t="s">
        <v>190</v>
      </c>
      <c r="E1238" t="s">
        <v>186</v>
      </c>
      <c r="F1238" t="s">
        <v>458</v>
      </c>
      <c r="G1238" t="s">
        <v>459</v>
      </c>
      <c r="H1238">
        <v>0</v>
      </c>
      <c r="I1238">
        <v>0</v>
      </c>
      <c r="J1238">
        <v>1</v>
      </c>
      <c r="K1238">
        <v>0</v>
      </c>
      <c r="AQ1238">
        <v>1</v>
      </c>
      <c r="AR1238">
        <v>1590.75</v>
      </c>
      <c r="AS1238">
        <v>1590.75</v>
      </c>
    </row>
    <row r="1239" spans="1:45" hidden="1">
      <c r="A1239" t="s">
        <v>16</v>
      </c>
      <c r="B1239" t="s">
        <v>758</v>
      </c>
      <c r="C1239" t="s">
        <v>193</v>
      </c>
      <c r="D1239" t="s">
        <v>194</v>
      </c>
      <c r="E1239" t="s">
        <v>186</v>
      </c>
      <c r="F1239" t="s">
        <v>195</v>
      </c>
      <c r="G1239" t="s">
        <v>152</v>
      </c>
      <c r="H1239">
        <v>38538</v>
      </c>
      <c r="I1239">
        <v>69366</v>
      </c>
      <c r="J1239">
        <v>25546</v>
      </c>
      <c r="K1239">
        <v>18000</v>
      </c>
      <c r="L1239">
        <v>11000</v>
      </c>
      <c r="M1239">
        <v>6000</v>
      </c>
      <c r="AQ1239">
        <v>168450</v>
      </c>
      <c r="AR1239">
        <v>0.63629999999999998</v>
      </c>
      <c r="AS1239">
        <v>107184.735</v>
      </c>
    </row>
    <row r="1240" spans="1:45" hidden="1">
      <c r="A1240" t="s">
        <v>16</v>
      </c>
      <c r="B1240" t="s">
        <v>758</v>
      </c>
      <c r="C1240" t="s">
        <v>197</v>
      </c>
      <c r="D1240" t="s">
        <v>198</v>
      </c>
      <c r="E1240" t="s">
        <v>186</v>
      </c>
      <c r="F1240" t="s">
        <v>199</v>
      </c>
      <c r="G1240" t="s">
        <v>200</v>
      </c>
      <c r="H1240">
        <v>1</v>
      </c>
      <c r="I1240">
        <v>3</v>
      </c>
      <c r="J1240">
        <v>3</v>
      </c>
      <c r="K1240">
        <v>3</v>
      </c>
      <c r="L1240">
        <v>7</v>
      </c>
      <c r="M1240">
        <v>6</v>
      </c>
      <c r="AQ1240">
        <v>23</v>
      </c>
      <c r="AR1240">
        <v>4984.3500000000004</v>
      </c>
      <c r="AS1240">
        <v>114640.05</v>
      </c>
    </row>
    <row r="1241" spans="1:45" hidden="1">
      <c r="A1241" t="s">
        <v>16</v>
      </c>
      <c r="B1241" t="s">
        <v>758</v>
      </c>
      <c r="C1241" t="s">
        <v>201</v>
      </c>
      <c r="D1241" t="s">
        <v>202</v>
      </c>
      <c r="E1241" t="s">
        <v>186</v>
      </c>
      <c r="F1241" t="s">
        <v>203</v>
      </c>
      <c r="G1241" t="s">
        <v>204</v>
      </c>
      <c r="H1241">
        <v>10</v>
      </c>
      <c r="I1241">
        <v>15</v>
      </c>
      <c r="J1241">
        <v>0</v>
      </c>
      <c r="K1241">
        <v>10</v>
      </c>
      <c r="L1241">
        <v>28</v>
      </c>
      <c r="M1241">
        <v>24</v>
      </c>
      <c r="AQ1241">
        <v>87</v>
      </c>
      <c r="AR1241">
        <v>31.815000000000001</v>
      </c>
      <c r="AS1241">
        <v>2767.9050000000002</v>
      </c>
    </row>
    <row r="1242" spans="1:45" hidden="1">
      <c r="A1242" t="s">
        <v>16</v>
      </c>
      <c r="B1242" t="s">
        <v>758</v>
      </c>
      <c r="C1242" t="s">
        <v>703</v>
      </c>
      <c r="D1242" t="s">
        <v>460</v>
      </c>
      <c r="E1242" t="s">
        <v>186</v>
      </c>
      <c r="F1242" t="s">
        <v>461</v>
      </c>
      <c r="G1242" t="s">
        <v>462</v>
      </c>
      <c r="H1242">
        <v>0</v>
      </c>
      <c r="I1242">
        <v>0</v>
      </c>
      <c r="J1242">
        <v>0</v>
      </c>
      <c r="K1242">
        <v>0</v>
      </c>
      <c r="AQ1242">
        <v>0</v>
      </c>
      <c r="AR1242">
        <v>15907.5</v>
      </c>
      <c r="AS1242">
        <v>0</v>
      </c>
    </row>
    <row r="1243" spans="1:45" hidden="1">
      <c r="A1243" t="s">
        <v>16</v>
      </c>
      <c r="B1243" t="s">
        <v>758</v>
      </c>
      <c r="C1243" t="s">
        <v>704</v>
      </c>
      <c r="D1243" t="s">
        <v>468</v>
      </c>
      <c r="E1243" t="s">
        <v>186</v>
      </c>
      <c r="F1243" t="s">
        <v>469</v>
      </c>
      <c r="G1243" t="s">
        <v>470</v>
      </c>
      <c r="H1243">
        <v>0</v>
      </c>
      <c r="I1243">
        <v>0</v>
      </c>
      <c r="J1243">
        <v>0</v>
      </c>
      <c r="K1243">
        <v>0</v>
      </c>
      <c r="AQ1243">
        <v>0</v>
      </c>
      <c r="AR1243">
        <v>159.07499999999999</v>
      </c>
      <c r="AS1243">
        <v>0</v>
      </c>
    </row>
    <row r="1244" spans="1:45" hidden="1">
      <c r="A1244" t="s">
        <v>16</v>
      </c>
      <c r="B1244" t="s">
        <v>758</v>
      </c>
      <c r="C1244" t="s">
        <v>705</v>
      </c>
      <c r="D1244" t="s">
        <v>463</v>
      </c>
      <c r="E1244" t="s">
        <v>186</v>
      </c>
      <c r="F1244" t="s">
        <v>466</v>
      </c>
      <c r="G1244" t="s">
        <v>467</v>
      </c>
      <c r="H1244">
        <v>0</v>
      </c>
      <c r="I1244">
        <v>0</v>
      </c>
      <c r="J1244">
        <v>0</v>
      </c>
      <c r="K1244">
        <v>0</v>
      </c>
      <c r="AQ1244">
        <v>0</v>
      </c>
      <c r="AR1244">
        <v>509.04</v>
      </c>
      <c r="AS1244">
        <v>0</v>
      </c>
    </row>
    <row r="1245" spans="1:45" hidden="1">
      <c r="A1245" t="s">
        <v>16</v>
      </c>
      <c r="B1245" t="s">
        <v>758</v>
      </c>
      <c r="C1245" t="s">
        <v>706</v>
      </c>
      <c r="D1245" t="s">
        <v>463</v>
      </c>
      <c r="E1245" t="s">
        <v>186</v>
      </c>
      <c r="F1245" t="s">
        <v>464</v>
      </c>
      <c r="G1245" t="s">
        <v>465</v>
      </c>
      <c r="H1245">
        <v>0</v>
      </c>
      <c r="I1245">
        <v>0</v>
      </c>
      <c r="J1245">
        <v>0</v>
      </c>
      <c r="K1245">
        <v>0</v>
      </c>
      <c r="AQ1245">
        <v>0</v>
      </c>
      <c r="AR1245">
        <v>1060.5</v>
      </c>
      <c r="AS1245">
        <v>0</v>
      </c>
    </row>
    <row r="1246" spans="1:45" hidden="1">
      <c r="A1246" t="s">
        <v>16</v>
      </c>
      <c r="B1246" t="s">
        <v>758</v>
      </c>
      <c r="C1246" t="s">
        <v>707</v>
      </c>
      <c r="D1246" t="s">
        <v>471</v>
      </c>
      <c r="E1246" t="s">
        <v>186</v>
      </c>
      <c r="F1246" t="s">
        <v>472</v>
      </c>
      <c r="G1246" t="s">
        <v>473</v>
      </c>
      <c r="H1246">
        <v>0</v>
      </c>
      <c r="I1246">
        <v>0</v>
      </c>
      <c r="J1246">
        <v>0</v>
      </c>
      <c r="K1246">
        <v>0</v>
      </c>
      <c r="AQ1246">
        <v>0</v>
      </c>
      <c r="AR1246">
        <v>15377.25</v>
      </c>
      <c r="AS1246">
        <v>0</v>
      </c>
    </row>
    <row r="1247" spans="1:45" hidden="1">
      <c r="A1247" t="s">
        <v>16</v>
      </c>
      <c r="B1247" t="s">
        <v>758</v>
      </c>
      <c r="C1247" t="s">
        <v>759</v>
      </c>
      <c r="D1247" t="s">
        <v>287</v>
      </c>
      <c r="E1247" t="s">
        <v>186</v>
      </c>
      <c r="F1247" t="s">
        <v>563</v>
      </c>
      <c r="G1247" t="s">
        <v>760</v>
      </c>
      <c r="H1247">
        <v>2</v>
      </c>
      <c r="I1247">
        <v>1</v>
      </c>
      <c r="K1247">
        <v>1</v>
      </c>
      <c r="AQ1247">
        <v>4</v>
      </c>
      <c r="AR1247">
        <v>550</v>
      </c>
      <c r="AS1247">
        <v>2200</v>
      </c>
    </row>
    <row r="1248" spans="1:45" hidden="1">
      <c r="A1248" t="s">
        <v>16</v>
      </c>
      <c r="B1248" t="s">
        <v>758</v>
      </c>
      <c r="C1248" t="s">
        <v>205</v>
      </c>
      <c r="D1248" t="s">
        <v>206</v>
      </c>
      <c r="E1248" t="s">
        <v>207</v>
      </c>
      <c r="F1248" t="s">
        <v>208</v>
      </c>
      <c r="G1248" t="s">
        <v>209</v>
      </c>
      <c r="H1248">
        <v>33460</v>
      </c>
      <c r="I1248">
        <v>69366</v>
      </c>
      <c r="J1248">
        <v>22400</v>
      </c>
      <c r="K1248">
        <v>13700</v>
      </c>
      <c r="L1248">
        <v>11000</v>
      </c>
      <c r="M1248">
        <v>6000</v>
      </c>
      <c r="AQ1248">
        <v>155926</v>
      </c>
      <c r="AR1248">
        <v>0.16159999999999999</v>
      </c>
      <c r="AS1248">
        <v>25197.641599999999</v>
      </c>
    </row>
    <row r="1249" spans="1:45" hidden="1">
      <c r="A1249" t="s">
        <v>16</v>
      </c>
      <c r="B1249" t="s">
        <v>758</v>
      </c>
      <c r="C1249" t="s">
        <v>210</v>
      </c>
      <c r="D1249" t="s">
        <v>211</v>
      </c>
      <c r="E1249" t="s">
        <v>207</v>
      </c>
      <c r="F1249" t="s">
        <v>212</v>
      </c>
      <c r="G1249" t="s">
        <v>209</v>
      </c>
      <c r="H1249">
        <v>32000</v>
      </c>
      <c r="I1249">
        <v>69366</v>
      </c>
      <c r="J1249">
        <v>23400</v>
      </c>
      <c r="K1249">
        <v>15521</v>
      </c>
      <c r="L1249">
        <v>11000</v>
      </c>
      <c r="M1249">
        <v>6000</v>
      </c>
      <c r="AQ1249">
        <v>157287</v>
      </c>
      <c r="AR1249">
        <v>0.63629999999999998</v>
      </c>
      <c r="AS1249">
        <v>100081.7181</v>
      </c>
    </row>
    <row r="1250" spans="1:45" hidden="1">
      <c r="A1250" t="s">
        <v>16</v>
      </c>
      <c r="B1250" t="s">
        <v>758</v>
      </c>
      <c r="C1250" t="s">
        <v>213</v>
      </c>
      <c r="D1250" t="s">
        <v>214</v>
      </c>
      <c r="E1250" t="s">
        <v>207</v>
      </c>
      <c r="F1250" t="s">
        <v>215</v>
      </c>
      <c r="G1250" t="s">
        <v>152</v>
      </c>
      <c r="H1250">
        <v>36619</v>
      </c>
      <c r="I1250">
        <v>69366</v>
      </c>
      <c r="J1250">
        <v>24000</v>
      </c>
      <c r="K1250">
        <v>17135</v>
      </c>
      <c r="L1250">
        <v>11000</v>
      </c>
      <c r="M1250">
        <v>6000</v>
      </c>
      <c r="AQ1250">
        <v>164120</v>
      </c>
      <c r="AR1250">
        <v>0.32319999999999999</v>
      </c>
      <c r="AS1250">
        <v>53043.584000000003</v>
      </c>
    </row>
    <row r="1251" spans="1:45" hidden="1">
      <c r="A1251" t="s">
        <v>16</v>
      </c>
      <c r="B1251" t="s">
        <v>758</v>
      </c>
      <c r="C1251" t="s">
        <v>255</v>
      </c>
      <c r="D1251" t="s">
        <v>256</v>
      </c>
      <c r="E1251" t="s">
        <v>207</v>
      </c>
      <c r="F1251" t="s">
        <v>257</v>
      </c>
      <c r="G1251" t="s">
        <v>258</v>
      </c>
      <c r="H1251">
        <v>380</v>
      </c>
      <c r="I1251">
        <v>450</v>
      </c>
      <c r="J1251">
        <v>150</v>
      </c>
      <c r="K1251">
        <v>175</v>
      </c>
      <c r="L1251">
        <v>240</v>
      </c>
      <c r="M1251">
        <v>180</v>
      </c>
      <c r="AQ1251">
        <v>1575</v>
      </c>
      <c r="AR1251">
        <v>31.815000000000001</v>
      </c>
      <c r="AS1251">
        <v>50108.625</v>
      </c>
    </row>
    <row r="1252" spans="1:45" hidden="1">
      <c r="A1252" t="s">
        <v>16</v>
      </c>
      <c r="B1252" t="s">
        <v>758</v>
      </c>
      <c r="C1252" t="s">
        <v>217</v>
      </c>
      <c r="D1252" t="s">
        <v>218</v>
      </c>
      <c r="E1252" t="s">
        <v>207</v>
      </c>
      <c r="F1252" t="s">
        <v>219</v>
      </c>
      <c r="G1252" t="s">
        <v>220</v>
      </c>
      <c r="H1252">
        <v>390</v>
      </c>
      <c r="I1252">
        <v>650</v>
      </c>
      <c r="J1252">
        <v>195</v>
      </c>
      <c r="K1252">
        <v>200</v>
      </c>
      <c r="L1252">
        <v>240</v>
      </c>
      <c r="M1252">
        <v>200</v>
      </c>
      <c r="AQ1252">
        <v>1875</v>
      </c>
      <c r="AR1252">
        <v>9.5950000000000006</v>
      </c>
      <c r="AS1252">
        <v>17990.625</v>
      </c>
    </row>
    <row r="1253" spans="1:45" hidden="1">
      <c r="A1253" t="s">
        <v>16</v>
      </c>
      <c r="B1253" t="s">
        <v>758</v>
      </c>
      <c r="C1253" t="s">
        <v>708</v>
      </c>
      <c r="D1253" t="s">
        <v>474</v>
      </c>
      <c r="E1253" t="s">
        <v>207</v>
      </c>
      <c r="F1253" t="s">
        <v>475</v>
      </c>
      <c r="G1253" t="s">
        <v>476</v>
      </c>
      <c r="H1253">
        <v>11</v>
      </c>
      <c r="I1253">
        <v>70</v>
      </c>
      <c r="J1253">
        <v>11</v>
      </c>
      <c r="K1253">
        <v>0</v>
      </c>
      <c r="L1253">
        <v>21</v>
      </c>
      <c r="M1253">
        <v>18</v>
      </c>
      <c r="AQ1253">
        <v>131</v>
      </c>
      <c r="AR1253">
        <v>79.790000000000006</v>
      </c>
      <c r="AS1253">
        <v>10452.49</v>
      </c>
    </row>
    <row r="1254" spans="1:45" hidden="1">
      <c r="A1254" t="s">
        <v>16</v>
      </c>
      <c r="B1254" t="s">
        <v>758</v>
      </c>
      <c r="C1254" t="s">
        <v>709</v>
      </c>
      <c r="D1254" t="s">
        <v>477</v>
      </c>
      <c r="E1254" t="s">
        <v>207</v>
      </c>
      <c r="F1254" t="s">
        <v>478</v>
      </c>
      <c r="G1254" t="s">
        <v>479</v>
      </c>
      <c r="H1254">
        <v>2000</v>
      </c>
      <c r="I1254">
        <v>4000</v>
      </c>
      <c r="J1254">
        <v>1000</v>
      </c>
      <c r="K1254">
        <v>852</v>
      </c>
      <c r="AQ1254">
        <v>7852</v>
      </c>
      <c r="AR1254">
        <v>2.121</v>
      </c>
      <c r="AS1254">
        <v>16654.092000000001</v>
      </c>
    </row>
    <row r="1255" spans="1:45" hidden="1">
      <c r="A1255" t="s">
        <v>16</v>
      </c>
      <c r="B1255" t="s">
        <v>758</v>
      </c>
      <c r="C1255" t="s">
        <v>221</v>
      </c>
      <c r="D1255" t="s">
        <v>222</v>
      </c>
      <c r="E1255" t="s">
        <v>207</v>
      </c>
      <c r="F1255" t="s">
        <v>223</v>
      </c>
      <c r="G1255" t="s">
        <v>224</v>
      </c>
      <c r="H1255">
        <v>1</v>
      </c>
      <c r="I1255">
        <v>1</v>
      </c>
      <c r="J1255">
        <v>1</v>
      </c>
      <c r="K1255">
        <v>0</v>
      </c>
      <c r="AQ1255">
        <v>3</v>
      </c>
      <c r="AR1255">
        <v>2651.25</v>
      </c>
      <c r="AS1255">
        <v>7953.75</v>
      </c>
    </row>
    <row r="1256" spans="1:45" hidden="1">
      <c r="A1256" t="s">
        <v>16</v>
      </c>
      <c r="B1256" t="s">
        <v>758</v>
      </c>
      <c r="C1256" t="s">
        <v>225</v>
      </c>
      <c r="D1256" t="s">
        <v>226</v>
      </c>
      <c r="E1256" t="s">
        <v>207</v>
      </c>
      <c r="F1256" t="s">
        <v>227</v>
      </c>
      <c r="G1256" t="s">
        <v>228</v>
      </c>
      <c r="H1256">
        <v>138</v>
      </c>
      <c r="I1256">
        <v>200</v>
      </c>
      <c r="J1256">
        <v>73</v>
      </c>
      <c r="K1256">
        <v>109</v>
      </c>
      <c r="L1256">
        <v>48</v>
      </c>
      <c r="M1256">
        <v>36</v>
      </c>
      <c r="AQ1256">
        <v>604</v>
      </c>
      <c r="AR1256">
        <v>21.21</v>
      </c>
      <c r="AS1256">
        <v>12810.84</v>
      </c>
    </row>
    <row r="1257" spans="1:45" hidden="1">
      <c r="A1257" t="s">
        <v>16</v>
      </c>
      <c r="B1257" t="s">
        <v>758</v>
      </c>
      <c r="C1257" t="s">
        <v>710</v>
      </c>
      <c r="D1257" t="s">
        <v>480</v>
      </c>
      <c r="E1257" t="s">
        <v>207</v>
      </c>
      <c r="F1257" t="s">
        <v>481</v>
      </c>
      <c r="G1257" t="s">
        <v>482</v>
      </c>
      <c r="H1257">
        <v>0</v>
      </c>
      <c r="I1257">
        <v>2</v>
      </c>
      <c r="J1257">
        <v>0</v>
      </c>
      <c r="K1257">
        <v>1</v>
      </c>
      <c r="AQ1257">
        <v>3</v>
      </c>
      <c r="AR1257">
        <v>1272.5999999999999</v>
      </c>
      <c r="AS1257">
        <v>3817.8</v>
      </c>
    </row>
    <row r="1258" spans="1:45" hidden="1">
      <c r="A1258" t="s">
        <v>16</v>
      </c>
      <c r="B1258" t="s">
        <v>758</v>
      </c>
      <c r="C1258" t="s">
        <v>711</v>
      </c>
      <c r="D1258" t="s">
        <v>488</v>
      </c>
      <c r="E1258" t="s">
        <v>207</v>
      </c>
      <c r="F1258" t="s">
        <v>489</v>
      </c>
      <c r="G1258" t="s">
        <v>490</v>
      </c>
      <c r="H1258">
        <v>0</v>
      </c>
      <c r="I1258">
        <v>2</v>
      </c>
      <c r="J1258">
        <v>0</v>
      </c>
      <c r="K1258">
        <v>1</v>
      </c>
      <c r="AQ1258">
        <v>3</v>
      </c>
      <c r="AR1258">
        <v>0.5353</v>
      </c>
      <c r="AS1258">
        <v>1.6059000000000001</v>
      </c>
    </row>
    <row r="1259" spans="1:45" hidden="1">
      <c r="A1259" t="s">
        <v>16</v>
      </c>
      <c r="B1259" t="s">
        <v>758</v>
      </c>
      <c r="C1259" t="s">
        <v>712</v>
      </c>
      <c r="D1259" t="s">
        <v>483</v>
      </c>
      <c r="E1259" t="s">
        <v>207</v>
      </c>
      <c r="F1259" t="s">
        <v>484</v>
      </c>
      <c r="G1259" t="s">
        <v>392</v>
      </c>
      <c r="H1259">
        <v>0</v>
      </c>
      <c r="I1259">
        <v>0</v>
      </c>
      <c r="J1259">
        <v>0</v>
      </c>
      <c r="K1259">
        <v>0</v>
      </c>
      <c r="AQ1259">
        <v>0</v>
      </c>
      <c r="AR1259">
        <v>2121</v>
      </c>
      <c r="AS1259">
        <v>0</v>
      </c>
    </row>
    <row r="1260" spans="1:45" hidden="1">
      <c r="A1260" t="s">
        <v>16</v>
      </c>
      <c r="B1260" t="s">
        <v>758</v>
      </c>
      <c r="C1260" t="s">
        <v>713</v>
      </c>
      <c r="D1260" t="s">
        <v>485</v>
      </c>
      <c r="E1260" t="s">
        <v>207</v>
      </c>
      <c r="F1260" t="s">
        <v>486</v>
      </c>
      <c r="G1260" t="s">
        <v>487</v>
      </c>
      <c r="H1260">
        <v>3</v>
      </c>
      <c r="I1260">
        <v>5</v>
      </c>
      <c r="J1260">
        <v>4</v>
      </c>
      <c r="K1260">
        <v>2</v>
      </c>
      <c r="L1260">
        <v>8</v>
      </c>
      <c r="M1260">
        <v>6</v>
      </c>
      <c r="AQ1260">
        <v>28</v>
      </c>
      <c r="AR1260">
        <v>265.125</v>
      </c>
      <c r="AS1260">
        <v>7423.5</v>
      </c>
    </row>
    <row r="1261" spans="1:45" hidden="1">
      <c r="A1261" t="s">
        <v>16</v>
      </c>
      <c r="B1261" t="s">
        <v>758</v>
      </c>
      <c r="C1261" t="s">
        <v>229</v>
      </c>
      <c r="D1261" t="s">
        <v>230</v>
      </c>
      <c r="E1261" t="s">
        <v>231</v>
      </c>
      <c r="F1261" t="s">
        <v>232</v>
      </c>
      <c r="G1261" t="s">
        <v>233</v>
      </c>
      <c r="H1261">
        <v>1</v>
      </c>
      <c r="I1261">
        <v>11</v>
      </c>
      <c r="J1261">
        <v>18</v>
      </c>
      <c r="K1261">
        <v>24</v>
      </c>
      <c r="L1261">
        <v>10</v>
      </c>
      <c r="M1261">
        <v>12</v>
      </c>
      <c r="AQ1261">
        <v>76</v>
      </c>
      <c r="AR1261">
        <v>1484.7</v>
      </c>
      <c r="AS1261">
        <v>112837.2</v>
      </c>
    </row>
    <row r="1262" spans="1:45" hidden="1">
      <c r="A1262" t="s">
        <v>16</v>
      </c>
      <c r="B1262" t="s">
        <v>758</v>
      </c>
      <c r="C1262" t="s">
        <v>234</v>
      </c>
      <c r="D1262" t="s">
        <v>230</v>
      </c>
      <c r="E1262" t="s">
        <v>231</v>
      </c>
      <c r="F1262" t="s">
        <v>285</v>
      </c>
      <c r="G1262" t="s">
        <v>233</v>
      </c>
      <c r="H1262">
        <v>16</v>
      </c>
      <c r="I1262">
        <v>18</v>
      </c>
      <c r="J1262">
        <v>0</v>
      </c>
      <c r="K1262">
        <v>0</v>
      </c>
      <c r="AQ1262">
        <v>34</v>
      </c>
      <c r="AR1262">
        <v>1696.8</v>
      </c>
      <c r="AS1262">
        <v>57691.199999999997</v>
      </c>
    </row>
    <row r="1263" spans="1:45" hidden="1">
      <c r="A1263" t="s">
        <v>16</v>
      </c>
      <c r="B1263" t="s">
        <v>758</v>
      </c>
      <c r="C1263" t="s">
        <v>714</v>
      </c>
      <c r="D1263" t="s">
        <v>230</v>
      </c>
      <c r="E1263" t="s">
        <v>231</v>
      </c>
      <c r="F1263" t="s">
        <v>491</v>
      </c>
      <c r="G1263" t="s">
        <v>233</v>
      </c>
      <c r="H1263">
        <v>0</v>
      </c>
      <c r="I1263">
        <v>1</v>
      </c>
      <c r="J1263">
        <v>0</v>
      </c>
      <c r="K1263">
        <v>0</v>
      </c>
      <c r="AQ1263">
        <v>1</v>
      </c>
      <c r="AR1263">
        <v>1908.9</v>
      </c>
      <c r="AS1263">
        <v>1908.9</v>
      </c>
    </row>
    <row r="1264" spans="1:45" hidden="1">
      <c r="A1264" t="s">
        <v>16</v>
      </c>
      <c r="B1264" t="s">
        <v>758</v>
      </c>
      <c r="C1264" t="s">
        <v>236</v>
      </c>
      <c r="D1264" t="s">
        <v>237</v>
      </c>
      <c r="E1264" t="s">
        <v>231</v>
      </c>
      <c r="F1264" t="s">
        <v>238</v>
      </c>
      <c r="G1264" t="s">
        <v>239</v>
      </c>
      <c r="H1264">
        <v>3</v>
      </c>
      <c r="I1264">
        <v>2</v>
      </c>
      <c r="J1264">
        <v>1</v>
      </c>
      <c r="K1264">
        <v>2</v>
      </c>
      <c r="L1264">
        <v>4</v>
      </c>
      <c r="M1264">
        <v>2</v>
      </c>
      <c r="AQ1264">
        <v>14</v>
      </c>
      <c r="AR1264">
        <v>265.125</v>
      </c>
      <c r="AS1264">
        <v>3711.75</v>
      </c>
    </row>
    <row r="1265" spans="1:45" hidden="1">
      <c r="A1265" t="s">
        <v>16</v>
      </c>
      <c r="B1265" t="s">
        <v>758</v>
      </c>
      <c r="C1265" t="s">
        <v>715</v>
      </c>
      <c r="D1265" t="s">
        <v>492</v>
      </c>
      <c r="E1265" t="s">
        <v>231</v>
      </c>
      <c r="F1265" t="s">
        <v>493</v>
      </c>
      <c r="G1265" t="s">
        <v>494</v>
      </c>
      <c r="H1265">
        <v>0</v>
      </c>
      <c r="I1265">
        <v>4</v>
      </c>
      <c r="J1265">
        <v>0</v>
      </c>
      <c r="K1265">
        <v>0</v>
      </c>
      <c r="AQ1265">
        <v>4</v>
      </c>
      <c r="AR1265">
        <v>742.35</v>
      </c>
      <c r="AS1265">
        <v>2969.4</v>
      </c>
    </row>
    <row r="1266" spans="1:45" hidden="1">
      <c r="A1266" t="s">
        <v>16</v>
      </c>
      <c r="B1266" t="s">
        <v>758</v>
      </c>
      <c r="C1266" t="s">
        <v>716</v>
      </c>
      <c r="D1266" t="s">
        <v>495</v>
      </c>
      <c r="E1266" t="s">
        <v>231</v>
      </c>
      <c r="F1266" t="s">
        <v>496</v>
      </c>
      <c r="G1266" t="s">
        <v>497</v>
      </c>
      <c r="H1266">
        <v>0</v>
      </c>
      <c r="I1266">
        <v>1</v>
      </c>
      <c r="J1266">
        <v>2</v>
      </c>
      <c r="K1266">
        <v>0</v>
      </c>
      <c r="AQ1266">
        <v>3</v>
      </c>
      <c r="AR1266">
        <v>848.4</v>
      </c>
      <c r="AS1266">
        <v>2545.1999999999998</v>
      </c>
    </row>
    <row r="1267" spans="1:45" hidden="1">
      <c r="A1267" t="s">
        <v>16</v>
      </c>
      <c r="B1267" t="s">
        <v>758</v>
      </c>
      <c r="C1267" t="s">
        <v>717</v>
      </c>
      <c r="D1267" t="s">
        <v>498</v>
      </c>
      <c r="E1267" t="s">
        <v>242</v>
      </c>
      <c r="F1267" t="s">
        <v>499</v>
      </c>
      <c r="G1267" t="s">
        <v>500</v>
      </c>
      <c r="H1267">
        <v>38538</v>
      </c>
      <c r="I1267">
        <v>69366</v>
      </c>
      <c r="J1267">
        <v>25545</v>
      </c>
      <c r="K1267">
        <v>17135</v>
      </c>
      <c r="L1267">
        <v>11000</v>
      </c>
      <c r="M1267">
        <v>6000</v>
      </c>
      <c r="AQ1267">
        <v>167584</v>
      </c>
      <c r="AR1267">
        <v>1.4341999999999999</v>
      </c>
      <c r="AS1267">
        <v>240348.97279999999</v>
      </c>
    </row>
    <row r="1268" spans="1:45" hidden="1">
      <c r="A1268" t="s">
        <v>16</v>
      </c>
      <c r="B1268" t="s">
        <v>758</v>
      </c>
      <c r="C1268" t="s">
        <v>718</v>
      </c>
      <c r="D1268" t="s">
        <v>504</v>
      </c>
      <c r="E1268" t="s">
        <v>242</v>
      </c>
      <c r="F1268" t="s">
        <v>505</v>
      </c>
      <c r="G1268" t="s">
        <v>506</v>
      </c>
      <c r="H1268">
        <v>14000</v>
      </c>
      <c r="I1268">
        <v>19000</v>
      </c>
      <c r="J1268">
        <v>14600</v>
      </c>
      <c r="K1268">
        <v>30495</v>
      </c>
      <c r="L1268">
        <v>5000</v>
      </c>
      <c r="M1268">
        <v>6000</v>
      </c>
      <c r="AQ1268">
        <v>89095</v>
      </c>
      <c r="AR1268">
        <v>0.84840000000000004</v>
      </c>
      <c r="AS1268">
        <v>75588.198000000004</v>
      </c>
    </row>
    <row r="1269" spans="1:45" hidden="1">
      <c r="A1269" t="s">
        <v>16</v>
      </c>
      <c r="B1269" t="s">
        <v>758</v>
      </c>
      <c r="C1269" t="s">
        <v>719</v>
      </c>
      <c r="D1269" t="s">
        <v>501</v>
      </c>
      <c r="E1269" t="s">
        <v>242</v>
      </c>
      <c r="F1269" t="s">
        <v>502</v>
      </c>
      <c r="G1269" t="s">
        <v>503</v>
      </c>
      <c r="H1269">
        <v>7</v>
      </c>
      <c r="I1269">
        <v>5</v>
      </c>
      <c r="J1269">
        <v>6</v>
      </c>
      <c r="K1269">
        <v>9</v>
      </c>
      <c r="L1269">
        <v>8</v>
      </c>
      <c r="M1269">
        <v>6</v>
      </c>
      <c r="AQ1269">
        <v>41</v>
      </c>
      <c r="AR1269">
        <v>1272.5999999999999</v>
      </c>
      <c r="AS1269">
        <v>52176.6</v>
      </c>
    </row>
    <row r="1270" spans="1:45" hidden="1">
      <c r="A1270" t="s">
        <v>16</v>
      </c>
      <c r="B1270" t="s">
        <v>758</v>
      </c>
      <c r="C1270" t="s">
        <v>720</v>
      </c>
      <c r="D1270" t="s">
        <v>518</v>
      </c>
      <c r="E1270" t="s">
        <v>242</v>
      </c>
      <c r="F1270" t="s">
        <v>519</v>
      </c>
      <c r="G1270" t="s">
        <v>517</v>
      </c>
      <c r="H1270">
        <v>0</v>
      </c>
      <c r="I1270">
        <v>1</v>
      </c>
      <c r="J1270">
        <v>0</v>
      </c>
      <c r="K1270">
        <v>0</v>
      </c>
      <c r="AQ1270">
        <v>1</v>
      </c>
      <c r="AR1270">
        <v>3181.5</v>
      </c>
      <c r="AS1270">
        <v>3181.5</v>
      </c>
    </row>
    <row r="1271" spans="1:45" hidden="1">
      <c r="A1271" t="s">
        <v>16</v>
      </c>
      <c r="B1271" t="s">
        <v>758</v>
      </c>
      <c r="C1271" t="s">
        <v>721</v>
      </c>
      <c r="D1271" t="s">
        <v>520</v>
      </c>
      <c r="E1271" t="s">
        <v>242</v>
      </c>
      <c r="F1271" t="s">
        <v>521</v>
      </c>
      <c r="G1271" t="s">
        <v>517</v>
      </c>
      <c r="H1271">
        <v>0</v>
      </c>
      <c r="I1271">
        <v>1</v>
      </c>
      <c r="J1271">
        <v>0</v>
      </c>
      <c r="K1271">
        <v>0</v>
      </c>
      <c r="AQ1271">
        <v>1</v>
      </c>
      <c r="AR1271">
        <v>2651.25</v>
      </c>
      <c r="AS1271">
        <v>2651.25</v>
      </c>
    </row>
    <row r="1272" spans="1:45" hidden="1">
      <c r="A1272" t="s">
        <v>16</v>
      </c>
      <c r="B1272" t="s">
        <v>758</v>
      </c>
      <c r="C1272" t="s">
        <v>240</v>
      </c>
      <c r="D1272" t="s">
        <v>241</v>
      </c>
      <c r="E1272" t="s">
        <v>242</v>
      </c>
      <c r="F1272" t="s">
        <v>243</v>
      </c>
      <c r="G1272" t="s">
        <v>244</v>
      </c>
      <c r="H1272">
        <v>9</v>
      </c>
      <c r="I1272">
        <v>7</v>
      </c>
      <c r="J1272">
        <v>10</v>
      </c>
      <c r="K1272">
        <v>9</v>
      </c>
      <c r="L1272">
        <v>16</v>
      </c>
      <c r="M1272">
        <v>12</v>
      </c>
      <c r="AQ1272">
        <v>63</v>
      </c>
      <c r="AR1272">
        <v>318.14999999999998</v>
      </c>
      <c r="AS1272">
        <v>20043.45</v>
      </c>
    </row>
    <row r="1273" spans="1:45" hidden="1">
      <c r="A1273" t="s">
        <v>16</v>
      </c>
      <c r="B1273" t="s">
        <v>758</v>
      </c>
      <c r="C1273" t="s">
        <v>245</v>
      </c>
      <c r="D1273" t="s">
        <v>246</v>
      </c>
      <c r="E1273" t="s">
        <v>242</v>
      </c>
      <c r="F1273" t="s">
        <v>247</v>
      </c>
      <c r="G1273" t="s">
        <v>248</v>
      </c>
      <c r="H1273">
        <v>8</v>
      </c>
      <c r="I1273">
        <v>9</v>
      </c>
      <c r="J1273">
        <v>5</v>
      </c>
      <c r="K1273">
        <v>5</v>
      </c>
      <c r="L1273">
        <v>12</v>
      </c>
      <c r="M1273">
        <v>9</v>
      </c>
      <c r="AQ1273">
        <v>48</v>
      </c>
      <c r="AR1273">
        <v>265.125</v>
      </c>
      <c r="AS1273">
        <v>12726</v>
      </c>
    </row>
    <row r="1274" spans="1:45" hidden="1">
      <c r="A1274" t="s">
        <v>16</v>
      </c>
      <c r="B1274" t="s">
        <v>758</v>
      </c>
      <c r="C1274" t="s">
        <v>259</v>
      </c>
      <c r="D1274" t="s">
        <v>260</v>
      </c>
      <c r="E1274" t="s">
        <v>242</v>
      </c>
      <c r="F1274" t="s">
        <v>261</v>
      </c>
      <c r="G1274" t="s">
        <v>262</v>
      </c>
      <c r="H1274">
        <v>26</v>
      </c>
      <c r="I1274">
        <v>95</v>
      </c>
      <c r="J1274">
        <v>13</v>
      </c>
      <c r="K1274">
        <v>8</v>
      </c>
      <c r="L1274">
        <v>8</v>
      </c>
      <c r="M1274">
        <v>12</v>
      </c>
      <c r="AQ1274">
        <v>162</v>
      </c>
      <c r="AR1274">
        <v>318.14999999999998</v>
      </c>
      <c r="AS1274">
        <v>51540.3</v>
      </c>
    </row>
    <row r="1275" spans="1:45" hidden="1">
      <c r="A1275" t="s">
        <v>16</v>
      </c>
      <c r="B1275" t="s">
        <v>758</v>
      </c>
      <c r="C1275" t="s">
        <v>722</v>
      </c>
      <c r="D1275" t="s">
        <v>507</v>
      </c>
      <c r="E1275" t="s">
        <v>242</v>
      </c>
      <c r="F1275" t="s">
        <v>508</v>
      </c>
      <c r="G1275" t="s">
        <v>509</v>
      </c>
      <c r="H1275">
        <v>0</v>
      </c>
      <c r="I1275">
        <v>0</v>
      </c>
      <c r="J1275">
        <v>0</v>
      </c>
      <c r="K1275">
        <v>0</v>
      </c>
      <c r="AQ1275">
        <v>0</v>
      </c>
      <c r="AR1275">
        <v>2121</v>
      </c>
      <c r="AS1275">
        <v>0</v>
      </c>
    </row>
    <row r="1276" spans="1:45" hidden="1">
      <c r="A1276" t="s">
        <v>16</v>
      </c>
      <c r="B1276" t="s">
        <v>758</v>
      </c>
      <c r="C1276" t="s">
        <v>723</v>
      </c>
      <c r="D1276" t="s">
        <v>510</v>
      </c>
      <c r="E1276" t="s">
        <v>242</v>
      </c>
      <c r="F1276" t="s">
        <v>511</v>
      </c>
      <c r="G1276" t="s">
        <v>512</v>
      </c>
      <c r="H1276">
        <v>12</v>
      </c>
      <c r="I1276">
        <v>15</v>
      </c>
      <c r="J1276">
        <v>3</v>
      </c>
      <c r="K1276">
        <v>3</v>
      </c>
      <c r="L1276">
        <v>8</v>
      </c>
      <c r="M1276">
        <v>6</v>
      </c>
      <c r="AQ1276">
        <v>47</v>
      </c>
      <c r="AR1276">
        <v>212.1</v>
      </c>
      <c r="AS1276">
        <v>9968.7000000000007</v>
      </c>
    </row>
    <row r="1277" spans="1:45" hidden="1">
      <c r="A1277" t="s">
        <v>16</v>
      </c>
      <c r="B1277" t="s">
        <v>758</v>
      </c>
      <c r="C1277" t="s">
        <v>724</v>
      </c>
      <c r="D1277" t="s">
        <v>526</v>
      </c>
      <c r="E1277" t="s">
        <v>242</v>
      </c>
      <c r="F1277" t="s">
        <v>527</v>
      </c>
      <c r="G1277" t="s">
        <v>528</v>
      </c>
      <c r="H1277">
        <v>12500</v>
      </c>
      <c r="I1277">
        <v>29500</v>
      </c>
      <c r="J1277">
        <v>6230</v>
      </c>
      <c r="K1277">
        <v>15000</v>
      </c>
      <c r="L1277">
        <v>5000</v>
      </c>
      <c r="M1277">
        <v>5000</v>
      </c>
      <c r="AQ1277">
        <v>73230</v>
      </c>
      <c r="AR1277">
        <v>0.42420000000000002</v>
      </c>
      <c r="AS1277">
        <v>31064.166000000001</v>
      </c>
    </row>
    <row r="1278" spans="1:45" hidden="1">
      <c r="A1278" t="s">
        <v>16</v>
      </c>
      <c r="B1278" t="s">
        <v>758</v>
      </c>
      <c r="C1278" t="s">
        <v>725</v>
      </c>
      <c r="D1278" t="s">
        <v>529</v>
      </c>
      <c r="E1278" t="s">
        <v>242</v>
      </c>
      <c r="F1278" t="s">
        <v>530</v>
      </c>
      <c r="G1278" t="s">
        <v>531</v>
      </c>
      <c r="H1278">
        <v>1</v>
      </c>
      <c r="I1278">
        <v>2</v>
      </c>
      <c r="J1278">
        <v>0</v>
      </c>
      <c r="K1278">
        <v>2</v>
      </c>
      <c r="L1278">
        <v>0</v>
      </c>
      <c r="AQ1278">
        <v>5</v>
      </c>
      <c r="AR1278">
        <v>212.1</v>
      </c>
      <c r="AS1278">
        <v>1060.5</v>
      </c>
    </row>
    <row r="1279" spans="1:45" hidden="1">
      <c r="A1279" t="s">
        <v>16</v>
      </c>
      <c r="B1279" t="s">
        <v>758</v>
      </c>
      <c r="C1279" t="s">
        <v>726</v>
      </c>
      <c r="D1279" t="s">
        <v>532</v>
      </c>
      <c r="E1279" t="s">
        <v>242</v>
      </c>
      <c r="F1279" t="s">
        <v>533</v>
      </c>
      <c r="G1279" t="s">
        <v>534</v>
      </c>
      <c r="H1279">
        <v>150</v>
      </c>
      <c r="I1279">
        <v>272</v>
      </c>
      <c r="J1279">
        <v>85</v>
      </c>
      <c r="K1279">
        <v>191</v>
      </c>
      <c r="L1279">
        <v>80</v>
      </c>
      <c r="M1279">
        <v>40</v>
      </c>
      <c r="AQ1279">
        <v>818</v>
      </c>
      <c r="AR1279">
        <v>21.21</v>
      </c>
      <c r="AS1279">
        <v>17349.78</v>
      </c>
    </row>
    <row r="1280" spans="1:45" hidden="1">
      <c r="A1280" t="s">
        <v>16</v>
      </c>
      <c r="B1280" t="s">
        <v>758</v>
      </c>
      <c r="C1280" t="s">
        <v>727</v>
      </c>
      <c r="D1280" t="s">
        <v>287</v>
      </c>
      <c r="E1280" t="s">
        <v>242</v>
      </c>
      <c r="F1280" t="s">
        <v>537</v>
      </c>
      <c r="G1280" t="s">
        <v>538</v>
      </c>
      <c r="H1280">
        <v>0</v>
      </c>
      <c r="I1280">
        <v>0</v>
      </c>
      <c r="J1280">
        <v>0</v>
      </c>
      <c r="K1280">
        <v>0</v>
      </c>
      <c r="AQ1280">
        <v>0</v>
      </c>
      <c r="AR1280">
        <v>127.26</v>
      </c>
      <c r="AS1280">
        <v>0</v>
      </c>
    </row>
    <row r="1281" spans="1:45" hidden="1">
      <c r="A1281" t="s">
        <v>16</v>
      </c>
      <c r="B1281" t="s">
        <v>758</v>
      </c>
      <c r="C1281" t="s">
        <v>728</v>
      </c>
      <c r="D1281" t="s">
        <v>287</v>
      </c>
      <c r="E1281" t="s">
        <v>242</v>
      </c>
      <c r="F1281" t="s">
        <v>535</v>
      </c>
      <c r="G1281" t="s">
        <v>536</v>
      </c>
      <c r="H1281">
        <v>0</v>
      </c>
      <c r="I1281">
        <v>0</v>
      </c>
      <c r="J1281">
        <v>0</v>
      </c>
      <c r="K1281">
        <v>0</v>
      </c>
      <c r="AQ1281">
        <v>0</v>
      </c>
      <c r="AR1281">
        <v>424.2</v>
      </c>
      <c r="AS1281">
        <v>0</v>
      </c>
    </row>
    <row r="1282" spans="1:45" hidden="1">
      <c r="A1282" t="s">
        <v>16</v>
      </c>
      <c r="B1282" t="s">
        <v>758</v>
      </c>
      <c r="C1282" t="s">
        <v>729</v>
      </c>
      <c r="D1282" t="s">
        <v>522</v>
      </c>
      <c r="E1282" t="s">
        <v>242</v>
      </c>
      <c r="F1282" t="s">
        <v>523</v>
      </c>
      <c r="G1282" t="s">
        <v>517</v>
      </c>
      <c r="H1282">
        <v>0</v>
      </c>
      <c r="I1282">
        <v>0</v>
      </c>
      <c r="J1282">
        <v>0</v>
      </c>
      <c r="K1282">
        <v>0</v>
      </c>
      <c r="AQ1282">
        <v>0</v>
      </c>
      <c r="AR1282">
        <v>1272.5999999999999</v>
      </c>
      <c r="AS1282">
        <v>0</v>
      </c>
    </row>
    <row r="1283" spans="1:45" hidden="1">
      <c r="A1283" t="s">
        <v>16</v>
      </c>
      <c r="B1283" t="s">
        <v>758</v>
      </c>
      <c r="C1283" t="s">
        <v>730</v>
      </c>
      <c r="D1283" t="s">
        <v>515</v>
      </c>
      <c r="E1283" t="s">
        <v>242</v>
      </c>
      <c r="F1283" t="s">
        <v>516</v>
      </c>
      <c r="G1283" t="s">
        <v>517</v>
      </c>
      <c r="H1283">
        <v>0</v>
      </c>
      <c r="I1283">
        <v>1</v>
      </c>
      <c r="J1283">
        <v>0</v>
      </c>
      <c r="K1283">
        <v>0</v>
      </c>
      <c r="AQ1283">
        <v>1</v>
      </c>
      <c r="AR1283">
        <v>3181.5</v>
      </c>
      <c r="AS1283">
        <v>3181.5</v>
      </c>
    </row>
    <row r="1284" spans="1:45" hidden="1">
      <c r="A1284" t="s">
        <v>16</v>
      </c>
      <c r="B1284" t="s">
        <v>758</v>
      </c>
      <c r="C1284" t="s">
        <v>731</v>
      </c>
      <c r="D1284" t="s">
        <v>524</v>
      </c>
      <c r="E1284" t="s">
        <v>242</v>
      </c>
      <c r="F1284" t="s">
        <v>525</v>
      </c>
      <c r="G1284" t="s">
        <v>503</v>
      </c>
      <c r="H1284">
        <v>0</v>
      </c>
      <c r="I1284">
        <v>0</v>
      </c>
      <c r="J1284">
        <v>0</v>
      </c>
      <c r="K1284">
        <v>0</v>
      </c>
      <c r="AQ1284">
        <v>0</v>
      </c>
      <c r="AR1284">
        <v>15907.5</v>
      </c>
      <c r="AS1284">
        <v>0</v>
      </c>
    </row>
    <row r="1285" spans="1:45" hidden="1">
      <c r="A1285" t="s">
        <v>16</v>
      </c>
      <c r="B1285" t="s">
        <v>758</v>
      </c>
      <c r="C1285" t="s">
        <v>732</v>
      </c>
      <c r="D1285" t="s">
        <v>513</v>
      </c>
      <c r="E1285" t="s">
        <v>242</v>
      </c>
      <c r="F1285" t="s">
        <v>514</v>
      </c>
      <c r="G1285" t="s">
        <v>453</v>
      </c>
      <c r="H1285">
        <v>0</v>
      </c>
      <c r="I1285">
        <v>0</v>
      </c>
      <c r="J1285">
        <v>0</v>
      </c>
      <c r="K1285">
        <v>0</v>
      </c>
      <c r="AQ1285">
        <v>0</v>
      </c>
      <c r="AR1285">
        <v>848.4</v>
      </c>
      <c r="AS1285">
        <v>0</v>
      </c>
    </row>
    <row r="1286" spans="1:45" hidden="1">
      <c r="A1286" t="s">
        <v>16</v>
      </c>
      <c r="B1286" t="s">
        <v>758</v>
      </c>
      <c r="C1286" t="s">
        <v>733</v>
      </c>
      <c r="D1286" t="s">
        <v>287</v>
      </c>
      <c r="E1286" t="s">
        <v>242</v>
      </c>
      <c r="F1286" t="s">
        <v>539</v>
      </c>
      <c r="G1286" t="s">
        <v>540</v>
      </c>
      <c r="H1286">
        <v>30000</v>
      </c>
      <c r="I1286">
        <v>45000</v>
      </c>
      <c r="J1286">
        <v>0</v>
      </c>
      <c r="K1286">
        <v>0</v>
      </c>
      <c r="AQ1286">
        <v>75000</v>
      </c>
      <c r="AR1286">
        <v>8.08</v>
      </c>
      <c r="AS1286">
        <v>606000</v>
      </c>
    </row>
    <row r="1287" spans="1:45" hidden="1">
      <c r="A1287" t="s">
        <v>16</v>
      </c>
      <c r="B1287" t="s">
        <v>758</v>
      </c>
      <c r="C1287" t="s">
        <v>734</v>
      </c>
      <c r="D1287" t="s">
        <v>287</v>
      </c>
      <c r="E1287" t="s">
        <v>242</v>
      </c>
      <c r="F1287" t="s">
        <v>541</v>
      </c>
      <c r="G1287" t="s">
        <v>540</v>
      </c>
      <c r="H1287">
        <v>20000</v>
      </c>
      <c r="I1287">
        <v>30000</v>
      </c>
      <c r="J1287">
        <v>0</v>
      </c>
      <c r="K1287">
        <v>0</v>
      </c>
      <c r="AQ1287">
        <v>50000</v>
      </c>
      <c r="AR1287">
        <v>7.4740000000000002</v>
      </c>
      <c r="AS1287">
        <v>373700</v>
      </c>
    </row>
    <row r="1288" spans="1:45" hidden="1">
      <c r="A1288" t="s">
        <v>16</v>
      </c>
      <c r="B1288" t="s">
        <v>758</v>
      </c>
      <c r="C1288" t="s">
        <v>735</v>
      </c>
      <c r="D1288" t="s">
        <v>543</v>
      </c>
      <c r="E1288" t="s">
        <v>542</v>
      </c>
      <c r="F1288" t="s">
        <v>544</v>
      </c>
      <c r="G1288" t="s">
        <v>545</v>
      </c>
      <c r="H1288">
        <v>0</v>
      </c>
      <c r="I1288">
        <v>0</v>
      </c>
      <c r="J1288">
        <v>0</v>
      </c>
      <c r="K1288">
        <v>0</v>
      </c>
      <c r="AQ1288">
        <v>0</v>
      </c>
      <c r="AR1288">
        <v>0</v>
      </c>
      <c r="AS1288">
        <v>0</v>
      </c>
    </row>
    <row r="1289" spans="1:45" hidden="1">
      <c r="A1289" t="s">
        <v>16</v>
      </c>
      <c r="B1289" t="s">
        <v>758</v>
      </c>
      <c r="C1289" t="s">
        <v>286</v>
      </c>
      <c r="D1289" t="s">
        <v>287</v>
      </c>
      <c r="E1289" t="s">
        <v>288</v>
      </c>
      <c r="F1289" t="s">
        <v>289</v>
      </c>
      <c r="G1289" t="s">
        <v>547</v>
      </c>
      <c r="AQ1289">
        <v>0</v>
      </c>
      <c r="AR1289">
        <v>0.05</v>
      </c>
      <c r="AS1289">
        <v>186224.56899999999</v>
      </c>
    </row>
    <row r="1290" spans="1:45" hidden="1">
      <c r="A1290" t="s">
        <v>16</v>
      </c>
      <c r="B1290" t="s">
        <v>758</v>
      </c>
      <c r="C1290" t="s">
        <v>291</v>
      </c>
      <c r="D1290" t="s">
        <v>287</v>
      </c>
      <c r="E1290" t="s">
        <v>288</v>
      </c>
      <c r="F1290" t="s">
        <v>292</v>
      </c>
      <c r="G1290" t="s">
        <v>293</v>
      </c>
      <c r="AQ1290">
        <v>0</v>
      </c>
      <c r="AR1290">
        <v>6.0600000000000001E-2</v>
      </c>
      <c r="AS1290">
        <v>0</v>
      </c>
    </row>
    <row r="1291" spans="1:45" hidden="1">
      <c r="A1291" t="s">
        <v>16</v>
      </c>
      <c r="B1291" t="s">
        <v>758</v>
      </c>
      <c r="C1291" t="s">
        <v>736</v>
      </c>
      <c r="D1291" t="s">
        <v>287</v>
      </c>
      <c r="E1291" t="s">
        <v>288</v>
      </c>
      <c r="F1291" t="s">
        <v>550</v>
      </c>
      <c r="G1291" t="s">
        <v>293</v>
      </c>
      <c r="AQ1291">
        <v>0</v>
      </c>
      <c r="AR1291">
        <v>5.0500000000000003E-2</v>
      </c>
      <c r="AS1291">
        <v>0</v>
      </c>
    </row>
    <row r="1292" spans="1:45" hidden="1">
      <c r="A1292" t="s">
        <v>16</v>
      </c>
      <c r="B1292" t="s">
        <v>758</v>
      </c>
      <c r="C1292" t="s">
        <v>737</v>
      </c>
      <c r="D1292" t="s">
        <v>287</v>
      </c>
      <c r="E1292" t="s">
        <v>288</v>
      </c>
      <c r="F1292" t="s">
        <v>548</v>
      </c>
      <c r="G1292" t="s">
        <v>293</v>
      </c>
      <c r="AQ1292">
        <v>0</v>
      </c>
      <c r="AR1292">
        <v>0.1111</v>
      </c>
      <c r="AS1292">
        <v>0</v>
      </c>
    </row>
    <row r="1293" spans="1:45" hidden="1">
      <c r="A1293" t="s">
        <v>16</v>
      </c>
      <c r="B1293" t="s">
        <v>758</v>
      </c>
      <c r="C1293" t="s">
        <v>738</v>
      </c>
      <c r="D1293" t="s">
        <v>287</v>
      </c>
      <c r="E1293" t="s">
        <v>288</v>
      </c>
      <c r="F1293" t="s">
        <v>549</v>
      </c>
      <c r="G1293" t="s">
        <v>293</v>
      </c>
      <c r="H1293">
        <v>38538</v>
      </c>
      <c r="I1293">
        <v>69366</v>
      </c>
      <c r="J1293">
        <v>25545</v>
      </c>
      <c r="K1293">
        <v>17135</v>
      </c>
      <c r="L1293">
        <v>11000</v>
      </c>
      <c r="M1293">
        <v>6000</v>
      </c>
      <c r="AQ1293">
        <v>167584</v>
      </c>
      <c r="AR1293">
        <v>0.10100000000000001</v>
      </c>
      <c r="AS1293">
        <v>16925.984</v>
      </c>
    </row>
    <row r="1294" spans="1:45" hidden="1">
      <c r="A1294" t="s">
        <v>16</v>
      </c>
      <c r="B1294" t="s">
        <v>758</v>
      </c>
      <c r="C1294" t="s">
        <v>645</v>
      </c>
      <c r="D1294" t="s">
        <v>287</v>
      </c>
      <c r="E1294" t="s">
        <v>287</v>
      </c>
      <c r="F1294" t="s">
        <v>555</v>
      </c>
      <c r="G1294" t="s">
        <v>421</v>
      </c>
      <c r="H1294">
        <v>1</v>
      </c>
      <c r="I1294">
        <v>1</v>
      </c>
      <c r="K1294">
        <v>5</v>
      </c>
      <c r="L1294">
        <v>8</v>
      </c>
      <c r="M1294">
        <v>6</v>
      </c>
      <c r="AQ1294">
        <v>21</v>
      </c>
      <c r="AR1294">
        <v>0.28000000000000003</v>
      </c>
    </row>
    <row r="1295" spans="1:45">
      <c r="A1295" t="s">
        <v>52</v>
      </c>
      <c r="B1295" t="s">
        <v>761</v>
      </c>
      <c r="C1295" t="s">
        <v>641</v>
      </c>
      <c r="D1295" t="s">
        <v>324</v>
      </c>
      <c r="E1295" t="s">
        <v>323</v>
      </c>
      <c r="F1295" t="s">
        <v>325</v>
      </c>
      <c r="G1295" t="s">
        <v>326</v>
      </c>
      <c r="AQ1295">
        <v>0</v>
      </c>
      <c r="AR1295">
        <v>1.35E-2</v>
      </c>
      <c r="AS1295">
        <v>0</v>
      </c>
    </row>
    <row r="1296" spans="1:45">
      <c r="A1296" t="s">
        <v>52</v>
      </c>
      <c r="B1296" t="s">
        <v>761</v>
      </c>
      <c r="C1296" t="s">
        <v>642</v>
      </c>
      <c r="D1296" t="s">
        <v>327</v>
      </c>
      <c r="E1296" t="s">
        <v>323</v>
      </c>
      <c r="F1296" t="s">
        <v>328</v>
      </c>
      <c r="G1296" t="s">
        <v>329</v>
      </c>
      <c r="AQ1296">
        <v>0</v>
      </c>
      <c r="AR1296">
        <v>5.9330000000000001E-2</v>
      </c>
      <c r="AS1296">
        <v>0</v>
      </c>
    </row>
    <row r="1297" spans="1:45">
      <c r="A1297" t="s">
        <v>52</v>
      </c>
      <c r="B1297" t="s">
        <v>761</v>
      </c>
      <c r="C1297" t="s">
        <v>643</v>
      </c>
      <c r="D1297" t="s">
        <v>330</v>
      </c>
      <c r="E1297" t="s">
        <v>323</v>
      </c>
      <c r="F1297" t="s">
        <v>331</v>
      </c>
      <c r="G1297" t="s">
        <v>740</v>
      </c>
      <c r="AQ1297">
        <v>0</v>
      </c>
      <c r="AR1297">
        <v>0.1</v>
      </c>
      <c r="AS1297">
        <v>0</v>
      </c>
    </row>
    <row r="1298" spans="1:45">
      <c r="A1298" t="s">
        <v>52</v>
      </c>
      <c r="B1298" t="s">
        <v>761</v>
      </c>
      <c r="C1298" t="s">
        <v>644</v>
      </c>
      <c r="D1298" t="s">
        <v>332</v>
      </c>
      <c r="E1298" t="s">
        <v>323</v>
      </c>
      <c r="F1298" t="s">
        <v>333</v>
      </c>
      <c r="G1298" t="s">
        <v>740</v>
      </c>
      <c r="AQ1298">
        <v>0</v>
      </c>
      <c r="AR1298">
        <v>0.125</v>
      </c>
      <c r="AS1298">
        <v>0</v>
      </c>
    </row>
    <row r="1299" spans="1:45">
      <c r="A1299" t="s">
        <v>52</v>
      </c>
      <c r="B1299" t="s">
        <v>761</v>
      </c>
      <c r="C1299" t="s">
        <v>645</v>
      </c>
      <c r="D1299" t="s">
        <v>334</v>
      </c>
      <c r="E1299" t="s">
        <v>323</v>
      </c>
      <c r="F1299" t="s">
        <v>335</v>
      </c>
      <c r="G1299" t="s">
        <v>329</v>
      </c>
      <c r="AQ1299">
        <v>0</v>
      </c>
      <c r="AR1299">
        <v>0.28000000000000003</v>
      </c>
    </row>
    <row r="1300" spans="1:45">
      <c r="A1300" t="s">
        <v>52</v>
      </c>
      <c r="B1300" t="s">
        <v>761</v>
      </c>
      <c r="C1300" t="s">
        <v>646</v>
      </c>
      <c r="D1300" t="s">
        <v>137</v>
      </c>
      <c r="E1300" t="s">
        <v>138</v>
      </c>
      <c r="F1300" t="s">
        <v>337</v>
      </c>
      <c r="G1300" t="s">
        <v>140</v>
      </c>
      <c r="AQ1300">
        <v>0</v>
      </c>
      <c r="AR1300">
        <v>212.1</v>
      </c>
      <c r="AS1300">
        <v>0</v>
      </c>
    </row>
    <row r="1301" spans="1:45">
      <c r="A1301" t="s">
        <v>52</v>
      </c>
      <c r="B1301" t="s">
        <v>761</v>
      </c>
      <c r="C1301" t="s">
        <v>136</v>
      </c>
      <c r="D1301" t="s">
        <v>137</v>
      </c>
      <c r="E1301" t="s">
        <v>138</v>
      </c>
      <c r="F1301" t="s">
        <v>139</v>
      </c>
      <c r="G1301" t="s">
        <v>140</v>
      </c>
      <c r="H1301">
        <v>2</v>
      </c>
      <c r="I1301">
        <v>1</v>
      </c>
      <c r="J1301">
        <v>1</v>
      </c>
      <c r="K1301">
        <v>0</v>
      </c>
      <c r="L1301">
        <v>1</v>
      </c>
      <c r="AQ1301">
        <v>5</v>
      </c>
      <c r="AR1301">
        <v>1696.8</v>
      </c>
      <c r="AS1301">
        <v>8484</v>
      </c>
    </row>
    <row r="1302" spans="1:45">
      <c r="A1302" t="s">
        <v>52</v>
      </c>
      <c r="B1302" t="s">
        <v>761</v>
      </c>
      <c r="C1302" t="s">
        <v>143</v>
      </c>
      <c r="D1302" t="s">
        <v>137</v>
      </c>
      <c r="E1302" t="s">
        <v>138</v>
      </c>
      <c r="F1302" t="s">
        <v>277</v>
      </c>
      <c r="G1302" t="s">
        <v>140</v>
      </c>
      <c r="H1302">
        <v>0</v>
      </c>
      <c r="I1302">
        <v>1</v>
      </c>
      <c r="J1302">
        <v>2</v>
      </c>
      <c r="K1302">
        <v>1</v>
      </c>
      <c r="L1302">
        <v>0</v>
      </c>
      <c r="AQ1302">
        <v>4</v>
      </c>
      <c r="AR1302">
        <v>3923.85</v>
      </c>
      <c r="AS1302">
        <v>15695.4</v>
      </c>
    </row>
    <row r="1303" spans="1:45">
      <c r="A1303" t="s">
        <v>52</v>
      </c>
      <c r="B1303" t="s">
        <v>761</v>
      </c>
      <c r="C1303" t="s">
        <v>647</v>
      </c>
      <c r="D1303" t="s">
        <v>137</v>
      </c>
      <c r="E1303" t="s">
        <v>138</v>
      </c>
      <c r="F1303" t="s">
        <v>338</v>
      </c>
      <c r="G1303" t="s">
        <v>140</v>
      </c>
      <c r="AQ1303">
        <v>0</v>
      </c>
      <c r="AR1303">
        <v>6893.25</v>
      </c>
      <c r="AS1303">
        <v>0</v>
      </c>
    </row>
    <row r="1304" spans="1:45">
      <c r="A1304" t="s">
        <v>52</v>
      </c>
      <c r="B1304" t="s">
        <v>761</v>
      </c>
      <c r="C1304" t="s">
        <v>648</v>
      </c>
      <c r="D1304" t="s">
        <v>342</v>
      </c>
      <c r="E1304" t="s">
        <v>138</v>
      </c>
      <c r="F1304" t="s">
        <v>343</v>
      </c>
      <c r="G1304" t="s">
        <v>140</v>
      </c>
      <c r="AQ1304">
        <v>0</v>
      </c>
      <c r="AR1304">
        <v>13786.5</v>
      </c>
      <c r="AS1304">
        <v>0</v>
      </c>
    </row>
    <row r="1305" spans="1:45">
      <c r="A1305" t="s">
        <v>52</v>
      </c>
      <c r="B1305" t="s">
        <v>761</v>
      </c>
      <c r="C1305" t="s">
        <v>649</v>
      </c>
      <c r="D1305" t="s">
        <v>344</v>
      </c>
      <c r="E1305" t="s">
        <v>138</v>
      </c>
      <c r="F1305" t="s">
        <v>345</v>
      </c>
      <c r="G1305" t="s">
        <v>346</v>
      </c>
      <c r="AQ1305">
        <v>0</v>
      </c>
      <c r="AR1305">
        <v>11.11</v>
      </c>
      <c r="AS1305">
        <v>0</v>
      </c>
    </row>
    <row r="1306" spans="1:45">
      <c r="A1306" t="s">
        <v>52</v>
      </c>
      <c r="B1306" t="s">
        <v>761</v>
      </c>
      <c r="C1306" t="s">
        <v>650</v>
      </c>
      <c r="D1306" t="s">
        <v>339</v>
      </c>
      <c r="E1306" t="s">
        <v>138</v>
      </c>
      <c r="F1306" t="s">
        <v>340</v>
      </c>
      <c r="G1306" t="s">
        <v>341</v>
      </c>
      <c r="AQ1306">
        <v>0</v>
      </c>
      <c r="AR1306">
        <v>557.52</v>
      </c>
      <c r="AS1306">
        <v>0</v>
      </c>
    </row>
    <row r="1307" spans="1:45">
      <c r="A1307" t="s">
        <v>52</v>
      </c>
      <c r="B1307" t="s">
        <v>761</v>
      </c>
      <c r="C1307" t="s">
        <v>651</v>
      </c>
      <c r="D1307" t="s">
        <v>347</v>
      </c>
      <c r="E1307" t="s">
        <v>138</v>
      </c>
      <c r="F1307" t="s">
        <v>350</v>
      </c>
      <c r="G1307" t="s">
        <v>349</v>
      </c>
      <c r="AQ1307">
        <v>0</v>
      </c>
      <c r="AR1307">
        <v>234.32</v>
      </c>
      <c r="AS1307">
        <v>0</v>
      </c>
    </row>
    <row r="1308" spans="1:45">
      <c r="A1308" t="s">
        <v>52</v>
      </c>
      <c r="B1308" t="s">
        <v>761</v>
      </c>
      <c r="C1308" t="s">
        <v>652</v>
      </c>
      <c r="D1308" t="s">
        <v>347</v>
      </c>
      <c r="E1308" t="s">
        <v>138</v>
      </c>
      <c r="F1308" t="s">
        <v>348</v>
      </c>
      <c r="G1308" t="s">
        <v>349</v>
      </c>
      <c r="AQ1308">
        <v>0</v>
      </c>
      <c r="AR1308">
        <v>456.52</v>
      </c>
      <c r="AS1308">
        <v>0</v>
      </c>
    </row>
    <row r="1309" spans="1:45">
      <c r="A1309" t="s">
        <v>52</v>
      </c>
      <c r="B1309" t="s">
        <v>761</v>
      </c>
      <c r="C1309" t="s">
        <v>653</v>
      </c>
      <c r="D1309" t="s">
        <v>347</v>
      </c>
      <c r="E1309" t="s">
        <v>138</v>
      </c>
      <c r="F1309" t="s">
        <v>351</v>
      </c>
      <c r="G1309" t="s">
        <v>349</v>
      </c>
      <c r="AQ1309">
        <v>0</v>
      </c>
      <c r="AR1309">
        <v>679.73</v>
      </c>
      <c r="AS1309">
        <v>0</v>
      </c>
    </row>
    <row r="1310" spans="1:45">
      <c r="A1310" t="s">
        <v>52</v>
      </c>
      <c r="B1310" t="s">
        <v>761</v>
      </c>
      <c r="C1310" t="s">
        <v>654</v>
      </c>
      <c r="D1310" t="s">
        <v>352</v>
      </c>
      <c r="E1310" t="s">
        <v>138</v>
      </c>
      <c r="F1310" t="s">
        <v>353</v>
      </c>
      <c r="G1310" t="s">
        <v>354</v>
      </c>
      <c r="AQ1310">
        <v>0</v>
      </c>
      <c r="AR1310">
        <v>3923.85</v>
      </c>
      <c r="AS1310">
        <v>0</v>
      </c>
    </row>
    <row r="1311" spans="1:45">
      <c r="A1311" t="s">
        <v>52</v>
      </c>
      <c r="B1311" t="s">
        <v>761</v>
      </c>
      <c r="C1311" t="s">
        <v>655</v>
      </c>
      <c r="D1311" t="s">
        <v>355</v>
      </c>
      <c r="E1311" t="s">
        <v>138</v>
      </c>
      <c r="F1311" t="s">
        <v>356</v>
      </c>
      <c r="G1311" t="s">
        <v>357</v>
      </c>
      <c r="AQ1311">
        <v>0</v>
      </c>
      <c r="AR1311">
        <v>556.51</v>
      </c>
      <c r="AS1311">
        <v>0</v>
      </c>
    </row>
    <row r="1312" spans="1:45">
      <c r="A1312" t="s">
        <v>52</v>
      </c>
      <c r="B1312" t="s">
        <v>761</v>
      </c>
      <c r="C1312" t="s">
        <v>656</v>
      </c>
      <c r="D1312" t="s">
        <v>358</v>
      </c>
      <c r="E1312" t="s">
        <v>138</v>
      </c>
      <c r="F1312" t="s">
        <v>359</v>
      </c>
      <c r="G1312" t="s">
        <v>360</v>
      </c>
      <c r="AQ1312">
        <v>0</v>
      </c>
      <c r="AR1312">
        <v>334.31</v>
      </c>
      <c r="AS1312">
        <v>0</v>
      </c>
    </row>
    <row r="1313" spans="1:45">
      <c r="A1313" t="s">
        <v>52</v>
      </c>
      <c r="B1313" t="s">
        <v>761</v>
      </c>
      <c r="C1313" t="s">
        <v>657</v>
      </c>
      <c r="D1313" t="s">
        <v>361</v>
      </c>
      <c r="E1313" t="s">
        <v>138</v>
      </c>
      <c r="F1313" t="s">
        <v>362</v>
      </c>
      <c r="G1313" t="s">
        <v>363</v>
      </c>
      <c r="AQ1313">
        <v>0</v>
      </c>
      <c r="AR1313">
        <v>1.0605</v>
      </c>
      <c r="AS1313">
        <v>0</v>
      </c>
    </row>
    <row r="1314" spans="1:45">
      <c r="A1314" t="s">
        <v>52</v>
      </c>
      <c r="B1314" t="s">
        <v>761</v>
      </c>
      <c r="C1314" t="s">
        <v>658</v>
      </c>
      <c r="D1314" t="s">
        <v>364</v>
      </c>
      <c r="E1314" t="s">
        <v>138</v>
      </c>
      <c r="F1314" t="s">
        <v>366</v>
      </c>
      <c r="G1314" t="s">
        <v>363</v>
      </c>
      <c r="AQ1314">
        <v>0</v>
      </c>
      <c r="AR1314">
        <v>4.242</v>
      </c>
      <c r="AS1314">
        <v>0</v>
      </c>
    </row>
    <row r="1315" spans="1:45">
      <c r="A1315" t="s">
        <v>52</v>
      </c>
      <c r="B1315" t="s">
        <v>761</v>
      </c>
      <c r="C1315" t="s">
        <v>659</v>
      </c>
      <c r="D1315" t="s">
        <v>364</v>
      </c>
      <c r="E1315" t="s">
        <v>138</v>
      </c>
      <c r="F1315" t="s">
        <v>365</v>
      </c>
      <c r="G1315" t="s">
        <v>363</v>
      </c>
      <c r="AQ1315">
        <v>0</v>
      </c>
      <c r="AR1315">
        <v>8.484</v>
      </c>
      <c r="AS1315">
        <v>0</v>
      </c>
    </row>
    <row r="1316" spans="1:45">
      <c r="A1316" t="s">
        <v>52</v>
      </c>
      <c r="B1316" t="s">
        <v>761</v>
      </c>
      <c r="C1316" t="s">
        <v>660</v>
      </c>
      <c r="D1316" t="s">
        <v>364</v>
      </c>
      <c r="E1316" t="s">
        <v>138</v>
      </c>
      <c r="F1316" t="s">
        <v>367</v>
      </c>
      <c r="G1316" t="s">
        <v>363</v>
      </c>
      <c r="AQ1316">
        <v>0</v>
      </c>
      <c r="AR1316">
        <v>21.21</v>
      </c>
      <c r="AS1316">
        <v>0</v>
      </c>
    </row>
    <row r="1317" spans="1:45">
      <c r="A1317" t="s">
        <v>52</v>
      </c>
      <c r="B1317" t="s">
        <v>761</v>
      </c>
      <c r="C1317" t="s">
        <v>278</v>
      </c>
      <c r="D1317" t="s">
        <v>146</v>
      </c>
      <c r="E1317" t="s">
        <v>138</v>
      </c>
      <c r="F1317" t="s">
        <v>279</v>
      </c>
      <c r="G1317" t="s">
        <v>148</v>
      </c>
      <c r="H1317">
        <v>1</v>
      </c>
      <c r="I1317">
        <v>2</v>
      </c>
      <c r="J1317">
        <v>1</v>
      </c>
      <c r="K1317">
        <v>1</v>
      </c>
      <c r="L1317">
        <v>0</v>
      </c>
      <c r="M1317">
        <v>0</v>
      </c>
      <c r="AQ1317">
        <v>5</v>
      </c>
      <c r="AR1317">
        <v>1272.5999999999999</v>
      </c>
      <c r="AS1317">
        <v>6363</v>
      </c>
    </row>
    <row r="1318" spans="1:45">
      <c r="A1318" t="s">
        <v>52</v>
      </c>
      <c r="B1318" t="s">
        <v>761</v>
      </c>
      <c r="C1318" t="s">
        <v>661</v>
      </c>
      <c r="D1318" t="s">
        <v>146</v>
      </c>
      <c r="E1318" t="s">
        <v>138</v>
      </c>
      <c r="F1318" t="s">
        <v>368</v>
      </c>
      <c r="G1318" t="s">
        <v>148</v>
      </c>
      <c r="AQ1318">
        <v>0</v>
      </c>
      <c r="AR1318">
        <v>2333.1</v>
      </c>
      <c r="AS1318">
        <v>0</v>
      </c>
    </row>
    <row r="1319" spans="1:45">
      <c r="A1319" t="s">
        <v>52</v>
      </c>
      <c r="B1319" t="s">
        <v>761</v>
      </c>
      <c r="C1319" t="s">
        <v>662</v>
      </c>
      <c r="D1319" t="s">
        <v>146</v>
      </c>
      <c r="E1319" t="s">
        <v>138</v>
      </c>
      <c r="F1319" t="s">
        <v>369</v>
      </c>
      <c r="G1319" t="s">
        <v>148</v>
      </c>
      <c r="AQ1319">
        <v>0</v>
      </c>
      <c r="AR1319">
        <v>3711.75</v>
      </c>
      <c r="AS1319">
        <v>0</v>
      </c>
    </row>
    <row r="1320" spans="1:45">
      <c r="A1320" t="s">
        <v>52</v>
      </c>
      <c r="B1320" t="s">
        <v>761</v>
      </c>
      <c r="C1320" t="s">
        <v>663</v>
      </c>
      <c r="D1320" t="s">
        <v>146</v>
      </c>
      <c r="E1320" t="s">
        <v>138</v>
      </c>
      <c r="F1320" t="s">
        <v>370</v>
      </c>
      <c r="G1320" t="s">
        <v>148</v>
      </c>
      <c r="AQ1320">
        <v>0</v>
      </c>
      <c r="AR1320">
        <v>5832.75</v>
      </c>
      <c r="AS1320">
        <v>0</v>
      </c>
    </row>
    <row r="1321" spans="1:45">
      <c r="A1321" t="s">
        <v>52</v>
      </c>
      <c r="B1321" t="s">
        <v>761</v>
      </c>
      <c r="C1321" t="s">
        <v>664</v>
      </c>
      <c r="D1321" t="s">
        <v>371</v>
      </c>
      <c r="E1321" t="s">
        <v>138</v>
      </c>
      <c r="F1321" t="s">
        <v>372</v>
      </c>
      <c r="G1321" t="s">
        <v>373</v>
      </c>
      <c r="AQ1321">
        <v>0</v>
      </c>
      <c r="AR1321">
        <v>3711.75</v>
      </c>
      <c r="AS1321">
        <v>0</v>
      </c>
    </row>
    <row r="1322" spans="1:45">
      <c r="A1322" t="s">
        <v>52</v>
      </c>
      <c r="B1322" t="s">
        <v>761</v>
      </c>
      <c r="C1322" t="s">
        <v>149</v>
      </c>
      <c r="D1322" t="s">
        <v>280</v>
      </c>
      <c r="E1322" t="s">
        <v>138</v>
      </c>
      <c r="F1322" t="s">
        <v>151</v>
      </c>
      <c r="G1322" t="s">
        <v>152</v>
      </c>
      <c r="H1322">
        <v>4075</v>
      </c>
      <c r="I1322">
        <v>2967</v>
      </c>
      <c r="J1322">
        <v>5958</v>
      </c>
      <c r="K1322">
        <v>4088</v>
      </c>
      <c r="L1322">
        <v>523</v>
      </c>
      <c r="M1322">
        <v>523</v>
      </c>
      <c r="AQ1322">
        <v>18134</v>
      </c>
      <c r="AR1322">
        <v>1.111</v>
      </c>
      <c r="AS1322">
        <v>20146.874</v>
      </c>
    </row>
    <row r="1323" spans="1:45">
      <c r="A1323" t="s">
        <v>52</v>
      </c>
      <c r="B1323" t="s">
        <v>761</v>
      </c>
      <c r="C1323" t="s">
        <v>153</v>
      </c>
      <c r="D1323" t="s">
        <v>154</v>
      </c>
      <c r="E1323" t="s">
        <v>138</v>
      </c>
      <c r="F1323" t="s">
        <v>155</v>
      </c>
      <c r="G1323" t="s">
        <v>156</v>
      </c>
      <c r="K1323">
        <v>2754</v>
      </c>
      <c r="AQ1323">
        <v>2754</v>
      </c>
      <c r="AR1323">
        <v>116.655</v>
      </c>
      <c r="AS1323">
        <v>321267.87</v>
      </c>
    </row>
    <row r="1324" spans="1:45">
      <c r="A1324" t="s">
        <v>52</v>
      </c>
      <c r="B1324" t="s">
        <v>761</v>
      </c>
      <c r="C1324" t="s">
        <v>665</v>
      </c>
      <c r="D1324" t="s">
        <v>375</v>
      </c>
      <c r="E1324" t="s">
        <v>138</v>
      </c>
      <c r="F1324" t="s">
        <v>376</v>
      </c>
      <c r="G1324" t="s">
        <v>377</v>
      </c>
      <c r="AQ1324">
        <v>0</v>
      </c>
      <c r="AR1324">
        <v>89.081999999999994</v>
      </c>
      <c r="AS1324">
        <v>0</v>
      </c>
    </row>
    <row r="1325" spans="1:45">
      <c r="A1325" t="s">
        <v>52</v>
      </c>
      <c r="B1325" t="s">
        <v>761</v>
      </c>
      <c r="C1325" t="s">
        <v>158</v>
      </c>
      <c r="D1325" t="s">
        <v>159</v>
      </c>
      <c r="E1325" t="s">
        <v>138</v>
      </c>
      <c r="F1325" t="s">
        <v>160</v>
      </c>
      <c r="G1325" t="s">
        <v>161</v>
      </c>
      <c r="H1325">
        <v>4</v>
      </c>
      <c r="I1325">
        <v>0</v>
      </c>
      <c r="J1325">
        <v>11</v>
      </c>
      <c r="K1325">
        <v>5</v>
      </c>
      <c r="L1325">
        <v>6</v>
      </c>
      <c r="M1325">
        <v>6</v>
      </c>
      <c r="AQ1325">
        <v>32</v>
      </c>
      <c r="AR1325">
        <v>66.66</v>
      </c>
      <c r="AS1325">
        <v>2133.12</v>
      </c>
    </row>
    <row r="1326" spans="1:45">
      <c r="A1326" t="s">
        <v>52</v>
      </c>
      <c r="B1326" t="s">
        <v>761</v>
      </c>
      <c r="C1326" t="s">
        <v>666</v>
      </c>
      <c r="D1326" t="s">
        <v>378</v>
      </c>
      <c r="E1326" t="s">
        <v>138</v>
      </c>
      <c r="F1326" t="s">
        <v>379</v>
      </c>
      <c r="G1326" t="s">
        <v>380</v>
      </c>
      <c r="AQ1326">
        <v>0</v>
      </c>
      <c r="AR1326">
        <v>389.86</v>
      </c>
      <c r="AS1326">
        <v>0</v>
      </c>
    </row>
    <row r="1327" spans="1:45">
      <c r="A1327" t="s">
        <v>52</v>
      </c>
      <c r="B1327" t="s">
        <v>761</v>
      </c>
      <c r="C1327" t="s">
        <v>667</v>
      </c>
      <c r="D1327" t="s">
        <v>281</v>
      </c>
      <c r="E1327" t="s">
        <v>138</v>
      </c>
      <c r="F1327" t="s">
        <v>384</v>
      </c>
      <c r="G1327" t="s">
        <v>165</v>
      </c>
      <c r="AQ1327">
        <v>0</v>
      </c>
      <c r="AR1327">
        <v>2227.0500000000002</v>
      </c>
      <c r="AS1327">
        <v>0</v>
      </c>
    </row>
    <row r="1328" spans="1:45">
      <c r="A1328" t="s">
        <v>52</v>
      </c>
      <c r="B1328" t="s">
        <v>761</v>
      </c>
      <c r="C1328" t="s">
        <v>162</v>
      </c>
      <c r="D1328" t="s">
        <v>281</v>
      </c>
      <c r="E1328" t="s">
        <v>138</v>
      </c>
      <c r="F1328" t="s">
        <v>164</v>
      </c>
      <c r="G1328" t="s">
        <v>165</v>
      </c>
      <c r="H1328">
        <v>1</v>
      </c>
      <c r="I1328">
        <v>2</v>
      </c>
      <c r="J1328">
        <v>1</v>
      </c>
      <c r="K1328">
        <v>3</v>
      </c>
      <c r="L1328">
        <v>0</v>
      </c>
      <c r="M1328">
        <v>0</v>
      </c>
      <c r="AQ1328">
        <v>7</v>
      </c>
      <c r="AR1328">
        <v>4242</v>
      </c>
      <c r="AS1328">
        <v>29694</v>
      </c>
    </row>
    <row r="1329" spans="1:45">
      <c r="A1329" t="s">
        <v>52</v>
      </c>
      <c r="B1329" t="s">
        <v>761</v>
      </c>
      <c r="C1329" t="s">
        <v>668</v>
      </c>
      <c r="D1329" t="s">
        <v>381</v>
      </c>
      <c r="E1329" t="s">
        <v>138</v>
      </c>
      <c r="F1329" t="s">
        <v>382</v>
      </c>
      <c r="G1329" t="s">
        <v>383</v>
      </c>
      <c r="AQ1329">
        <v>0</v>
      </c>
      <c r="AR1329">
        <v>39.39</v>
      </c>
      <c r="AS1329">
        <v>0</v>
      </c>
    </row>
    <row r="1330" spans="1:45">
      <c r="A1330" t="s">
        <v>52</v>
      </c>
      <c r="B1330" t="s">
        <v>761</v>
      </c>
      <c r="C1330" t="s">
        <v>166</v>
      </c>
      <c r="D1330" t="s">
        <v>282</v>
      </c>
      <c r="E1330" t="s">
        <v>138</v>
      </c>
      <c r="F1330" t="s">
        <v>168</v>
      </c>
      <c r="G1330" t="s">
        <v>169</v>
      </c>
      <c r="H1330">
        <v>3715</v>
      </c>
      <c r="I1330">
        <v>2412</v>
      </c>
      <c r="J1330">
        <v>2410</v>
      </c>
      <c r="K1330">
        <v>3312</v>
      </c>
      <c r="L1330">
        <v>0</v>
      </c>
      <c r="M1330">
        <v>0</v>
      </c>
      <c r="AQ1330">
        <v>11849</v>
      </c>
      <c r="AR1330">
        <v>1.111</v>
      </c>
      <c r="AS1330">
        <v>13164.239</v>
      </c>
    </row>
    <row r="1331" spans="1:45">
      <c r="A1331" t="s">
        <v>52</v>
      </c>
      <c r="B1331" t="s">
        <v>761</v>
      </c>
      <c r="C1331" t="s">
        <v>669</v>
      </c>
      <c r="D1331" t="s">
        <v>385</v>
      </c>
      <c r="E1331" t="s">
        <v>138</v>
      </c>
      <c r="F1331" t="s">
        <v>386</v>
      </c>
      <c r="G1331" t="s">
        <v>387</v>
      </c>
      <c r="AQ1331">
        <v>0</v>
      </c>
      <c r="AR1331">
        <v>22270.5</v>
      </c>
      <c r="AS1331">
        <v>0</v>
      </c>
    </row>
    <row r="1332" spans="1:45">
      <c r="A1332" t="s">
        <v>52</v>
      </c>
      <c r="B1332" t="s">
        <v>761</v>
      </c>
      <c r="C1332" t="s">
        <v>670</v>
      </c>
      <c r="D1332" t="s">
        <v>385</v>
      </c>
      <c r="E1332" t="s">
        <v>138</v>
      </c>
      <c r="F1332" t="s">
        <v>388</v>
      </c>
      <c r="G1332" t="s">
        <v>389</v>
      </c>
      <c r="AQ1332">
        <v>0</v>
      </c>
      <c r="AR1332">
        <v>0.22220000000000001</v>
      </c>
      <c r="AS1332">
        <v>0</v>
      </c>
    </row>
    <row r="1333" spans="1:45">
      <c r="A1333" t="s">
        <v>52</v>
      </c>
      <c r="B1333" t="s">
        <v>761</v>
      </c>
      <c r="C1333" t="s">
        <v>671</v>
      </c>
      <c r="D1333" t="s">
        <v>393</v>
      </c>
      <c r="E1333" t="s">
        <v>138</v>
      </c>
      <c r="F1333" t="s">
        <v>394</v>
      </c>
      <c r="G1333" t="s">
        <v>395</v>
      </c>
      <c r="AQ1333">
        <v>0</v>
      </c>
      <c r="AR1333">
        <v>99.99</v>
      </c>
      <c r="AS1333">
        <v>0</v>
      </c>
    </row>
    <row r="1334" spans="1:45">
      <c r="A1334" t="s">
        <v>52</v>
      </c>
      <c r="B1334" t="s">
        <v>761</v>
      </c>
      <c r="C1334" t="s">
        <v>672</v>
      </c>
      <c r="D1334" t="s">
        <v>393</v>
      </c>
      <c r="E1334" t="s">
        <v>138</v>
      </c>
      <c r="F1334" t="s">
        <v>396</v>
      </c>
      <c r="G1334" t="s">
        <v>395</v>
      </c>
      <c r="AQ1334">
        <v>0</v>
      </c>
      <c r="AR1334">
        <v>99.99</v>
      </c>
      <c r="AS1334">
        <v>0</v>
      </c>
    </row>
    <row r="1335" spans="1:45">
      <c r="A1335" t="s">
        <v>52</v>
      </c>
      <c r="B1335" t="s">
        <v>761</v>
      </c>
      <c r="C1335" t="s">
        <v>673</v>
      </c>
      <c r="D1335" t="s">
        <v>393</v>
      </c>
      <c r="E1335" t="s">
        <v>138</v>
      </c>
      <c r="F1335" t="s">
        <v>397</v>
      </c>
      <c r="G1335" t="s">
        <v>395</v>
      </c>
      <c r="AQ1335">
        <v>0</v>
      </c>
      <c r="AR1335">
        <v>66.66</v>
      </c>
      <c r="AS1335">
        <v>0</v>
      </c>
    </row>
    <row r="1336" spans="1:45">
      <c r="A1336" t="s">
        <v>52</v>
      </c>
      <c r="B1336" t="s">
        <v>761</v>
      </c>
      <c r="C1336" t="s">
        <v>674</v>
      </c>
      <c r="D1336" t="s">
        <v>287</v>
      </c>
      <c r="E1336" t="s">
        <v>138</v>
      </c>
      <c r="F1336" t="s">
        <v>402</v>
      </c>
      <c r="G1336" t="s">
        <v>403</v>
      </c>
      <c r="AQ1336">
        <v>0</v>
      </c>
      <c r="AR1336">
        <v>318150</v>
      </c>
      <c r="AS1336">
        <v>0</v>
      </c>
    </row>
    <row r="1337" spans="1:45">
      <c r="A1337" t="s">
        <v>52</v>
      </c>
      <c r="B1337" t="s">
        <v>761</v>
      </c>
      <c r="C1337" t="s">
        <v>675</v>
      </c>
      <c r="D1337" t="s">
        <v>390</v>
      </c>
      <c r="E1337" t="s">
        <v>138</v>
      </c>
      <c r="F1337" t="s">
        <v>391</v>
      </c>
      <c r="G1337" t="s">
        <v>392</v>
      </c>
      <c r="AQ1337">
        <v>0</v>
      </c>
      <c r="AR1337">
        <v>1336.23</v>
      </c>
      <c r="AS1337">
        <v>0</v>
      </c>
    </row>
    <row r="1338" spans="1:45">
      <c r="A1338" t="s">
        <v>52</v>
      </c>
      <c r="B1338" t="s">
        <v>761</v>
      </c>
      <c r="C1338" t="s">
        <v>676</v>
      </c>
      <c r="D1338" t="s">
        <v>398</v>
      </c>
      <c r="E1338" t="s">
        <v>138</v>
      </c>
      <c r="F1338" t="s">
        <v>399</v>
      </c>
      <c r="G1338" t="s">
        <v>400</v>
      </c>
      <c r="AQ1338">
        <v>0</v>
      </c>
      <c r="AR1338">
        <v>14475.825000000001</v>
      </c>
      <c r="AS1338">
        <v>0</v>
      </c>
    </row>
    <row r="1339" spans="1:45">
      <c r="A1339" t="s">
        <v>52</v>
      </c>
      <c r="B1339" t="s">
        <v>761</v>
      </c>
      <c r="C1339" t="s">
        <v>170</v>
      </c>
      <c r="D1339" t="s">
        <v>171</v>
      </c>
      <c r="E1339" t="s">
        <v>172</v>
      </c>
      <c r="F1339" t="s">
        <v>173</v>
      </c>
      <c r="G1339" t="s">
        <v>152</v>
      </c>
      <c r="H1339">
        <v>4075</v>
      </c>
      <c r="I1339">
        <v>2967</v>
      </c>
      <c r="J1339">
        <v>5958</v>
      </c>
      <c r="K1339">
        <v>4088</v>
      </c>
      <c r="L1339">
        <v>523</v>
      </c>
      <c r="M1339">
        <v>523</v>
      </c>
      <c r="AQ1339">
        <v>18134</v>
      </c>
      <c r="AR1339">
        <v>1.2726</v>
      </c>
      <c r="AS1339">
        <v>23077.328399999999</v>
      </c>
    </row>
    <row r="1340" spans="1:45">
      <c r="A1340" t="s">
        <v>52</v>
      </c>
      <c r="B1340" t="s">
        <v>761</v>
      </c>
      <c r="C1340" t="s">
        <v>677</v>
      </c>
      <c r="D1340" t="s">
        <v>405</v>
      </c>
      <c r="E1340" t="s">
        <v>172</v>
      </c>
      <c r="F1340" t="s">
        <v>406</v>
      </c>
      <c r="G1340" t="s">
        <v>407</v>
      </c>
      <c r="AQ1340">
        <v>0</v>
      </c>
      <c r="AR1340">
        <v>47.47</v>
      </c>
      <c r="AS1340">
        <v>0</v>
      </c>
    </row>
    <row r="1341" spans="1:45">
      <c r="A1341" t="s">
        <v>52</v>
      </c>
      <c r="B1341" t="s">
        <v>761</v>
      </c>
      <c r="C1341" t="s">
        <v>678</v>
      </c>
      <c r="D1341" t="s">
        <v>408</v>
      </c>
      <c r="E1341" t="s">
        <v>172</v>
      </c>
      <c r="F1341" t="s">
        <v>409</v>
      </c>
      <c r="G1341" t="s">
        <v>410</v>
      </c>
      <c r="AQ1341">
        <v>0</v>
      </c>
      <c r="AR1341">
        <v>1.0605</v>
      </c>
      <c r="AS1341">
        <v>0</v>
      </c>
    </row>
    <row r="1342" spans="1:45">
      <c r="A1342" t="s">
        <v>52</v>
      </c>
      <c r="B1342" t="s">
        <v>761</v>
      </c>
      <c r="C1342" t="s">
        <v>679</v>
      </c>
      <c r="D1342" t="s">
        <v>411</v>
      </c>
      <c r="E1342" t="s">
        <v>172</v>
      </c>
      <c r="F1342" t="s">
        <v>412</v>
      </c>
      <c r="G1342" t="s">
        <v>413</v>
      </c>
      <c r="AQ1342">
        <v>0</v>
      </c>
      <c r="AR1342">
        <v>37.1175</v>
      </c>
      <c r="AS1342">
        <v>0</v>
      </c>
    </row>
    <row r="1343" spans="1:45">
      <c r="A1343" t="s">
        <v>52</v>
      </c>
      <c r="B1343" t="s">
        <v>761</v>
      </c>
      <c r="C1343" t="s">
        <v>680</v>
      </c>
      <c r="D1343" t="s">
        <v>414</v>
      </c>
      <c r="E1343" t="s">
        <v>172</v>
      </c>
      <c r="F1343" t="s">
        <v>415</v>
      </c>
      <c r="G1343" t="s">
        <v>224</v>
      </c>
      <c r="AQ1343">
        <v>0</v>
      </c>
      <c r="AR1343">
        <v>42.42</v>
      </c>
      <c r="AS1343">
        <v>0</v>
      </c>
    </row>
    <row r="1344" spans="1:45">
      <c r="A1344" t="s">
        <v>52</v>
      </c>
      <c r="B1344" t="s">
        <v>761</v>
      </c>
      <c r="C1344" t="s">
        <v>681</v>
      </c>
      <c r="D1344" t="s">
        <v>416</v>
      </c>
      <c r="E1344" t="s">
        <v>172</v>
      </c>
      <c r="F1344" t="s">
        <v>417</v>
      </c>
      <c r="G1344" t="s">
        <v>418</v>
      </c>
      <c r="AQ1344">
        <v>0</v>
      </c>
      <c r="AR1344">
        <v>0.32319999999999999</v>
      </c>
      <c r="AS1344">
        <v>0</v>
      </c>
    </row>
    <row r="1345" spans="1:45">
      <c r="A1345" t="s">
        <v>52</v>
      </c>
      <c r="B1345" t="s">
        <v>761</v>
      </c>
      <c r="C1345" t="s">
        <v>682</v>
      </c>
      <c r="D1345" t="s">
        <v>419</v>
      </c>
      <c r="E1345" t="s">
        <v>172</v>
      </c>
      <c r="F1345" t="s">
        <v>420</v>
      </c>
      <c r="G1345" t="s">
        <v>421</v>
      </c>
      <c r="AQ1345">
        <v>0</v>
      </c>
      <c r="AR1345">
        <v>42.42</v>
      </c>
      <c r="AS1345">
        <v>0</v>
      </c>
    </row>
    <row r="1346" spans="1:45">
      <c r="A1346" t="s">
        <v>52</v>
      </c>
      <c r="B1346" t="s">
        <v>761</v>
      </c>
      <c r="C1346" t="s">
        <v>683</v>
      </c>
      <c r="D1346" t="s">
        <v>422</v>
      </c>
      <c r="E1346" t="s">
        <v>172</v>
      </c>
      <c r="F1346" t="s">
        <v>423</v>
      </c>
      <c r="G1346" t="s">
        <v>407</v>
      </c>
      <c r="AQ1346">
        <v>0</v>
      </c>
      <c r="AR1346">
        <v>47.47</v>
      </c>
      <c r="AS1346">
        <v>0</v>
      </c>
    </row>
    <row r="1347" spans="1:45">
      <c r="A1347" t="s">
        <v>52</v>
      </c>
      <c r="B1347" t="s">
        <v>761</v>
      </c>
      <c r="C1347" t="s">
        <v>684</v>
      </c>
      <c r="D1347" t="s">
        <v>427</v>
      </c>
      <c r="E1347" t="s">
        <v>172</v>
      </c>
      <c r="F1347" t="s">
        <v>428</v>
      </c>
      <c r="G1347" t="s">
        <v>429</v>
      </c>
      <c r="AQ1347">
        <v>0</v>
      </c>
      <c r="AR1347">
        <v>636.29999999999995</v>
      </c>
      <c r="AS1347">
        <v>0</v>
      </c>
    </row>
    <row r="1348" spans="1:45">
      <c r="A1348" t="s">
        <v>52</v>
      </c>
      <c r="B1348" t="s">
        <v>761</v>
      </c>
      <c r="C1348" t="s">
        <v>174</v>
      </c>
      <c r="D1348" t="s">
        <v>175</v>
      </c>
      <c r="E1348" t="s">
        <v>172</v>
      </c>
      <c r="F1348" t="s">
        <v>176</v>
      </c>
      <c r="G1348" t="s">
        <v>177</v>
      </c>
      <c r="K1348">
        <v>1</v>
      </c>
      <c r="AQ1348">
        <v>1</v>
      </c>
      <c r="AR1348">
        <v>424.2</v>
      </c>
      <c r="AS1348">
        <v>424.2</v>
      </c>
    </row>
    <row r="1349" spans="1:45">
      <c r="A1349" t="s">
        <v>52</v>
      </c>
      <c r="B1349" t="s">
        <v>761</v>
      </c>
      <c r="C1349" t="s">
        <v>685</v>
      </c>
      <c r="D1349" t="s">
        <v>430</v>
      </c>
      <c r="E1349" t="s">
        <v>172</v>
      </c>
      <c r="F1349" t="s">
        <v>433</v>
      </c>
      <c r="G1349" t="s">
        <v>432</v>
      </c>
      <c r="AQ1349">
        <v>0</v>
      </c>
      <c r="AR1349">
        <v>1908.9</v>
      </c>
      <c r="AS1349">
        <v>0</v>
      </c>
    </row>
    <row r="1350" spans="1:45">
      <c r="A1350" t="s">
        <v>52</v>
      </c>
      <c r="B1350" t="s">
        <v>761</v>
      </c>
      <c r="C1350" t="s">
        <v>686</v>
      </c>
      <c r="D1350" t="s">
        <v>430</v>
      </c>
      <c r="E1350" t="s">
        <v>172</v>
      </c>
      <c r="F1350" t="s">
        <v>431</v>
      </c>
      <c r="G1350" t="s">
        <v>432</v>
      </c>
      <c r="AQ1350">
        <v>0</v>
      </c>
      <c r="AR1350">
        <v>2121</v>
      </c>
      <c r="AS1350">
        <v>0</v>
      </c>
    </row>
    <row r="1351" spans="1:45">
      <c r="A1351" t="s">
        <v>52</v>
      </c>
      <c r="B1351" t="s">
        <v>761</v>
      </c>
      <c r="C1351" t="s">
        <v>687</v>
      </c>
      <c r="D1351" t="s">
        <v>430</v>
      </c>
      <c r="E1351" t="s">
        <v>172</v>
      </c>
      <c r="F1351" t="s">
        <v>438</v>
      </c>
      <c r="G1351" t="s">
        <v>432</v>
      </c>
      <c r="AQ1351">
        <v>0</v>
      </c>
      <c r="AR1351">
        <v>2439.15</v>
      </c>
      <c r="AS1351">
        <v>0</v>
      </c>
    </row>
    <row r="1352" spans="1:45">
      <c r="A1352" t="s">
        <v>52</v>
      </c>
      <c r="B1352" t="s">
        <v>761</v>
      </c>
      <c r="C1352" t="s">
        <v>688</v>
      </c>
      <c r="D1352" t="s">
        <v>430</v>
      </c>
      <c r="E1352" t="s">
        <v>172</v>
      </c>
      <c r="F1352" t="s">
        <v>434</v>
      </c>
      <c r="G1352" t="s">
        <v>432</v>
      </c>
      <c r="AQ1352">
        <v>0</v>
      </c>
      <c r="AR1352">
        <v>2651.25</v>
      </c>
      <c r="AS1352">
        <v>0</v>
      </c>
    </row>
    <row r="1353" spans="1:45">
      <c r="A1353" t="s">
        <v>52</v>
      </c>
      <c r="B1353" t="s">
        <v>761</v>
      </c>
      <c r="C1353" t="s">
        <v>645</v>
      </c>
      <c r="D1353" t="s">
        <v>435</v>
      </c>
      <c r="E1353" t="s">
        <v>172</v>
      </c>
      <c r="F1353" t="s">
        <v>436</v>
      </c>
      <c r="G1353" t="s">
        <v>437</v>
      </c>
      <c r="AQ1353">
        <v>0</v>
      </c>
      <c r="AR1353">
        <v>0.28000000000000003</v>
      </c>
    </row>
    <row r="1354" spans="1:45">
      <c r="A1354" t="s">
        <v>52</v>
      </c>
      <c r="B1354" t="s">
        <v>761</v>
      </c>
      <c r="C1354" t="s">
        <v>689</v>
      </c>
      <c r="D1354" t="s">
        <v>439</v>
      </c>
      <c r="E1354" t="s">
        <v>172</v>
      </c>
      <c r="F1354" t="s">
        <v>690</v>
      </c>
      <c r="G1354" t="s">
        <v>441</v>
      </c>
      <c r="AQ1354">
        <v>0</v>
      </c>
      <c r="AR1354">
        <v>318.14999999999998</v>
      </c>
      <c r="AS1354">
        <v>0</v>
      </c>
    </row>
    <row r="1355" spans="1:45">
      <c r="A1355" t="s">
        <v>52</v>
      </c>
      <c r="B1355" t="s">
        <v>761</v>
      </c>
      <c r="C1355" t="s">
        <v>691</v>
      </c>
      <c r="D1355" t="s">
        <v>439</v>
      </c>
      <c r="E1355" t="s">
        <v>172</v>
      </c>
      <c r="F1355" t="s">
        <v>442</v>
      </c>
      <c r="G1355" t="s">
        <v>441</v>
      </c>
      <c r="AQ1355">
        <v>0</v>
      </c>
      <c r="AR1355">
        <v>1272.5999999999999</v>
      </c>
      <c r="AS1355">
        <v>0</v>
      </c>
    </row>
    <row r="1356" spans="1:45">
      <c r="A1356" t="s">
        <v>52</v>
      </c>
      <c r="B1356" t="s">
        <v>761</v>
      </c>
      <c r="C1356" t="s">
        <v>692</v>
      </c>
      <c r="D1356" t="s">
        <v>439</v>
      </c>
      <c r="E1356" t="s">
        <v>172</v>
      </c>
      <c r="F1356" t="s">
        <v>443</v>
      </c>
      <c r="G1356" t="s">
        <v>441</v>
      </c>
      <c r="AQ1356">
        <v>0</v>
      </c>
      <c r="AR1356">
        <v>1590.75</v>
      </c>
      <c r="AS1356">
        <v>0</v>
      </c>
    </row>
    <row r="1357" spans="1:45">
      <c r="A1357" t="s">
        <v>52</v>
      </c>
      <c r="B1357" t="s">
        <v>761</v>
      </c>
      <c r="C1357" t="s">
        <v>693</v>
      </c>
      <c r="D1357" t="s">
        <v>439</v>
      </c>
      <c r="E1357" t="s">
        <v>172</v>
      </c>
      <c r="F1357" t="s">
        <v>440</v>
      </c>
      <c r="G1357" t="s">
        <v>441</v>
      </c>
      <c r="AQ1357">
        <v>0</v>
      </c>
      <c r="AR1357">
        <v>1590.75</v>
      </c>
      <c r="AS1357">
        <v>0</v>
      </c>
    </row>
    <row r="1358" spans="1:45">
      <c r="A1358" t="s">
        <v>52</v>
      </c>
      <c r="B1358" t="s">
        <v>761</v>
      </c>
      <c r="C1358" t="s">
        <v>694</v>
      </c>
      <c r="D1358" t="s">
        <v>439</v>
      </c>
      <c r="E1358" t="s">
        <v>172</v>
      </c>
      <c r="F1358" t="s">
        <v>695</v>
      </c>
      <c r="G1358" t="s">
        <v>441</v>
      </c>
      <c r="AQ1358">
        <v>0</v>
      </c>
      <c r="AR1358">
        <v>1802.85</v>
      </c>
      <c r="AS1358">
        <v>0</v>
      </c>
    </row>
    <row r="1359" spans="1:45">
      <c r="A1359" t="s">
        <v>52</v>
      </c>
      <c r="B1359" t="s">
        <v>761</v>
      </c>
      <c r="C1359" t="s">
        <v>696</v>
      </c>
      <c r="D1359" t="s">
        <v>446</v>
      </c>
      <c r="E1359" t="s">
        <v>172</v>
      </c>
      <c r="F1359" t="s">
        <v>447</v>
      </c>
      <c r="G1359" t="s">
        <v>448</v>
      </c>
      <c r="AQ1359">
        <v>0</v>
      </c>
      <c r="AR1359">
        <v>10.605</v>
      </c>
      <c r="AS1359">
        <v>0</v>
      </c>
    </row>
    <row r="1360" spans="1:45">
      <c r="A1360" t="s">
        <v>52</v>
      </c>
      <c r="B1360" t="s">
        <v>761</v>
      </c>
      <c r="C1360" t="s">
        <v>178</v>
      </c>
      <c r="D1360" t="s">
        <v>179</v>
      </c>
      <c r="E1360" t="s">
        <v>172</v>
      </c>
      <c r="F1360" t="s">
        <v>180</v>
      </c>
      <c r="G1360" t="s">
        <v>181</v>
      </c>
      <c r="H1360">
        <v>43</v>
      </c>
      <c r="I1360">
        <v>23</v>
      </c>
      <c r="J1360">
        <v>32</v>
      </c>
      <c r="K1360">
        <v>22</v>
      </c>
      <c r="L1360">
        <v>8</v>
      </c>
      <c r="M1360">
        <v>8</v>
      </c>
      <c r="AQ1360">
        <v>136</v>
      </c>
      <c r="AR1360">
        <v>106.05</v>
      </c>
      <c r="AS1360">
        <v>14422.8</v>
      </c>
    </row>
    <row r="1361" spans="1:45">
      <c r="A1361" t="s">
        <v>52</v>
      </c>
      <c r="B1361" t="s">
        <v>761</v>
      </c>
      <c r="C1361" t="s">
        <v>182</v>
      </c>
      <c r="D1361" t="s">
        <v>179</v>
      </c>
      <c r="E1361" t="s">
        <v>172</v>
      </c>
      <c r="F1361" t="s">
        <v>183</v>
      </c>
      <c r="G1361" t="s">
        <v>152</v>
      </c>
      <c r="H1361">
        <v>4075</v>
      </c>
      <c r="I1361">
        <v>2967</v>
      </c>
      <c r="J1361">
        <v>5958</v>
      </c>
      <c r="K1361">
        <v>4088</v>
      </c>
      <c r="L1361">
        <v>523</v>
      </c>
      <c r="M1361">
        <v>523</v>
      </c>
      <c r="AQ1361">
        <v>18134</v>
      </c>
      <c r="AR1361">
        <v>0.1515</v>
      </c>
      <c r="AS1361">
        <v>2747.3009999999999</v>
      </c>
    </row>
    <row r="1362" spans="1:45">
      <c r="A1362" t="s">
        <v>52</v>
      </c>
      <c r="B1362" t="s">
        <v>761</v>
      </c>
      <c r="C1362" t="s">
        <v>697</v>
      </c>
      <c r="D1362" t="s">
        <v>449</v>
      </c>
      <c r="E1362" t="s">
        <v>172</v>
      </c>
      <c r="F1362" t="s">
        <v>450</v>
      </c>
      <c r="G1362" t="s">
        <v>451</v>
      </c>
      <c r="AQ1362">
        <v>0</v>
      </c>
      <c r="AR1362">
        <v>1908.9</v>
      </c>
      <c r="AS1362">
        <v>0</v>
      </c>
    </row>
    <row r="1363" spans="1:45">
      <c r="A1363" t="s">
        <v>52</v>
      </c>
      <c r="B1363" t="s">
        <v>761</v>
      </c>
      <c r="C1363" t="s">
        <v>698</v>
      </c>
      <c r="D1363" t="s">
        <v>424</v>
      </c>
      <c r="E1363" t="s">
        <v>172</v>
      </c>
      <c r="F1363" t="s">
        <v>425</v>
      </c>
      <c r="G1363" t="s">
        <v>426</v>
      </c>
      <c r="AQ1363">
        <v>0</v>
      </c>
      <c r="AR1363">
        <v>132.5625</v>
      </c>
      <c r="AS1363">
        <v>0</v>
      </c>
    </row>
    <row r="1364" spans="1:45">
      <c r="A1364" t="s">
        <v>52</v>
      </c>
      <c r="B1364" t="s">
        <v>761</v>
      </c>
      <c r="C1364" t="s">
        <v>699</v>
      </c>
      <c r="D1364" t="s">
        <v>287</v>
      </c>
      <c r="E1364" t="s">
        <v>172</v>
      </c>
      <c r="F1364" t="s">
        <v>452</v>
      </c>
      <c r="G1364" t="s">
        <v>453</v>
      </c>
      <c r="AQ1364">
        <v>0</v>
      </c>
      <c r="AR1364">
        <v>3181.5</v>
      </c>
      <c r="AS1364">
        <v>0</v>
      </c>
    </row>
    <row r="1365" spans="1:45">
      <c r="A1365" t="s">
        <v>52</v>
      </c>
      <c r="B1365" t="s">
        <v>761</v>
      </c>
      <c r="C1365" t="s">
        <v>700</v>
      </c>
      <c r="D1365" t="s">
        <v>287</v>
      </c>
      <c r="E1365" t="s">
        <v>172</v>
      </c>
      <c r="F1365" t="s">
        <v>454</v>
      </c>
      <c r="G1365" t="s">
        <v>455</v>
      </c>
      <c r="H1365">
        <v>1</v>
      </c>
      <c r="I1365">
        <v>1</v>
      </c>
      <c r="J1365">
        <v>1</v>
      </c>
      <c r="K1365">
        <v>1</v>
      </c>
      <c r="L1365">
        <v>1</v>
      </c>
      <c r="M1365">
        <v>1</v>
      </c>
      <c r="AQ1365">
        <v>6</v>
      </c>
      <c r="AR1365">
        <v>318150</v>
      </c>
      <c r="AS1365">
        <v>1908900</v>
      </c>
    </row>
    <row r="1366" spans="1:45">
      <c r="A1366" t="s">
        <v>52</v>
      </c>
      <c r="B1366" t="s">
        <v>761</v>
      </c>
      <c r="C1366" t="s">
        <v>701</v>
      </c>
      <c r="D1366" t="s">
        <v>287</v>
      </c>
      <c r="E1366" t="s">
        <v>172</v>
      </c>
      <c r="F1366" t="s">
        <v>456</v>
      </c>
      <c r="G1366" t="s">
        <v>457</v>
      </c>
      <c r="H1366">
        <v>1</v>
      </c>
      <c r="I1366">
        <v>1</v>
      </c>
      <c r="J1366">
        <v>1</v>
      </c>
      <c r="K1366">
        <v>1</v>
      </c>
      <c r="L1366">
        <v>1</v>
      </c>
      <c r="M1366">
        <v>1</v>
      </c>
      <c r="AQ1366">
        <v>6</v>
      </c>
      <c r="AR1366">
        <v>238612.5</v>
      </c>
      <c r="AS1366">
        <v>1431675</v>
      </c>
    </row>
    <row r="1367" spans="1:45">
      <c r="A1367" t="s">
        <v>52</v>
      </c>
      <c r="B1367" t="s">
        <v>761</v>
      </c>
      <c r="C1367" t="s">
        <v>184</v>
      </c>
      <c r="D1367" t="s">
        <v>185</v>
      </c>
      <c r="E1367" t="s">
        <v>186</v>
      </c>
      <c r="F1367" t="s">
        <v>187</v>
      </c>
      <c r="G1367" t="s">
        <v>188</v>
      </c>
      <c r="H1367">
        <v>1</v>
      </c>
      <c r="I1367">
        <v>0</v>
      </c>
      <c r="J1367">
        <v>1</v>
      </c>
      <c r="K1367">
        <v>1</v>
      </c>
      <c r="L1367">
        <v>0</v>
      </c>
      <c r="M1367">
        <v>0</v>
      </c>
      <c r="AQ1367">
        <v>3</v>
      </c>
      <c r="AR1367">
        <v>2121</v>
      </c>
      <c r="AS1367">
        <v>6363</v>
      </c>
    </row>
    <row r="1368" spans="1:45">
      <c r="A1368" t="s">
        <v>52</v>
      </c>
      <c r="B1368" t="s">
        <v>761</v>
      </c>
      <c r="C1368" t="s">
        <v>189</v>
      </c>
      <c r="D1368" t="s">
        <v>190</v>
      </c>
      <c r="E1368" t="s">
        <v>186</v>
      </c>
      <c r="F1368" t="s">
        <v>191</v>
      </c>
      <c r="G1368" t="s">
        <v>192</v>
      </c>
      <c r="H1368">
        <v>1</v>
      </c>
      <c r="AQ1368">
        <v>1</v>
      </c>
      <c r="AR1368">
        <v>1060.5</v>
      </c>
      <c r="AS1368">
        <v>1060.5</v>
      </c>
    </row>
    <row r="1369" spans="1:45">
      <c r="A1369" t="s">
        <v>52</v>
      </c>
      <c r="B1369" t="s">
        <v>761</v>
      </c>
      <c r="C1369" t="s">
        <v>702</v>
      </c>
      <c r="D1369" t="s">
        <v>190</v>
      </c>
      <c r="E1369" t="s">
        <v>186</v>
      </c>
      <c r="F1369" t="s">
        <v>458</v>
      </c>
      <c r="G1369" t="s">
        <v>459</v>
      </c>
      <c r="AQ1369">
        <v>0</v>
      </c>
      <c r="AR1369">
        <v>1590.75</v>
      </c>
      <c r="AS1369">
        <v>0</v>
      </c>
    </row>
    <row r="1370" spans="1:45">
      <c r="A1370" t="s">
        <v>52</v>
      </c>
      <c r="B1370" t="s">
        <v>761</v>
      </c>
      <c r="C1370" t="s">
        <v>193</v>
      </c>
      <c r="D1370" t="s">
        <v>194</v>
      </c>
      <c r="E1370" t="s">
        <v>186</v>
      </c>
      <c r="F1370" t="s">
        <v>195</v>
      </c>
      <c r="G1370" t="s">
        <v>152</v>
      </c>
      <c r="H1370">
        <v>4075</v>
      </c>
      <c r="I1370">
        <v>2967</v>
      </c>
      <c r="J1370">
        <v>5958</v>
      </c>
      <c r="K1370">
        <v>4088</v>
      </c>
      <c r="L1370">
        <v>523</v>
      </c>
      <c r="M1370">
        <v>523</v>
      </c>
      <c r="AQ1370">
        <v>18134</v>
      </c>
      <c r="AR1370">
        <v>0.63629999999999998</v>
      </c>
      <c r="AS1370">
        <v>11538.664199999999</v>
      </c>
    </row>
    <row r="1371" spans="1:45">
      <c r="A1371" t="s">
        <v>52</v>
      </c>
      <c r="B1371" t="s">
        <v>761</v>
      </c>
      <c r="C1371" t="s">
        <v>197</v>
      </c>
      <c r="D1371" t="s">
        <v>198</v>
      </c>
      <c r="E1371" t="s">
        <v>186</v>
      </c>
      <c r="F1371" t="s">
        <v>199</v>
      </c>
      <c r="G1371" t="s">
        <v>200</v>
      </c>
      <c r="H1371">
        <v>1</v>
      </c>
      <c r="I1371">
        <v>1</v>
      </c>
      <c r="J1371">
        <v>1</v>
      </c>
      <c r="K1371">
        <v>1</v>
      </c>
      <c r="AQ1371">
        <v>4</v>
      </c>
      <c r="AR1371">
        <v>4984.3500000000004</v>
      </c>
      <c r="AS1371">
        <v>19937.400000000001</v>
      </c>
    </row>
    <row r="1372" spans="1:45">
      <c r="A1372" t="s">
        <v>52</v>
      </c>
      <c r="B1372" t="s">
        <v>761</v>
      </c>
      <c r="C1372" t="s">
        <v>201</v>
      </c>
      <c r="D1372" t="s">
        <v>202</v>
      </c>
      <c r="E1372" t="s">
        <v>186</v>
      </c>
      <c r="F1372" t="s">
        <v>203</v>
      </c>
      <c r="G1372" t="s">
        <v>204</v>
      </c>
      <c r="H1372">
        <v>3</v>
      </c>
      <c r="I1372">
        <v>3</v>
      </c>
      <c r="J1372">
        <v>3</v>
      </c>
      <c r="K1372">
        <v>3</v>
      </c>
      <c r="L1372">
        <v>3</v>
      </c>
      <c r="M1372">
        <v>3</v>
      </c>
      <c r="AQ1372">
        <v>18</v>
      </c>
      <c r="AR1372">
        <v>31.815000000000001</v>
      </c>
      <c r="AS1372">
        <v>572.66999999999996</v>
      </c>
    </row>
    <row r="1373" spans="1:45">
      <c r="A1373" t="s">
        <v>52</v>
      </c>
      <c r="B1373" t="s">
        <v>761</v>
      </c>
      <c r="C1373" t="s">
        <v>703</v>
      </c>
      <c r="D1373" t="s">
        <v>460</v>
      </c>
      <c r="E1373" t="s">
        <v>186</v>
      </c>
      <c r="F1373" t="s">
        <v>461</v>
      </c>
      <c r="G1373" t="s">
        <v>462</v>
      </c>
      <c r="AQ1373">
        <v>0</v>
      </c>
      <c r="AR1373">
        <v>15907.5</v>
      </c>
      <c r="AS1373">
        <v>0</v>
      </c>
    </row>
    <row r="1374" spans="1:45">
      <c r="A1374" t="s">
        <v>52</v>
      </c>
      <c r="B1374" t="s">
        <v>761</v>
      </c>
      <c r="C1374" t="s">
        <v>704</v>
      </c>
      <c r="D1374" t="s">
        <v>468</v>
      </c>
      <c r="E1374" t="s">
        <v>186</v>
      </c>
      <c r="F1374" t="s">
        <v>469</v>
      </c>
      <c r="G1374" t="s">
        <v>470</v>
      </c>
      <c r="AQ1374">
        <v>0</v>
      </c>
      <c r="AR1374">
        <v>159.07499999999999</v>
      </c>
      <c r="AS1374">
        <v>0</v>
      </c>
    </row>
    <row r="1375" spans="1:45">
      <c r="A1375" t="s">
        <v>52</v>
      </c>
      <c r="B1375" t="s">
        <v>761</v>
      </c>
      <c r="C1375" t="s">
        <v>705</v>
      </c>
      <c r="D1375" t="s">
        <v>463</v>
      </c>
      <c r="E1375" t="s">
        <v>186</v>
      </c>
      <c r="F1375" t="s">
        <v>466</v>
      </c>
      <c r="G1375" t="s">
        <v>467</v>
      </c>
      <c r="AQ1375">
        <v>0</v>
      </c>
      <c r="AR1375">
        <v>509.04</v>
      </c>
      <c r="AS1375">
        <v>0</v>
      </c>
    </row>
    <row r="1376" spans="1:45">
      <c r="A1376" t="s">
        <v>52</v>
      </c>
      <c r="B1376" t="s">
        <v>761</v>
      </c>
      <c r="C1376" t="s">
        <v>706</v>
      </c>
      <c r="D1376" t="s">
        <v>463</v>
      </c>
      <c r="E1376" t="s">
        <v>186</v>
      </c>
      <c r="F1376" t="s">
        <v>464</v>
      </c>
      <c r="G1376" t="s">
        <v>465</v>
      </c>
      <c r="AQ1376">
        <v>0</v>
      </c>
      <c r="AR1376">
        <v>1060.5</v>
      </c>
      <c r="AS1376">
        <v>0</v>
      </c>
    </row>
    <row r="1377" spans="1:45">
      <c r="A1377" t="s">
        <v>52</v>
      </c>
      <c r="B1377" t="s">
        <v>761</v>
      </c>
      <c r="C1377" t="s">
        <v>707</v>
      </c>
      <c r="D1377" t="s">
        <v>471</v>
      </c>
      <c r="E1377" t="s">
        <v>186</v>
      </c>
      <c r="F1377" t="s">
        <v>472</v>
      </c>
      <c r="G1377" t="s">
        <v>473</v>
      </c>
      <c r="AQ1377">
        <v>0</v>
      </c>
      <c r="AR1377">
        <v>15377.25</v>
      </c>
      <c r="AS1377">
        <v>0</v>
      </c>
    </row>
    <row r="1378" spans="1:45">
      <c r="A1378" t="s">
        <v>52</v>
      </c>
      <c r="B1378" t="s">
        <v>761</v>
      </c>
      <c r="C1378" t="s">
        <v>205</v>
      </c>
      <c r="D1378" t="s">
        <v>206</v>
      </c>
      <c r="E1378" t="s">
        <v>207</v>
      </c>
      <c r="F1378" t="s">
        <v>208</v>
      </c>
      <c r="G1378" t="s">
        <v>209</v>
      </c>
      <c r="H1378">
        <v>4075</v>
      </c>
      <c r="I1378">
        <v>2967</v>
      </c>
      <c r="J1378">
        <v>5958</v>
      </c>
      <c r="K1378">
        <v>4088</v>
      </c>
      <c r="L1378">
        <v>523</v>
      </c>
      <c r="M1378">
        <v>523</v>
      </c>
      <c r="AQ1378">
        <v>18134</v>
      </c>
      <c r="AR1378">
        <v>0.16159999999999999</v>
      </c>
      <c r="AS1378">
        <v>2930.4544000000001</v>
      </c>
    </row>
    <row r="1379" spans="1:45">
      <c r="A1379" t="s">
        <v>52</v>
      </c>
      <c r="B1379" t="s">
        <v>761</v>
      </c>
      <c r="C1379" t="s">
        <v>210</v>
      </c>
      <c r="D1379" t="s">
        <v>211</v>
      </c>
      <c r="E1379" t="s">
        <v>207</v>
      </c>
      <c r="F1379" t="s">
        <v>212</v>
      </c>
      <c r="G1379" t="s">
        <v>209</v>
      </c>
      <c r="H1379">
        <v>4055</v>
      </c>
      <c r="I1379">
        <v>2882</v>
      </c>
      <c r="J1379">
        <v>5580</v>
      </c>
      <c r="K1379">
        <v>4068</v>
      </c>
      <c r="L1379">
        <v>520</v>
      </c>
      <c r="M1379">
        <v>520</v>
      </c>
      <c r="AQ1379">
        <v>17625</v>
      </c>
      <c r="AR1379">
        <v>0.63629999999999998</v>
      </c>
      <c r="AS1379">
        <v>11214.7875</v>
      </c>
    </row>
    <row r="1380" spans="1:45">
      <c r="A1380" t="s">
        <v>52</v>
      </c>
      <c r="B1380" t="s">
        <v>761</v>
      </c>
      <c r="C1380" t="s">
        <v>213</v>
      </c>
      <c r="D1380" t="s">
        <v>214</v>
      </c>
      <c r="E1380" t="s">
        <v>207</v>
      </c>
      <c r="F1380" t="s">
        <v>215</v>
      </c>
      <c r="G1380" t="s">
        <v>152</v>
      </c>
      <c r="H1380">
        <v>1374</v>
      </c>
      <c r="I1380">
        <v>1133</v>
      </c>
      <c r="J1380">
        <v>1399</v>
      </c>
      <c r="K1380">
        <v>1470</v>
      </c>
      <c r="L1380">
        <v>158</v>
      </c>
      <c r="M1380">
        <v>158</v>
      </c>
      <c r="AQ1380">
        <v>5692</v>
      </c>
      <c r="AR1380">
        <v>0.32319999999999999</v>
      </c>
      <c r="AS1380">
        <v>1839.6543999999999</v>
      </c>
    </row>
    <row r="1381" spans="1:45">
      <c r="A1381" t="s">
        <v>52</v>
      </c>
      <c r="B1381" t="s">
        <v>761</v>
      </c>
      <c r="C1381" t="s">
        <v>255</v>
      </c>
      <c r="D1381" t="s">
        <v>256</v>
      </c>
      <c r="E1381" t="s">
        <v>207</v>
      </c>
      <c r="F1381" t="s">
        <v>257</v>
      </c>
      <c r="G1381" t="s">
        <v>258</v>
      </c>
      <c r="AQ1381">
        <v>0</v>
      </c>
      <c r="AR1381">
        <v>31.815000000000001</v>
      </c>
      <c r="AS1381">
        <v>0</v>
      </c>
    </row>
    <row r="1382" spans="1:45">
      <c r="A1382" t="s">
        <v>52</v>
      </c>
      <c r="B1382" t="s">
        <v>761</v>
      </c>
      <c r="C1382" t="s">
        <v>217</v>
      </c>
      <c r="D1382" t="s">
        <v>218</v>
      </c>
      <c r="E1382" t="s">
        <v>207</v>
      </c>
      <c r="F1382" t="s">
        <v>219</v>
      </c>
      <c r="G1382" t="s">
        <v>220</v>
      </c>
      <c r="H1382">
        <v>49</v>
      </c>
      <c r="I1382">
        <v>36</v>
      </c>
      <c r="J1382">
        <v>43</v>
      </c>
      <c r="K1382">
        <v>67</v>
      </c>
      <c r="L1382">
        <v>5</v>
      </c>
      <c r="M1382">
        <v>5</v>
      </c>
      <c r="AQ1382">
        <v>205</v>
      </c>
      <c r="AR1382">
        <v>9.5950000000000006</v>
      </c>
      <c r="AS1382">
        <v>1966.9749999999999</v>
      </c>
    </row>
    <row r="1383" spans="1:45">
      <c r="A1383" t="s">
        <v>52</v>
      </c>
      <c r="B1383" t="s">
        <v>761</v>
      </c>
      <c r="C1383" t="s">
        <v>708</v>
      </c>
      <c r="D1383" t="s">
        <v>474</v>
      </c>
      <c r="E1383" t="s">
        <v>207</v>
      </c>
      <c r="F1383" t="s">
        <v>475</v>
      </c>
      <c r="G1383" t="s">
        <v>476</v>
      </c>
      <c r="AQ1383">
        <v>0</v>
      </c>
      <c r="AR1383">
        <v>79.790000000000006</v>
      </c>
      <c r="AS1383">
        <v>0</v>
      </c>
    </row>
    <row r="1384" spans="1:45">
      <c r="A1384" t="s">
        <v>52</v>
      </c>
      <c r="B1384" t="s">
        <v>761</v>
      </c>
      <c r="C1384" t="s">
        <v>709</v>
      </c>
      <c r="D1384" t="s">
        <v>477</v>
      </c>
      <c r="E1384" t="s">
        <v>207</v>
      </c>
      <c r="F1384" t="s">
        <v>478</v>
      </c>
      <c r="G1384" t="s">
        <v>479</v>
      </c>
      <c r="AQ1384">
        <v>0</v>
      </c>
      <c r="AR1384">
        <v>2.121</v>
      </c>
      <c r="AS1384">
        <v>0</v>
      </c>
    </row>
    <row r="1385" spans="1:45">
      <c r="A1385" t="s">
        <v>52</v>
      </c>
      <c r="B1385" t="s">
        <v>761</v>
      </c>
      <c r="C1385" t="s">
        <v>221</v>
      </c>
      <c r="D1385" t="s">
        <v>222</v>
      </c>
      <c r="E1385" t="s">
        <v>207</v>
      </c>
      <c r="F1385" t="s">
        <v>223</v>
      </c>
      <c r="G1385" t="s">
        <v>224</v>
      </c>
      <c r="K1385">
        <v>1</v>
      </c>
      <c r="AQ1385">
        <v>1</v>
      </c>
      <c r="AR1385">
        <v>2651.25</v>
      </c>
      <c r="AS1385">
        <v>2651.25</v>
      </c>
    </row>
    <row r="1386" spans="1:45">
      <c r="A1386" t="s">
        <v>52</v>
      </c>
      <c r="B1386" t="s">
        <v>761</v>
      </c>
      <c r="C1386" t="s">
        <v>225</v>
      </c>
      <c r="D1386" t="s">
        <v>226</v>
      </c>
      <c r="E1386" t="s">
        <v>207</v>
      </c>
      <c r="F1386" t="s">
        <v>227</v>
      </c>
      <c r="G1386" t="s">
        <v>228</v>
      </c>
      <c r="H1386">
        <v>19</v>
      </c>
      <c r="I1386">
        <v>21</v>
      </c>
      <c r="J1386">
        <v>12</v>
      </c>
      <c r="K1386">
        <v>16</v>
      </c>
      <c r="L1386">
        <v>0</v>
      </c>
      <c r="M1386">
        <v>0</v>
      </c>
      <c r="AQ1386">
        <v>68</v>
      </c>
      <c r="AR1386">
        <v>21.21</v>
      </c>
      <c r="AS1386">
        <v>1442.28</v>
      </c>
    </row>
    <row r="1387" spans="1:45">
      <c r="A1387" t="s">
        <v>52</v>
      </c>
      <c r="B1387" t="s">
        <v>761</v>
      </c>
      <c r="C1387" t="s">
        <v>710</v>
      </c>
      <c r="D1387" t="s">
        <v>480</v>
      </c>
      <c r="E1387" t="s">
        <v>207</v>
      </c>
      <c r="F1387" t="s">
        <v>481</v>
      </c>
      <c r="G1387" t="s">
        <v>482</v>
      </c>
      <c r="AQ1387">
        <v>0</v>
      </c>
      <c r="AR1387">
        <v>1272.5999999999999</v>
      </c>
      <c r="AS1387">
        <v>0</v>
      </c>
    </row>
    <row r="1388" spans="1:45">
      <c r="A1388" t="s">
        <v>52</v>
      </c>
      <c r="B1388" t="s">
        <v>761</v>
      </c>
      <c r="C1388" t="s">
        <v>711</v>
      </c>
      <c r="D1388" t="s">
        <v>488</v>
      </c>
      <c r="E1388" t="s">
        <v>207</v>
      </c>
      <c r="F1388" t="s">
        <v>489</v>
      </c>
      <c r="G1388" t="s">
        <v>490</v>
      </c>
      <c r="AQ1388">
        <v>0</v>
      </c>
      <c r="AR1388">
        <v>0.5353</v>
      </c>
      <c r="AS1388">
        <v>0</v>
      </c>
    </row>
    <row r="1389" spans="1:45">
      <c r="A1389" t="s">
        <v>52</v>
      </c>
      <c r="B1389" t="s">
        <v>761</v>
      </c>
      <c r="C1389" t="s">
        <v>712</v>
      </c>
      <c r="D1389" t="s">
        <v>483</v>
      </c>
      <c r="E1389" t="s">
        <v>207</v>
      </c>
      <c r="F1389" t="s">
        <v>484</v>
      </c>
      <c r="G1389" t="s">
        <v>392</v>
      </c>
      <c r="AQ1389">
        <v>0</v>
      </c>
      <c r="AR1389">
        <v>2121</v>
      </c>
      <c r="AS1389">
        <v>0</v>
      </c>
    </row>
    <row r="1390" spans="1:45">
      <c r="A1390" t="s">
        <v>52</v>
      </c>
      <c r="B1390" t="s">
        <v>761</v>
      </c>
      <c r="C1390" t="s">
        <v>713</v>
      </c>
      <c r="D1390" t="s">
        <v>485</v>
      </c>
      <c r="E1390" t="s">
        <v>207</v>
      </c>
      <c r="F1390" t="s">
        <v>486</v>
      </c>
      <c r="G1390" t="s">
        <v>487</v>
      </c>
      <c r="AQ1390">
        <v>0</v>
      </c>
      <c r="AR1390">
        <v>265.125</v>
      </c>
      <c r="AS1390">
        <v>0</v>
      </c>
    </row>
    <row r="1391" spans="1:45">
      <c r="A1391" t="s">
        <v>52</v>
      </c>
      <c r="B1391" t="s">
        <v>761</v>
      </c>
      <c r="C1391" t="s">
        <v>229</v>
      </c>
      <c r="D1391" t="s">
        <v>230</v>
      </c>
      <c r="E1391" t="s">
        <v>231</v>
      </c>
      <c r="F1391" t="s">
        <v>232</v>
      </c>
      <c r="G1391" t="s">
        <v>233</v>
      </c>
      <c r="H1391">
        <v>1</v>
      </c>
      <c r="I1391">
        <v>2</v>
      </c>
      <c r="J1391">
        <v>3</v>
      </c>
      <c r="K1391">
        <v>0</v>
      </c>
      <c r="L1391">
        <v>2</v>
      </c>
      <c r="M1391">
        <v>2</v>
      </c>
      <c r="AQ1391">
        <v>10</v>
      </c>
      <c r="AR1391">
        <v>1484.7</v>
      </c>
      <c r="AS1391">
        <v>14847</v>
      </c>
    </row>
    <row r="1392" spans="1:45">
      <c r="A1392" t="s">
        <v>52</v>
      </c>
      <c r="B1392" t="s">
        <v>761</v>
      </c>
      <c r="C1392" t="s">
        <v>234</v>
      </c>
      <c r="D1392" t="s">
        <v>230</v>
      </c>
      <c r="E1392" t="s">
        <v>231</v>
      </c>
      <c r="F1392" t="s">
        <v>285</v>
      </c>
      <c r="G1392" t="s">
        <v>233</v>
      </c>
      <c r="H1392">
        <v>3</v>
      </c>
      <c r="I1392">
        <v>0</v>
      </c>
      <c r="J1392">
        <v>1</v>
      </c>
      <c r="K1392">
        <v>2</v>
      </c>
      <c r="L1392">
        <v>0</v>
      </c>
      <c r="M1392">
        <v>0</v>
      </c>
      <c r="AQ1392">
        <v>6</v>
      </c>
      <c r="AR1392">
        <v>1696.8</v>
      </c>
      <c r="AS1392">
        <v>10180.799999999999</v>
      </c>
    </row>
    <row r="1393" spans="1:45">
      <c r="A1393" t="s">
        <v>52</v>
      </c>
      <c r="B1393" t="s">
        <v>761</v>
      </c>
      <c r="C1393" t="s">
        <v>714</v>
      </c>
      <c r="D1393" t="s">
        <v>230</v>
      </c>
      <c r="E1393" t="s">
        <v>231</v>
      </c>
      <c r="F1393" t="s">
        <v>491</v>
      </c>
      <c r="G1393" t="s">
        <v>233</v>
      </c>
      <c r="AQ1393">
        <v>0</v>
      </c>
      <c r="AR1393">
        <v>1908.9</v>
      </c>
      <c r="AS1393">
        <v>0</v>
      </c>
    </row>
    <row r="1394" spans="1:45">
      <c r="A1394" t="s">
        <v>52</v>
      </c>
      <c r="B1394" t="s">
        <v>761</v>
      </c>
      <c r="C1394" t="s">
        <v>236</v>
      </c>
      <c r="D1394" t="s">
        <v>237</v>
      </c>
      <c r="E1394" t="s">
        <v>231</v>
      </c>
      <c r="F1394" t="s">
        <v>238</v>
      </c>
      <c r="G1394" t="s">
        <v>239</v>
      </c>
      <c r="I1394">
        <v>1</v>
      </c>
      <c r="AQ1394">
        <v>1</v>
      </c>
      <c r="AR1394">
        <v>265.125</v>
      </c>
      <c r="AS1394">
        <v>265.125</v>
      </c>
    </row>
    <row r="1395" spans="1:45">
      <c r="A1395" t="s">
        <v>52</v>
      </c>
      <c r="B1395" t="s">
        <v>761</v>
      </c>
      <c r="C1395" t="s">
        <v>715</v>
      </c>
      <c r="D1395" t="s">
        <v>492</v>
      </c>
      <c r="E1395" t="s">
        <v>231</v>
      </c>
      <c r="F1395" t="s">
        <v>493</v>
      </c>
      <c r="G1395" t="s">
        <v>494</v>
      </c>
      <c r="AQ1395">
        <v>0</v>
      </c>
      <c r="AR1395">
        <v>742.35</v>
      </c>
      <c r="AS1395">
        <v>0</v>
      </c>
    </row>
    <row r="1396" spans="1:45">
      <c r="A1396" t="s">
        <v>52</v>
      </c>
      <c r="B1396" t="s">
        <v>761</v>
      </c>
      <c r="C1396" t="s">
        <v>716</v>
      </c>
      <c r="D1396" t="s">
        <v>495</v>
      </c>
      <c r="E1396" t="s">
        <v>231</v>
      </c>
      <c r="F1396" t="s">
        <v>496</v>
      </c>
      <c r="G1396" t="s">
        <v>497</v>
      </c>
      <c r="AQ1396">
        <v>0</v>
      </c>
      <c r="AR1396">
        <v>848.4</v>
      </c>
      <c r="AS1396">
        <v>0</v>
      </c>
    </row>
    <row r="1397" spans="1:45">
      <c r="A1397" t="s">
        <v>52</v>
      </c>
      <c r="B1397" t="s">
        <v>761</v>
      </c>
      <c r="C1397" t="s">
        <v>717</v>
      </c>
      <c r="D1397" t="s">
        <v>498</v>
      </c>
      <c r="E1397" t="s">
        <v>242</v>
      </c>
      <c r="F1397" t="s">
        <v>499</v>
      </c>
      <c r="G1397" t="s">
        <v>500</v>
      </c>
      <c r="H1397">
        <v>4075</v>
      </c>
      <c r="I1397">
        <v>2967</v>
      </c>
      <c r="J1397">
        <v>5958</v>
      </c>
      <c r="K1397">
        <v>4088</v>
      </c>
      <c r="L1397">
        <v>523</v>
      </c>
      <c r="M1397">
        <v>523</v>
      </c>
      <c r="AQ1397">
        <v>18134</v>
      </c>
      <c r="AR1397">
        <v>1.4341999999999999</v>
      </c>
      <c r="AS1397">
        <v>26007.782800000001</v>
      </c>
    </row>
    <row r="1398" spans="1:45">
      <c r="A1398" t="s">
        <v>52</v>
      </c>
      <c r="B1398" t="s">
        <v>761</v>
      </c>
      <c r="C1398" t="s">
        <v>718</v>
      </c>
      <c r="D1398" t="s">
        <v>504</v>
      </c>
      <c r="E1398" t="s">
        <v>242</v>
      </c>
      <c r="F1398" t="s">
        <v>505</v>
      </c>
      <c r="G1398" t="s">
        <v>506</v>
      </c>
      <c r="AQ1398">
        <v>0</v>
      </c>
      <c r="AR1398">
        <v>0.84840000000000004</v>
      </c>
      <c r="AS1398">
        <v>0</v>
      </c>
    </row>
    <row r="1399" spans="1:45">
      <c r="A1399" t="s">
        <v>52</v>
      </c>
      <c r="B1399" t="s">
        <v>761</v>
      </c>
      <c r="C1399" t="s">
        <v>719</v>
      </c>
      <c r="D1399" t="s">
        <v>501</v>
      </c>
      <c r="E1399" t="s">
        <v>242</v>
      </c>
      <c r="F1399" t="s">
        <v>502</v>
      </c>
      <c r="G1399" t="s">
        <v>503</v>
      </c>
      <c r="AQ1399">
        <v>0</v>
      </c>
      <c r="AR1399">
        <v>1272.5999999999999</v>
      </c>
      <c r="AS1399">
        <v>0</v>
      </c>
    </row>
    <row r="1400" spans="1:45">
      <c r="A1400" t="s">
        <v>52</v>
      </c>
      <c r="B1400" t="s">
        <v>761</v>
      </c>
      <c r="C1400" t="s">
        <v>720</v>
      </c>
      <c r="D1400" t="s">
        <v>518</v>
      </c>
      <c r="E1400" t="s">
        <v>242</v>
      </c>
      <c r="F1400" t="s">
        <v>519</v>
      </c>
      <c r="G1400" t="s">
        <v>517</v>
      </c>
      <c r="AQ1400">
        <v>0</v>
      </c>
      <c r="AR1400">
        <v>3181.5</v>
      </c>
      <c r="AS1400">
        <v>0</v>
      </c>
    </row>
    <row r="1401" spans="1:45">
      <c r="A1401" t="s">
        <v>52</v>
      </c>
      <c r="B1401" t="s">
        <v>761</v>
      </c>
      <c r="C1401" t="s">
        <v>721</v>
      </c>
      <c r="D1401" t="s">
        <v>520</v>
      </c>
      <c r="E1401" t="s">
        <v>242</v>
      </c>
      <c r="F1401" t="s">
        <v>521</v>
      </c>
      <c r="G1401" t="s">
        <v>517</v>
      </c>
      <c r="AQ1401">
        <v>0</v>
      </c>
      <c r="AR1401">
        <v>2651.25</v>
      </c>
      <c r="AS1401">
        <v>0</v>
      </c>
    </row>
    <row r="1402" spans="1:45">
      <c r="A1402" t="s">
        <v>52</v>
      </c>
      <c r="B1402" t="s">
        <v>761</v>
      </c>
      <c r="C1402" t="s">
        <v>240</v>
      </c>
      <c r="D1402" t="s">
        <v>241</v>
      </c>
      <c r="E1402" t="s">
        <v>242</v>
      </c>
      <c r="F1402" t="s">
        <v>243</v>
      </c>
      <c r="G1402" t="s">
        <v>244</v>
      </c>
      <c r="H1402">
        <v>1</v>
      </c>
      <c r="I1402">
        <v>1</v>
      </c>
      <c r="AQ1402">
        <v>2</v>
      </c>
      <c r="AR1402">
        <v>318.14999999999998</v>
      </c>
      <c r="AS1402">
        <v>636.29999999999995</v>
      </c>
    </row>
    <row r="1403" spans="1:45">
      <c r="A1403" t="s">
        <v>52</v>
      </c>
      <c r="B1403" t="s">
        <v>761</v>
      </c>
      <c r="C1403" t="s">
        <v>245</v>
      </c>
      <c r="D1403" t="s">
        <v>246</v>
      </c>
      <c r="E1403" t="s">
        <v>242</v>
      </c>
      <c r="F1403" t="s">
        <v>247</v>
      </c>
      <c r="G1403" t="s">
        <v>248</v>
      </c>
      <c r="H1403">
        <v>1</v>
      </c>
      <c r="J1403">
        <v>1</v>
      </c>
      <c r="K1403">
        <v>1</v>
      </c>
      <c r="L1403">
        <v>1</v>
      </c>
      <c r="M1403">
        <v>1</v>
      </c>
      <c r="AQ1403">
        <v>5</v>
      </c>
      <c r="AR1403">
        <v>265.125</v>
      </c>
      <c r="AS1403">
        <v>1325.625</v>
      </c>
    </row>
    <row r="1404" spans="1:45">
      <c r="A1404" t="s">
        <v>52</v>
      </c>
      <c r="B1404" t="s">
        <v>761</v>
      </c>
      <c r="C1404" t="s">
        <v>259</v>
      </c>
      <c r="D1404" t="s">
        <v>260</v>
      </c>
      <c r="E1404" t="s">
        <v>242</v>
      </c>
      <c r="F1404" t="s">
        <v>261</v>
      </c>
      <c r="G1404" t="s">
        <v>262</v>
      </c>
      <c r="AQ1404">
        <v>0</v>
      </c>
      <c r="AR1404">
        <v>318.14999999999998</v>
      </c>
      <c r="AS1404">
        <v>0</v>
      </c>
    </row>
    <row r="1405" spans="1:45">
      <c r="A1405" t="s">
        <v>52</v>
      </c>
      <c r="B1405" t="s">
        <v>761</v>
      </c>
      <c r="C1405" t="s">
        <v>722</v>
      </c>
      <c r="D1405" t="s">
        <v>507</v>
      </c>
      <c r="E1405" t="s">
        <v>242</v>
      </c>
      <c r="F1405" t="s">
        <v>508</v>
      </c>
      <c r="G1405" t="s">
        <v>509</v>
      </c>
      <c r="AQ1405">
        <v>0</v>
      </c>
      <c r="AR1405">
        <v>2121</v>
      </c>
      <c r="AS1405">
        <v>0</v>
      </c>
    </row>
    <row r="1406" spans="1:45">
      <c r="A1406" t="s">
        <v>52</v>
      </c>
      <c r="B1406" t="s">
        <v>761</v>
      </c>
      <c r="C1406" t="s">
        <v>723</v>
      </c>
      <c r="D1406" t="s">
        <v>510</v>
      </c>
      <c r="E1406" t="s">
        <v>242</v>
      </c>
      <c r="F1406" t="s">
        <v>511</v>
      </c>
      <c r="G1406" t="s">
        <v>512</v>
      </c>
      <c r="AQ1406">
        <v>0</v>
      </c>
      <c r="AR1406">
        <v>212.1</v>
      </c>
      <c r="AS1406">
        <v>0</v>
      </c>
    </row>
    <row r="1407" spans="1:45">
      <c r="A1407" t="s">
        <v>52</v>
      </c>
      <c r="B1407" t="s">
        <v>761</v>
      </c>
      <c r="C1407" t="s">
        <v>724</v>
      </c>
      <c r="D1407" t="s">
        <v>526</v>
      </c>
      <c r="E1407" t="s">
        <v>242</v>
      </c>
      <c r="F1407" t="s">
        <v>527</v>
      </c>
      <c r="G1407" t="s">
        <v>528</v>
      </c>
      <c r="AQ1407">
        <v>0</v>
      </c>
      <c r="AR1407">
        <v>0.42420000000000002</v>
      </c>
      <c r="AS1407">
        <v>0</v>
      </c>
    </row>
    <row r="1408" spans="1:45">
      <c r="A1408" t="s">
        <v>52</v>
      </c>
      <c r="B1408" t="s">
        <v>761</v>
      </c>
      <c r="C1408" t="s">
        <v>725</v>
      </c>
      <c r="D1408" t="s">
        <v>529</v>
      </c>
      <c r="E1408" t="s">
        <v>242</v>
      </c>
      <c r="F1408" t="s">
        <v>530</v>
      </c>
      <c r="G1408" t="s">
        <v>531</v>
      </c>
      <c r="AQ1408">
        <v>0</v>
      </c>
      <c r="AR1408">
        <v>212.1</v>
      </c>
      <c r="AS1408">
        <v>0</v>
      </c>
    </row>
    <row r="1409" spans="1:45">
      <c r="A1409" t="s">
        <v>52</v>
      </c>
      <c r="B1409" t="s">
        <v>761</v>
      </c>
      <c r="C1409" t="s">
        <v>726</v>
      </c>
      <c r="D1409" t="s">
        <v>532</v>
      </c>
      <c r="E1409" t="s">
        <v>242</v>
      </c>
      <c r="F1409" t="s">
        <v>533</v>
      </c>
      <c r="G1409" t="s">
        <v>534</v>
      </c>
      <c r="AQ1409">
        <v>0</v>
      </c>
      <c r="AR1409">
        <v>21.21</v>
      </c>
      <c r="AS1409">
        <v>0</v>
      </c>
    </row>
    <row r="1410" spans="1:45">
      <c r="A1410" t="s">
        <v>52</v>
      </c>
      <c r="B1410" t="s">
        <v>761</v>
      </c>
      <c r="C1410" t="s">
        <v>727</v>
      </c>
      <c r="D1410" t="s">
        <v>287</v>
      </c>
      <c r="E1410" t="s">
        <v>242</v>
      </c>
      <c r="F1410" t="s">
        <v>537</v>
      </c>
      <c r="G1410" t="s">
        <v>538</v>
      </c>
      <c r="AQ1410">
        <v>0</v>
      </c>
      <c r="AR1410">
        <v>127.26</v>
      </c>
      <c r="AS1410">
        <v>0</v>
      </c>
    </row>
    <row r="1411" spans="1:45">
      <c r="A1411" t="s">
        <v>52</v>
      </c>
      <c r="B1411" t="s">
        <v>761</v>
      </c>
      <c r="C1411" t="s">
        <v>728</v>
      </c>
      <c r="D1411" t="s">
        <v>287</v>
      </c>
      <c r="E1411" t="s">
        <v>242</v>
      </c>
      <c r="F1411" t="s">
        <v>535</v>
      </c>
      <c r="G1411" t="s">
        <v>536</v>
      </c>
      <c r="AQ1411">
        <v>0</v>
      </c>
      <c r="AR1411">
        <v>424.2</v>
      </c>
      <c r="AS1411">
        <v>0</v>
      </c>
    </row>
    <row r="1412" spans="1:45">
      <c r="A1412" t="s">
        <v>52</v>
      </c>
      <c r="B1412" t="s">
        <v>761</v>
      </c>
      <c r="C1412" t="s">
        <v>729</v>
      </c>
      <c r="D1412" t="s">
        <v>522</v>
      </c>
      <c r="E1412" t="s">
        <v>242</v>
      </c>
      <c r="F1412" t="s">
        <v>523</v>
      </c>
      <c r="G1412" t="s">
        <v>517</v>
      </c>
      <c r="AQ1412">
        <v>0</v>
      </c>
      <c r="AR1412">
        <v>1272.5999999999999</v>
      </c>
      <c r="AS1412">
        <v>0</v>
      </c>
    </row>
    <row r="1413" spans="1:45">
      <c r="A1413" t="s">
        <v>52</v>
      </c>
      <c r="B1413" t="s">
        <v>761</v>
      </c>
      <c r="C1413" t="s">
        <v>730</v>
      </c>
      <c r="D1413" t="s">
        <v>515</v>
      </c>
      <c r="E1413" t="s">
        <v>242</v>
      </c>
      <c r="F1413" t="s">
        <v>516</v>
      </c>
      <c r="G1413" t="s">
        <v>517</v>
      </c>
      <c r="AQ1413">
        <v>0</v>
      </c>
      <c r="AR1413">
        <v>3181.5</v>
      </c>
      <c r="AS1413">
        <v>0</v>
      </c>
    </row>
    <row r="1414" spans="1:45">
      <c r="A1414" t="s">
        <v>52</v>
      </c>
      <c r="B1414" t="s">
        <v>761</v>
      </c>
      <c r="C1414" t="s">
        <v>731</v>
      </c>
      <c r="D1414" t="s">
        <v>524</v>
      </c>
      <c r="E1414" t="s">
        <v>242</v>
      </c>
      <c r="F1414" t="s">
        <v>525</v>
      </c>
      <c r="G1414" t="s">
        <v>503</v>
      </c>
      <c r="AQ1414">
        <v>0</v>
      </c>
      <c r="AR1414">
        <v>15907.5</v>
      </c>
      <c r="AS1414">
        <v>0</v>
      </c>
    </row>
    <row r="1415" spans="1:45">
      <c r="A1415" t="s">
        <v>52</v>
      </c>
      <c r="B1415" t="s">
        <v>761</v>
      </c>
      <c r="C1415" t="s">
        <v>732</v>
      </c>
      <c r="D1415" t="s">
        <v>513</v>
      </c>
      <c r="E1415" t="s">
        <v>242</v>
      </c>
      <c r="F1415" t="s">
        <v>514</v>
      </c>
      <c r="G1415" t="s">
        <v>453</v>
      </c>
      <c r="AQ1415">
        <v>0</v>
      </c>
      <c r="AR1415">
        <v>848.4</v>
      </c>
      <c r="AS1415">
        <v>0</v>
      </c>
    </row>
    <row r="1416" spans="1:45">
      <c r="A1416" t="s">
        <v>52</v>
      </c>
      <c r="B1416" t="s">
        <v>761</v>
      </c>
      <c r="C1416" t="s">
        <v>733</v>
      </c>
      <c r="D1416" t="s">
        <v>287</v>
      </c>
      <c r="E1416" t="s">
        <v>242</v>
      </c>
      <c r="F1416" t="s">
        <v>539</v>
      </c>
      <c r="G1416" t="s">
        <v>540</v>
      </c>
      <c r="AQ1416">
        <v>0</v>
      </c>
      <c r="AR1416">
        <v>8.08</v>
      </c>
      <c r="AS1416">
        <v>0</v>
      </c>
    </row>
    <row r="1417" spans="1:45">
      <c r="A1417" t="s">
        <v>52</v>
      </c>
      <c r="B1417" t="s">
        <v>761</v>
      </c>
      <c r="C1417" t="s">
        <v>734</v>
      </c>
      <c r="D1417" t="s">
        <v>287</v>
      </c>
      <c r="E1417" t="s">
        <v>242</v>
      </c>
      <c r="F1417" t="s">
        <v>541</v>
      </c>
      <c r="G1417" t="s">
        <v>540</v>
      </c>
      <c r="AQ1417">
        <v>0</v>
      </c>
      <c r="AR1417">
        <v>7.4740000000000002</v>
      </c>
      <c r="AS1417">
        <v>0</v>
      </c>
    </row>
    <row r="1418" spans="1:45">
      <c r="A1418" t="s">
        <v>52</v>
      </c>
      <c r="B1418" t="s">
        <v>761</v>
      </c>
      <c r="C1418" t="s">
        <v>735</v>
      </c>
      <c r="D1418" t="s">
        <v>543</v>
      </c>
      <c r="E1418" t="s">
        <v>542</v>
      </c>
      <c r="F1418" t="s">
        <v>544</v>
      </c>
      <c r="G1418" t="s">
        <v>545</v>
      </c>
      <c r="AQ1418">
        <v>0</v>
      </c>
      <c r="AR1418">
        <v>0</v>
      </c>
      <c r="AS1418">
        <v>0</v>
      </c>
    </row>
    <row r="1419" spans="1:45">
      <c r="A1419" t="s">
        <v>52</v>
      </c>
      <c r="B1419" t="s">
        <v>761</v>
      </c>
      <c r="C1419" t="s">
        <v>286</v>
      </c>
      <c r="D1419" t="s">
        <v>287</v>
      </c>
      <c r="E1419" t="s">
        <v>288</v>
      </c>
      <c r="F1419" t="s">
        <v>289</v>
      </c>
      <c r="G1419" t="s">
        <v>547</v>
      </c>
      <c r="AQ1419">
        <v>0</v>
      </c>
      <c r="AR1419">
        <v>0.05</v>
      </c>
      <c r="AS1419">
        <v>195648.77003000001</v>
      </c>
    </row>
    <row r="1420" spans="1:45">
      <c r="A1420" t="s">
        <v>52</v>
      </c>
      <c r="B1420" t="s">
        <v>761</v>
      </c>
      <c r="C1420" t="s">
        <v>291</v>
      </c>
      <c r="D1420" t="s">
        <v>287</v>
      </c>
      <c r="E1420" t="s">
        <v>288</v>
      </c>
      <c r="F1420" t="s">
        <v>292</v>
      </c>
      <c r="G1420" t="s">
        <v>293</v>
      </c>
      <c r="H1420">
        <v>4075</v>
      </c>
      <c r="I1420">
        <v>2967</v>
      </c>
      <c r="J1420">
        <v>5958</v>
      </c>
      <c r="K1420">
        <v>4088</v>
      </c>
      <c r="L1420">
        <v>523</v>
      </c>
      <c r="M1420">
        <v>4650</v>
      </c>
      <c r="AQ1420">
        <v>22261</v>
      </c>
      <c r="AR1420">
        <v>6.0600000000000001E-2</v>
      </c>
      <c r="AS1420">
        <v>1349.0165999999999</v>
      </c>
    </row>
    <row r="1421" spans="1:45">
      <c r="A1421" t="s">
        <v>52</v>
      </c>
      <c r="B1421" t="s">
        <v>761</v>
      </c>
      <c r="C1421" t="s">
        <v>736</v>
      </c>
      <c r="D1421" t="s">
        <v>287</v>
      </c>
      <c r="E1421" t="s">
        <v>288</v>
      </c>
      <c r="F1421" t="s">
        <v>550</v>
      </c>
      <c r="G1421" t="s">
        <v>293</v>
      </c>
      <c r="AQ1421">
        <v>0</v>
      </c>
      <c r="AR1421">
        <v>5.0500000000000003E-2</v>
      </c>
      <c r="AS1421">
        <v>0</v>
      </c>
    </row>
    <row r="1422" spans="1:45">
      <c r="A1422" t="s">
        <v>52</v>
      </c>
      <c r="B1422" t="s">
        <v>761</v>
      </c>
      <c r="C1422" t="s">
        <v>737</v>
      </c>
      <c r="D1422" t="s">
        <v>287</v>
      </c>
      <c r="E1422" t="s">
        <v>288</v>
      </c>
      <c r="F1422" t="s">
        <v>548</v>
      </c>
      <c r="G1422" t="s">
        <v>293</v>
      </c>
      <c r="AQ1422">
        <v>0</v>
      </c>
      <c r="AR1422">
        <v>0.1111</v>
      </c>
      <c r="AS1422">
        <v>0</v>
      </c>
    </row>
    <row r="1423" spans="1:45">
      <c r="A1423" t="s">
        <v>52</v>
      </c>
      <c r="B1423" t="s">
        <v>761</v>
      </c>
      <c r="C1423" t="s">
        <v>738</v>
      </c>
      <c r="D1423" t="s">
        <v>287</v>
      </c>
      <c r="E1423" t="s">
        <v>288</v>
      </c>
      <c r="F1423" t="s">
        <v>549</v>
      </c>
      <c r="G1423" t="s">
        <v>293</v>
      </c>
      <c r="AQ1423">
        <v>0</v>
      </c>
      <c r="AR1423">
        <v>0.10100000000000001</v>
      </c>
      <c r="AS1423">
        <v>0</v>
      </c>
    </row>
    <row r="1424" spans="1:45" hidden="1">
      <c r="A1424" t="s">
        <v>49</v>
      </c>
      <c r="B1424" t="s">
        <v>744</v>
      </c>
      <c r="C1424" t="s">
        <v>641</v>
      </c>
      <c r="D1424" t="s">
        <v>324</v>
      </c>
      <c r="E1424" t="s">
        <v>323</v>
      </c>
      <c r="F1424" t="s">
        <v>325</v>
      </c>
      <c r="G1424" t="s">
        <v>326</v>
      </c>
      <c r="AQ1424">
        <v>0</v>
      </c>
      <c r="AR1424">
        <v>1.35E-2</v>
      </c>
      <c r="AS1424">
        <v>0</v>
      </c>
    </row>
    <row r="1425" spans="1:45" hidden="1">
      <c r="A1425" t="s">
        <v>49</v>
      </c>
      <c r="B1425" t="s">
        <v>744</v>
      </c>
      <c r="C1425" t="s">
        <v>642</v>
      </c>
      <c r="D1425" t="s">
        <v>327</v>
      </c>
      <c r="E1425" t="s">
        <v>323</v>
      </c>
      <c r="F1425" t="s">
        <v>328</v>
      </c>
      <c r="G1425" t="s">
        <v>329</v>
      </c>
      <c r="AQ1425">
        <v>0</v>
      </c>
      <c r="AR1425">
        <v>5.9330000000000001E-2</v>
      </c>
      <c r="AS1425">
        <v>0</v>
      </c>
    </row>
    <row r="1426" spans="1:45" hidden="1">
      <c r="A1426" t="s">
        <v>49</v>
      </c>
      <c r="B1426" t="s">
        <v>744</v>
      </c>
      <c r="C1426" t="s">
        <v>643</v>
      </c>
      <c r="D1426" t="s">
        <v>330</v>
      </c>
      <c r="E1426" t="s">
        <v>323</v>
      </c>
      <c r="F1426" t="s">
        <v>331</v>
      </c>
      <c r="G1426" t="s">
        <v>740</v>
      </c>
      <c r="AQ1426">
        <v>0</v>
      </c>
      <c r="AR1426">
        <v>0.1</v>
      </c>
      <c r="AS1426">
        <v>0</v>
      </c>
    </row>
    <row r="1427" spans="1:45" hidden="1">
      <c r="A1427" t="s">
        <v>49</v>
      </c>
      <c r="B1427" t="s">
        <v>744</v>
      </c>
      <c r="C1427" t="s">
        <v>644</v>
      </c>
      <c r="D1427" t="s">
        <v>332</v>
      </c>
      <c r="E1427" t="s">
        <v>323</v>
      </c>
      <c r="F1427" t="s">
        <v>333</v>
      </c>
      <c r="G1427" t="s">
        <v>740</v>
      </c>
      <c r="AQ1427">
        <v>0</v>
      </c>
      <c r="AR1427">
        <v>0.125</v>
      </c>
      <c r="AS1427">
        <v>0</v>
      </c>
    </row>
    <row r="1428" spans="1:45" hidden="1">
      <c r="A1428" t="s">
        <v>49</v>
      </c>
      <c r="B1428" t="s">
        <v>744</v>
      </c>
      <c r="C1428" t="s">
        <v>645</v>
      </c>
      <c r="D1428" t="s">
        <v>334</v>
      </c>
      <c r="E1428" t="s">
        <v>323</v>
      </c>
      <c r="F1428" t="s">
        <v>335</v>
      </c>
      <c r="G1428" t="s">
        <v>329</v>
      </c>
      <c r="AQ1428">
        <v>0</v>
      </c>
      <c r="AR1428">
        <v>0.28000000000000003</v>
      </c>
    </row>
    <row r="1429" spans="1:45" hidden="1">
      <c r="A1429" t="s">
        <v>49</v>
      </c>
      <c r="B1429" t="s">
        <v>744</v>
      </c>
      <c r="C1429" t="s">
        <v>646</v>
      </c>
      <c r="D1429" t="s">
        <v>137</v>
      </c>
      <c r="E1429" t="s">
        <v>138</v>
      </c>
      <c r="F1429" t="s">
        <v>337</v>
      </c>
      <c r="G1429" t="s">
        <v>140</v>
      </c>
      <c r="K1429">
        <v>1</v>
      </c>
      <c r="M1429">
        <v>1</v>
      </c>
      <c r="N1429">
        <v>2</v>
      </c>
      <c r="S1429">
        <v>1</v>
      </c>
      <c r="AQ1429">
        <v>5</v>
      </c>
      <c r="AR1429">
        <v>212.1</v>
      </c>
      <c r="AS1429">
        <v>1060.5</v>
      </c>
    </row>
    <row r="1430" spans="1:45" hidden="1">
      <c r="A1430" t="s">
        <v>49</v>
      </c>
      <c r="B1430" t="s">
        <v>744</v>
      </c>
      <c r="C1430" t="s">
        <v>136</v>
      </c>
      <c r="D1430" t="s">
        <v>137</v>
      </c>
      <c r="E1430" t="s">
        <v>138</v>
      </c>
      <c r="F1430" t="s">
        <v>139</v>
      </c>
      <c r="G1430" t="s">
        <v>140</v>
      </c>
      <c r="K1430">
        <v>1</v>
      </c>
      <c r="L1430">
        <v>2</v>
      </c>
      <c r="T1430">
        <v>1</v>
      </c>
      <c r="U1430">
        <v>1</v>
      </c>
      <c r="AQ1430">
        <v>5</v>
      </c>
      <c r="AR1430">
        <v>1696.8</v>
      </c>
      <c r="AS1430">
        <v>8484</v>
      </c>
    </row>
    <row r="1431" spans="1:45" hidden="1">
      <c r="A1431" t="s">
        <v>49</v>
      </c>
      <c r="B1431" t="s">
        <v>744</v>
      </c>
      <c r="C1431" t="s">
        <v>143</v>
      </c>
      <c r="D1431" t="s">
        <v>137</v>
      </c>
      <c r="E1431" t="s">
        <v>138</v>
      </c>
      <c r="F1431" t="s">
        <v>277</v>
      </c>
      <c r="G1431" t="s">
        <v>140</v>
      </c>
      <c r="H1431">
        <v>2</v>
      </c>
      <c r="AQ1431">
        <v>2</v>
      </c>
      <c r="AR1431">
        <v>3923.85</v>
      </c>
      <c r="AS1431">
        <v>7847.7</v>
      </c>
    </row>
    <row r="1432" spans="1:45" hidden="1">
      <c r="A1432" t="s">
        <v>49</v>
      </c>
      <c r="B1432" t="s">
        <v>744</v>
      </c>
      <c r="C1432" t="s">
        <v>647</v>
      </c>
      <c r="D1432" t="s">
        <v>137</v>
      </c>
      <c r="E1432" t="s">
        <v>138</v>
      </c>
      <c r="F1432" t="s">
        <v>338</v>
      </c>
      <c r="G1432" t="s">
        <v>140</v>
      </c>
      <c r="H1432">
        <v>4</v>
      </c>
      <c r="I1432">
        <v>2</v>
      </c>
      <c r="J1432">
        <v>2</v>
      </c>
      <c r="AQ1432">
        <v>8</v>
      </c>
      <c r="AR1432">
        <v>6893.25</v>
      </c>
      <c r="AS1432">
        <v>55146</v>
      </c>
    </row>
    <row r="1433" spans="1:45" hidden="1">
      <c r="A1433" t="s">
        <v>49</v>
      </c>
      <c r="B1433" t="s">
        <v>744</v>
      </c>
      <c r="C1433" t="s">
        <v>648</v>
      </c>
      <c r="D1433" t="s">
        <v>342</v>
      </c>
      <c r="E1433" t="s">
        <v>138</v>
      </c>
      <c r="F1433" t="s">
        <v>343</v>
      </c>
      <c r="G1433" t="s">
        <v>140</v>
      </c>
      <c r="I1433">
        <v>0</v>
      </c>
      <c r="AQ1433">
        <v>0</v>
      </c>
      <c r="AR1433">
        <v>13786.5</v>
      </c>
      <c r="AS1433">
        <v>0</v>
      </c>
    </row>
    <row r="1434" spans="1:45" hidden="1">
      <c r="A1434" t="s">
        <v>49</v>
      </c>
      <c r="B1434" t="s">
        <v>744</v>
      </c>
      <c r="C1434" t="s">
        <v>649</v>
      </c>
      <c r="D1434" t="s">
        <v>344</v>
      </c>
      <c r="E1434" t="s">
        <v>138</v>
      </c>
      <c r="F1434" t="s">
        <v>345</v>
      </c>
      <c r="G1434" t="s">
        <v>346</v>
      </c>
      <c r="AQ1434">
        <v>0</v>
      </c>
      <c r="AR1434">
        <v>11.11</v>
      </c>
      <c r="AS1434">
        <v>0</v>
      </c>
    </row>
    <row r="1435" spans="1:45" hidden="1">
      <c r="A1435" t="s">
        <v>49</v>
      </c>
      <c r="B1435" t="s">
        <v>744</v>
      </c>
      <c r="C1435" t="s">
        <v>650</v>
      </c>
      <c r="D1435" t="s">
        <v>339</v>
      </c>
      <c r="E1435" t="s">
        <v>138</v>
      </c>
      <c r="F1435" t="s">
        <v>340</v>
      </c>
      <c r="G1435" t="s">
        <v>341</v>
      </c>
      <c r="H1435">
        <v>1</v>
      </c>
      <c r="I1435">
        <v>1</v>
      </c>
      <c r="AQ1435">
        <v>2</v>
      </c>
      <c r="AR1435">
        <v>557.52</v>
      </c>
      <c r="AS1435">
        <v>1115.04</v>
      </c>
    </row>
    <row r="1436" spans="1:45" hidden="1">
      <c r="A1436" t="s">
        <v>49</v>
      </c>
      <c r="B1436" t="s">
        <v>744</v>
      </c>
      <c r="C1436" t="s">
        <v>651</v>
      </c>
      <c r="D1436" t="s">
        <v>347</v>
      </c>
      <c r="E1436" t="s">
        <v>138</v>
      </c>
      <c r="F1436" t="s">
        <v>350</v>
      </c>
      <c r="G1436" t="s">
        <v>349</v>
      </c>
      <c r="H1436">
        <v>9</v>
      </c>
      <c r="I1436">
        <v>4</v>
      </c>
      <c r="J1436">
        <v>3</v>
      </c>
      <c r="AQ1436">
        <v>16</v>
      </c>
      <c r="AR1436">
        <v>234.32</v>
      </c>
      <c r="AS1436">
        <v>3749.12</v>
      </c>
    </row>
    <row r="1437" spans="1:45" hidden="1">
      <c r="A1437" t="s">
        <v>49</v>
      </c>
      <c r="B1437" t="s">
        <v>744</v>
      </c>
      <c r="C1437" t="s">
        <v>652</v>
      </c>
      <c r="D1437" t="s">
        <v>347</v>
      </c>
      <c r="E1437" t="s">
        <v>138</v>
      </c>
      <c r="F1437" t="s">
        <v>348</v>
      </c>
      <c r="G1437" t="s">
        <v>349</v>
      </c>
      <c r="H1437">
        <v>2</v>
      </c>
      <c r="I1437">
        <v>0</v>
      </c>
      <c r="J1437">
        <v>4</v>
      </c>
      <c r="AQ1437">
        <v>6</v>
      </c>
      <c r="AR1437">
        <v>456.52</v>
      </c>
      <c r="AS1437">
        <v>2739.12</v>
      </c>
    </row>
    <row r="1438" spans="1:45" hidden="1">
      <c r="A1438" t="s">
        <v>49</v>
      </c>
      <c r="B1438" t="s">
        <v>744</v>
      </c>
      <c r="C1438" t="s">
        <v>653</v>
      </c>
      <c r="D1438" t="s">
        <v>347</v>
      </c>
      <c r="E1438" t="s">
        <v>138</v>
      </c>
      <c r="F1438" t="s">
        <v>351</v>
      </c>
      <c r="G1438" t="s">
        <v>349</v>
      </c>
      <c r="H1438">
        <v>2</v>
      </c>
      <c r="I1438">
        <v>0</v>
      </c>
      <c r="AQ1438">
        <v>2</v>
      </c>
      <c r="AR1438">
        <v>679.73</v>
      </c>
      <c r="AS1438">
        <v>1359.46</v>
      </c>
    </row>
    <row r="1439" spans="1:45" hidden="1">
      <c r="A1439" t="s">
        <v>49</v>
      </c>
      <c r="B1439" t="s">
        <v>744</v>
      </c>
      <c r="C1439" t="s">
        <v>654</v>
      </c>
      <c r="D1439" t="s">
        <v>352</v>
      </c>
      <c r="E1439" t="s">
        <v>138</v>
      </c>
      <c r="F1439" t="s">
        <v>353</v>
      </c>
      <c r="G1439" t="s">
        <v>354</v>
      </c>
      <c r="H1439">
        <v>2</v>
      </c>
      <c r="I1439">
        <v>0</v>
      </c>
      <c r="AQ1439">
        <v>2</v>
      </c>
      <c r="AR1439">
        <v>3923.85</v>
      </c>
      <c r="AS1439">
        <v>7847.7</v>
      </c>
    </row>
    <row r="1440" spans="1:45" hidden="1">
      <c r="A1440" t="s">
        <v>49</v>
      </c>
      <c r="B1440" t="s">
        <v>744</v>
      </c>
      <c r="C1440" t="s">
        <v>655</v>
      </c>
      <c r="D1440" t="s">
        <v>355</v>
      </c>
      <c r="E1440" t="s">
        <v>138</v>
      </c>
      <c r="F1440" t="s">
        <v>356</v>
      </c>
      <c r="G1440" t="s">
        <v>357</v>
      </c>
      <c r="H1440">
        <v>9</v>
      </c>
      <c r="I1440">
        <v>11</v>
      </c>
      <c r="J1440">
        <v>7</v>
      </c>
      <c r="AQ1440">
        <v>27</v>
      </c>
      <c r="AR1440">
        <v>556.51</v>
      </c>
      <c r="AS1440">
        <v>15025.77</v>
      </c>
    </row>
    <row r="1441" spans="1:45" hidden="1">
      <c r="A1441" t="s">
        <v>49</v>
      </c>
      <c r="B1441" t="s">
        <v>744</v>
      </c>
      <c r="C1441" t="s">
        <v>656</v>
      </c>
      <c r="D1441" t="s">
        <v>358</v>
      </c>
      <c r="E1441" t="s">
        <v>138</v>
      </c>
      <c r="F1441" t="s">
        <v>359</v>
      </c>
      <c r="G1441" t="s">
        <v>360</v>
      </c>
      <c r="I1441">
        <v>0</v>
      </c>
      <c r="AQ1441">
        <v>0</v>
      </c>
      <c r="AR1441">
        <v>334.31</v>
      </c>
      <c r="AS1441">
        <v>0</v>
      </c>
    </row>
    <row r="1442" spans="1:45" hidden="1">
      <c r="A1442" t="s">
        <v>49</v>
      </c>
      <c r="B1442" t="s">
        <v>744</v>
      </c>
      <c r="C1442" t="s">
        <v>657</v>
      </c>
      <c r="D1442" t="s">
        <v>361</v>
      </c>
      <c r="E1442" t="s">
        <v>138</v>
      </c>
      <c r="F1442" t="s">
        <v>362</v>
      </c>
      <c r="G1442" t="s">
        <v>363</v>
      </c>
      <c r="I1442">
        <v>1</v>
      </c>
      <c r="AQ1442">
        <v>1</v>
      </c>
      <c r="AR1442">
        <v>1.0605</v>
      </c>
      <c r="AS1442">
        <v>1.0605</v>
      </c>
    </row>
    <row r="1443" spans="1:45" hidden="1">
      <c r="A1443" t="s">
        <v>49</v>
      </c>
      <c r="B1443" t="s">
        <v>744</v>
      </c>
      <c r="C1443" t="s">
        <v>658</v>
      </c>
      <c r="D1443" t="s">
        <v>364</v>
      </c>
      <c r="E1443" t="s">
        <v>138</v>
      </c>
      <c r="F1443" t="s">
        <v>366</v>
      </c>
      <c r="G1443" t="s">
        <v>363</v>
      </c>
      <c r="I1443">
        <v>1</v>
      </c>
      <c r="AQ1443">
        <v>1</v>
      </c>
      <c r="AR1443">
        <v>4.242</v>
      </c>
      <c r="AS1443">
        <v>4.242</v>
      </c>
    </row>
    <row r="1444" spans="1:45" hidden="1">
      <c r="A1444" t="s">
        <v>49</v>
      </c>
      <c r="B1444" t="s">
        <v>744</v>
      </c>
      <c r="C1444" t="s">
        <v>659</v>
      </c>
      <c r="D1444" t="s">
        <v>364</v>
      </c>
      <c r="E1444" t="s">
        <v>138</v>
      </c>
      <c r="F1444" t="s">
        <v>365</v>
      </c>
      <c r="G1444" t="s">
        <v>363</v>
      </c>
      <c r="I1444">
        <v>0</v>
      </c>
      <c r="AQ1444">
        <v>0</v>
      </c>
      <c r="AR1444">
        <v>8.484</v>
      </c>
      <c r="AS1444">
        <v>0</v>
      </c>
    </row>
    <row r="1445" spans="1:45" hidden="1">
      <c r="A1445" t="s">
        <v>49</v>
      </c>
      <c r="B1445" t="s">
        <v>744</v>
      </c>
      <c r="C1445" t="s">
        <v>660</v>
      </c>
      <c r="D1445" t="s">
        <v>364</v>
      </c>
      <c r="E1445" t="s">
        <v>138</v>
      </c>
      <c r="F1445" t="s">
        <v>367</v>
      </c>
      <c r="G1445" t="s">
        <v>363</v>
      </c>
      <c r="I1445">
        <v>0</v>
      </c>
      <c r="AQ1445">
        <v>0</v>
      </c>
      <c r="AR1445">
        <v>21.21</v>
      </c>
      <c r="AS1445">
        <v>0</v>
      </c>
    </row>
    <row r="1446" spans="1:45" hidden="1">
      <c r="A1446" t="s">
        <v>49</v>
      </c>
      <c r="B1446" t="s">
        <v>744</v>
      </c>
      <c r="C1446" t="s">
        <v>278</v>
      </c>
      <c r="D1446" t="s">
        <v>146</v>
      </c>
      <c r="E1446" t="s">
        <v>138</v>
      </c>
      <c r="F1446" t="s">
        <v>279</v>
      </c>
      <c r="G1446" t="s">
        <v>148</v>
      </c>
      <c r="H1446">
        <v>8</v>
      </c>
      <c r="I1446">
        <v>4</v>
      </c>
      <c r="J1446">
        <v>3</v>
      </c>
      <c r="N1446">
        <v>1</v>
      </c>
      <c r="R1446">
        <v>1</v>
      </c>
      <c r="AQ1446">
        <v>17</v>
      </c>
      <c r="AR1446">
        <v>1272.5999999999999</v>
      </c>
      <c r="AS1446">
        <v>21634.2</v>
      </c>
    </row>
    <row r="1447" spans="1:45" hidden="1">
      <c r="A1447" t="s">
        <v>49</v>
      </c>
      <c r="B1447" t="s">
        <v>744</v>
      </c>
      <c r="C1447" t="s">
        <v>661</v>
      </c>
      <c r="D1447" t="s">
        <v>146</v>
      </c>
      <c r="E1447" t="s">
        <v>138</v>
      </c>
      <c r="F1447" t="s">
        <v>368</v>
      </c>
      <c r="G1447" t="s">
        <v>148</v>
      </c>
      <c r="H1447">
        <v>8</v>
      </c>
      <c r="I1447">
        <v>0</v>
      </c>
      <c r="J1447">
        <v>2</v>
      </c>
      <c r="AQ1447">
        <v>10</v>
      </c>
      <c r="AR1447">
        <v>2333.1</v>
      </c>
      <c r="AS1447">
        <v>23331</v>
      </c>
    </row>
    <row r="1448" spans="1:45" hidden="1">
      <c r="A1448" t="s">
        <v>49</v>
      </c>
      <c r="B1448" t="s">
        <v>744</v>
      </c>
      <c r="C1448" t="s">
        <v>662</v>
      </c>
      <c r="D1448" t="s">
        <v>146</v>
      </c>
      <c r="E1448" t="s">
        <v>138</v>
      </c>
      <c r="F1448" t="s">
        <v>369</v>
      </c>
      <c r="G1448" t="s">
        <v>148</v>
      </c>
      <c r="I1448">
        <v>2</v>
      </c>
      <c r="AQ1448">
        <v>2</v>
      </c>
      <c r="AR1448">
        <v>3711.75</v>
      </c>
      <c r="AS1448">
        <v>7423.5</v>
      </c>
    </row>
    <row r="1449" spans="1:45" hidden="1">
      <c r="A1449" t="s">
        <v>49</v>
      </c>
      <c r="B1449" t="s">
        <v>744</v>
      </c>
      <c r="C1449" t="s">
        <v>663</v>
      </c>
      <c r="D1449" t="s">
        <v>146</v>
      </c>
      <c r="E1449" t="s">
        <v>138</v>
      </c>
      <c r="F1449" t="s">
        <v>370</v>
      </c>
      <c r="G1449" t="s">
        <v>148</v>
      </c>
      <c r="H1449">
        <v>2</v>
      </c>
      <c r="I1449">
        <v>0</v>
      </c>
      <c r="J1449">
        <v>1</v>
      </c>
      <c r="AQ1449">
        <v>3</v>
      </c>
      <c r="AR1449">
        <v>5832.75</v>
      </c>
      <c r="AS1449">
        <v>17498.25</v>
      </c>
    </row>
    <row r="1450" spans="1:45" hidden="1">
      <c r="A1450" t="s">
        <v>49</v>
      </c>
      <c r="B1450" t="s">
        <v>744</v>
      </c>
      <c r="C1450" t="s">
        <v>664</v>
      </c>
      <c r="D1450" t="s">
        <v>371</v>
      </c>
      <c r="E1450" t="s">
        <v>138</v>
      </c>
      <c r="F1450" t="s">
        <v>372</v>
      </c>
      <c r="G1450" t="s">
        <v>373</v>
      </c>
      <c r="I1450">
        <v>0</v>
      </c>
      <c r="AQ1450">
        <v>0</v>
      </c>
      <c r="AR1450">
        <v>3711.75</v>
      </c>
      <c r="AS1450">
        <v>0</v>
      </c>
    </row>
    <row r="1451" spans="1:45" hidden="1">
      <c r="A1451" t="s">
        <v>49</v>
      </c>
      <c r="B1451" t="s">
        <v>744</v>
      </c>
      <c r="C1451" t="s">
        <v>149</v>
      </c>
      <c r="D1451" t="s">
        <v>280</v>
      </c>
      <c r="E1451" t="s">
        <v>138</v>
      </c>
      <c r="F1451" t="s">
        <v>151</v>
      </c>
      <c r="G1451" t="s">
        <v>152</v>
      </c>
      <c r="H1451">
        <v>42869.41</v>
      </c>
      <c r="I1451">
        <v>14925.59</v>
      </c>
      <c r="J1451">
        <v>10247.219999999999</v>
      </c>
      <c r="K1451">
        <v>7969.7</v>
      </c>
      <c r="L1451">
        <v>1978.03</v>
      </c>
      <c r="M1451">
        <v>158.9</v>
      </c>
      <c r="N1451">
        <v>890.39</v>
      </c>
      <c r="O1451">
        <v>2027.03</v>
      </c>
      <c r="P1451">
        <v>414.63</v>
      </c>
      <c r="Q1451">
        <v>803.38</v>
      </c>
      <c r="R1451">
        <v>1635.1</v>
      </c>
      <c r="S1451">
        <v>591.96</v>
      </c>
      <c r="T1451">
        <v>1054.23</v>
      </c>
      <c r="U1451">
        <v>467.69</v>
      </c>
      <c r="V1451">
        <v>113.43</v>
      </c>
      <c r="AQ1451">
        <v>86146.69</v>
      </c>
      <c r="AR1451">
        <v>1.111</v>
      </c>
      <c r="AS1451">
        <v>95708.972590000005</v>
      </c>
    </row>
    <row r="1452" spans="1:45" hidden="1">
      <c r="A1452" t="s">
        <v>49</v>
      </c>
      <c r="B1452" t="s">
        <v>744</v>
      </c>
      <c r="C1452" t="s">
        <v>153</v>
      </c>
      <c r="D1452" t="s">
        <v>154</v>
      </c>
      <c r="E1452" t="s">
        <v>138</v>
      </c>
      <c r="F1452" t="s">
        <v>155</v>
      </c>
      <c r="G1452" t="s">
        <v>156</v>
      </c>
      <c r="H1452">
        <v>894</v>
      </c>
      <c r="I1452">
        <v>160</v>
      </c>
      <c r="J1452">
        <v>185</v>
      </c>
      <c r="K1452">
        <v>17</v>
      </c>
      <c r="N1452">
        <v>40</v>
      </c>
      <c r="O1452">
        <v>14</v>
      </c>
      <c r="R1452">
        <v>8</v>
      </c>
      <c r="T1452">
        <v>39</v>
      </c>
      <c r="AQ1452">
        <v>1357</v>
      </c>
      <c r="AR1452">
        <v>116.655</v>
      </c>
      <c r="AS1452">
        <v>158300.83499999999</v>
      </c>
    </row>
    <row r="1453" spans="1:45" hidden="1">
      <c r="A1453" t="s">
        <v>49</v>
      </c>
      <c r="B1453" t="s">
        <v>744</v>
      </c>
      <c r="C1453" t="s">
        <v>665</v>
      </c>
      <c r="D1453" t="s">
        <v>375</v>
      </c>
      <c r="E1453" t="s">
        <v>138</v>
      </c>
      <c r="F1453" t="s">
        <v>376</v>
      </c>
      <c r="G1453" t="s">
        <v>377</v>
      </c>
      <c r="H1453">
        <v>1</v>
      </c>
      <c r="I1453">
        <v>1</v>
      </c>
      <c r="J1453">
        <v>0</v>
      </c>
      <c r="P1453">
        <v>1</v>
      </c>
      <c r="AQ1453">
        <v>3</v>
      </c>
      <c r="AR1453">
        <v>89.081999999999994</v>
      </c>
      <c r="AS1453">
        <v>267.24599999999998</v>
      </c>
    </row>
    <row r="1454" spans="1:45" hidden="1">
      <c r="A1454" t="s">
        <v>49</v>
      </c>
      <c r="B1454" t="s">
        <v>744</v>
      </c>
      <c r="C1454" t="s">
        <v>158</v>
      </c>
      <c r="D1454" t="s">
        <v>159</v>
      </c>
      <c r="E1454" t="s">
        <v>138</v>
      </c>
      <c r="F1454" t="s">
        <v>160</v>
      </c>
      <c r="G1454" t="s">
        <v>161</v>
      </c>
      <c r="H1454">
        <v>202</v>
      </c>
      <c r="I1454">
        <v>59</v>
      </c>
      <c r="J1454">
        <v>45</v>
      </c>
      <c r="K1454">
        <v>75</v>
      </c>
      <c r="L1454">
        <v>28</v>
      </c>
      <c r="M1454">
        <v>2</v>
      </c>
      <c r="N1454">
        <v>7</v>
      </c>
      <c r="O1454">
        <v>14</v>
      </c>
      <c r="P1454">
        <v>17</v>
      </c>
      <c r="Q1454">
        <v>41</v>
      </c>
      <c r="R1454">
        <v>13</v>
      </c>
      <c r="T1454">
        <v>18</v>
      </c>
      <c r="V1454">
        <v>3</v>
      </c>
      <c r="AQ1454">
        <v>524</v>
      </c>
      <c r="AR1454">
        <v>66.66</v>
      </c>
      <c r="AS1454">
        <v>34929.839999999997</v>
      </c>
    </row>
    <row r="1455" spans="1:45" hidden="1">
      <c r="A1455" t="s">
        <v>49</v>
      </c>
      <c r="B1455" t="s">
        <v>744</v>
      </c>
      <c r="C1455" t="s">
        <v>666</v>
      </c>
      <c r="D1455" t="s">
        <v>378</v>
      </c>
      <c r="E1455" t="s">
        <v>138</v>
      </c>
      <c r="F1455" t="s">
        <v>379</v>
      </c>
      <c r="G1455" t="s">
        <v>380</v>
      </c>
      <c r="I1455">
        <v>0</v>
      </c>
      <c r="AQ1455">
        <v>0</v>
      </c>
      <c r="AR1455">
        <v>389.86</v>
      </c>
      <c r="AS1455">
        <v>0</v>
      </c>
    </row>
    <row r="1456" spans="1:45" hidden="1">
      <c r="A1456" t="s">
        <v>49</v>
      </c>
      <c r="B1456" t="s">
        <v>744</v>
      </c>
      <c r="C1456" t="s">
        <v>667</v>
      </c>
      <c r="D1456" t="s">
        <v>281</v>
      </c>
      <c r="E1456" t="s">
        <v>138</v>
      </c>
      <c r="F1456" t="s">
        <v>384</v>
      </c>
      <c r="G1456" t="s">
        <v>165</v>
      </c>
      <c r="H1456">
        <v>40</v>
      </c>
      <c r="I1456">
        <v>9</v>
      </c>
      <c r="J1456">
        <v>12</v>
      </c>
      <c r="L1456">
        <v>1</v>
      </c>
      <c r="P1456">
        <v>2</v>
      </c>
      <c r="Q1456">
        <v>1</v>
      </c>
      <c r="AQ1456">
        <v>65</v>
      </c>
      <c r="AR1456">
        <v>2227.0500000000002</v>
      </c>
      <c r="AS1456">
        <v>144758.25</v>
      </c>
    </row>
    <row r="1457" spans="1:45" hidden="1">
      <c r="A1457" t="s">
        <v>49</v>
      </c>
      <c r="B1457" t="s">
        <v>744</v>
      </c>
      <c r="C1457" t="s">
        <v>162</v>
      </c>
      <c r="D1457" t="s">
        <v>281</v>
      </c>
      <c r="E1457" t="s">
        <v>138</v>
      </c>
      <c r="F1457" t="s">
        <v>164</v>
      </c>
      <c r="G1457" t="s">
        <v>165</v>
      </c>
      <c r="H1457">
        <v>13</v>
      </c>
      <c r="I1457">
        <v>7</v>
      </c>
      <c r="J1457">
        <v>1</v>
      </c>
      <c r="AQ1457">
        <v>21</v>
      </c>
      <c r="AR1457">
        <v>4242</v>
      </c>
      <c r="AS1457">
        <v>89082</v>
      </c>
    </row>
    <row r="1458" spans="1:45" hidden="1">
      <c r="A1458" t="s">
        <v>49</v>
      </c>
      <c r="B1458" t="s">
        <v>744</v>
      </c>
      <c r="C1458" t="s">
        <v>668</v>
      </c>
      <c r="D1458" t="s">
        <v>381</v>
      </c>
      <c r="E1458" t="s">
        <v>138</v>
      </c>
      <c r="F1458" t="s">
        <v>382</v>
      </c>
      <c r="G1458" t="s">
        <v>383</v>
      </c>
      <c r="I1458">
        <v>0</v>
      </c>
      <c r="AQ1458">
        <v>0</v>
      </c>
      <c r="AR1458">
        <v>39.39</v>
      </c>
      <c r="AS1458">
        <v>0</v>
      </c>
    </row>
    <row r="1459" spans="1:45" hidden="1">
      <c r="A1459" t="s">
        <v>49</v>
      </c>
      <c r="B1459" t="s">
        <v>744</v>
      </c>
      <c r="C1459" t="s">
        <v>166</v>
      </c>
      <c r="D1459" t="s">
        <v>282</v>
      </c>
      <c r="E1459" t="s">
        <v>138</v>
      </c>
      <c r="F1459" t="s">
        <v>168</v>
      </c>
      <c r="G1459" t="s">
        <v>169</v>
      </c>
      <c r="H1459">
        <v>24366.18</v>
      </c>
      <c r="I1459">
        <v>9674.85</v>
      </c>
      <c r="J1459">
        <v>6784.47</v>
      </c>
      <c r="L1459">
        <v>280.74</v>
      </c>
      <c r="P1459">
        <v>414.63</v>
      </c>
      <c r="Q1459">
        <v>341.37</v>
      </c>
      <c r="AQ1459">
        <v>41862.239999999998</v>
      </c>
      <c r="AR1459">
        <v>1.111</v>
      </c>
      <c r="AS1459">
        <v>46508.948640000002</v>
      </c>
    </row>
    <row r="1460" spans="1:45" hidden="1">
      <c r="A1460" t="s">
        <v>49</v>
      </c>
      <c r="B1460" t="s">
        <v>744</v>
      </c>
      <c r="C1460" t="s">
        <v>669</v>
      </c>
      <c r="D1460" t="s">
        <v>385</v>
      </c>
      <c r="E1460" t="s">
        <v>138</v>
      </c>
      <c r="F1460" t="s">
        <v>386</v>
      </c>
      <c r="G1460" t="s">
        <v>387</v>
      </c>
      <c r="H1460">
        <v>1</v>
      </c>
      <c r="I1460">
        <v>1</v>
      </c>
      <c r="J1460">
        <v>1</v>
      </c>
      <c r="AQ1460">
        <v>3</v>
      </c>
      <c r="AR1460">
        <v>22270.5</v>
      </c>
      <c r="AS1460">
        <v>66811.5</v>
      </c>
    </row>
    <row r="1461" spans="1:45" hidden="1">
      <c r="A1461" t="s">
        <v>49</v>
      </c>
      <c r="B1461" t="s">
        <v>744</v>
      </c>
      <c r="C1461" t="s">
        <v>670</v>
      </c>
      <c r="D1461" t="s">
        <v>385</v>
      </c>
      <c r="E1461" t="s">
        <v>138</v>
      </c>
      <c r="F1461" t="s">
        <v>388</v>
      </c>
      <c r="G1461" t="s">
        <v>389</v>
      </c>
      <c r="I1461">
        <v>0</v>
      </c>
      <c r="AQ1461">
        <v>0</v>
      </c>
      <c r="AR1461">
        <v>0.22220000000000001</v>
      </c>
      <c r="AS1461">
        <v>0</v>
      </c>
    </row>
    <row r="1462" spans="1:45" hidden="1">
      <c r="A1462" t="s">
        <v>49</v>
      </c>
      <c r="B1462" t="s">
        <v>744</v>
      </c>
      <c r="C1462" t="s">
        <v>671</v>
      </c>
      <c r="D1462" t="s">
        <v>393</v>
      </c>
      <c r="E1462" t="s">
        <v>138</v>
      </c>
      <c r="F1462" t="s">
        <v>394</v>
      </c>
      <c r="G1462" t="s">
        <v>395</v>
      </c>
      <c r="I1462">
        <v>0</v>
      </c>
      <c r="AQ1462">
        <v>0</v>
      </c>
      <c r="AR1462">
        <v>99.99</v>
      </c>
      <c r="AS1462">
        <v>0</v>
      </c>
    </row>
    <row r="1463" spans="1:45" hidden="1">
      <c r="A1463" t="s">
        <v>49</v>
      </c>
      <c r="B1463" t="s">
        <v>744</v>
      </c>
      <c r="C1463" t="s">
        <v>672</v>
      </c>
      <c r="D1463" t="s">
        <v>393</v>
      </c>
      <c r="E1463" t="s">
        <v>138</v>
      </c>
      <c r="F1463" t="s">
        <v>396</v>
      </c>
      <c r="G1463" t="s">
        <v>395</v>
      </c>
      <c r="I1463">
        <v>0</v>
      </c>
      <c r="AQ1463">
        <v>0</v>
      </c>
      <c r="AR1463">
        <v>99.99</v>
      </c>
      <c r="AS1463">
        <v>0</v>
      </c>
    </row>
    <row r="1464" spans="1:45" hidden="1">
      <c r="A1464" t="s">
        <v>49</v>
      </c>
      <c r="B1464" t="s">
        <v>744</v>
      </c>
      <c r="C1464" t="s">
        <v>673</v>
      </c>
      <c r="D1464" t="s">
        <v>393</v>
      </c>
      <c r="E1464" t="s">
        <v>138</v>
      </c>
      <c r="F1464" t="s">
        <v>397</v>
      </c>
      <c r="G1464" t="s">
        <v>395</v>
      </c>
      <c r="I1464">
        <v>0</v>
      </c>
      <c r="AQ1464">
        <v>0</v>
      </c>
      <c r="AR1464">
        <v>66.66</v>
      </c>
      <c r="AS1464">
        <v>0</v>
      </c>
    </row>
    <row r="1465" spans="1:45" hidden="1">
      <c r="A1465" t="s">
        <v>49</v>
      </c>
      <c r="B1465" t="s">
        <v>744</v>
      </c>
      <c r="C1465" t="s">
        <v>674</v>
      </c>
      <c r="D1465" t="s">
        <v>287</v>
      </c>
      <c r="E1465" t="s">
        <v>138</v>
      </c>
      <c r="F1465" t="s">
        <v>402</v>
      </c>
      <c r="G1465" t="s">
        <v>403</v>
      </c>
      <c r="I1465">
        <v>0</v>
      </c>
      <c r="AQ1465">
        <v>0</v>
      </c>
      <c r="AR1465">
        <v>318150</v>
      </c>
      <c r="AS1465">
        <v>0</v>
      </c>
    </row>
    <row r="1466" spans="1:45" hidden="1">
      <c r="A1466" t="s">
        <v>49</v>
      </c>
      <c r="B1466" t="s">
        <v>744</v>
      </c>
      <c r="C1466" t="s">
        <v>675</v>
      </c>
      <c r="D1466" t="s">
        <v>390</v>
      </c>
      <c r="E1466" t="s">
        <v>138</v>
      </c>
      <c r="F1466" t="s">
        <v>391</v>
      </c>
      <c r="G1466" t="s">
        <v>392</v>
      </c>
      <c r="I1466">
        <v>0</v>
      </c>
      <c r="AQ1466">
        <v>0</v>
      </c>
      <c r="AR1466">
        <v>1336.23</v>
      </c>
      <c r="AS1466">
        <v>0</v>
      </c>
    </row>
    <row r="1467" spans="1:45" hidden="1">
      <c r="A1467" t="s">
        <v>49</v>
      </c>
      <c r="B1467" t="s">
        <v>744</v>
      </c>
      <c r="C1467" t="s">
        <v>676</v>
      </c>
      <c r="D1467" t="s">
        <v>398</v>
      </c>
      <c r="E1467" t="s">
        <v>138</v>
      </c>
      <c r="F1467" t="s">
        <v>399</v>
      </c>
      <c r="G1467" t="s">
        <v>400</v>
      </c>
      <c r="I1467">
        <v>0</v>
      </c>
      <c r="AQ1467">
        <v>0</v>
      </c>
      <c r="AR1467">
        <v>14475.825000000001</v>
      </c>
      <c r="AS1467">
        <v>0</v>
      </c>
    </row>
    <row r="1468" spans="1:45" hidden="1">
      <c r="A1468" t="s">
        <v>49</v>
      </c>
      <c r="B1468" t="s">
        <v>744</v>
      </c>
      <c r="C1468" t="s">
        <v>170</v>
      </c>
      <c r="D1468" t="s">
        <v>171</v>
      </c>
      <c r="E1468" t="s">
        <v>172</v>
      </c>
      <c r="F1468" t="s">
        <v>173</v>
      </c>
      <c r="G1468" t="s">
        <v>152</v>
      </c>
      <c r="H1468">
        <v>42869.41</v>
      </c>
      <c r="I1468">
        <v>14925.59</v>
      </c>
      <c r="J1468">
        <v>10247.219999999999</v>
      </c>
      <c r="K1468">
        <v>7969.7</v>
      </c>
      <c r="L1468">
        <v>1978.03</v>
      </c>
      <c r="M1468">
        <v>158.9</v>
      </c>
      <c r="N1468">
        <v>890.39</v>
      </c>
      <c r="O1468">
        <v>2027.03</v>
      </c>
      <c r="P1468">
        <v>414.63</v>
      </c>
      <c r="Q1468">
        <v>803.38</v>
      </c>
      <c r="R1468">
        <v>1635.1</v>
      </c>
      <c r="S1468">
        <v>591.96</v>
      </c>
      <c r="T1468">
        <v>1054.23</v>
      </c>
      <c r="U1468">
        <v>467.69</v>
      </c>
      <c r="V1468">
        <v>113.43</v>
      </c>
      <c r="AQ1468">
        <v>86146.69</v>
      </c>
      <c r="AR1468">
        <v>1.2726</v>
      </c>
      <c r="AS1468">
        <v>109630.277694</v>
      </c>
    </row>
    <row r="1469" spans="1:45" hidden="1">
      <c r="A1469" t="s">
        <v>49</v>
      </c>
      <c r="B1469" t="s">
        <v>744</v>
      </c>
      <c r="C1469" t="s">
        <v>677</v>
      </c>
      <c r="D1469" t="s">
        <v>405</v>
      </c>
      <c r="E1469" t="s">
        <v>172</v>
      </c>
      <c r="F1469" t="s">
        <v>406</v>
      </c>
      <c r="G1469" t="s">
        <v>407</v>
      </c>
      <c r="H1469">
        <v>228</v>
      </c>
      <c r="I1469">
        <v>53</v>
      </c>
      <c r="J1469">
        <v>47</v>
      </c>
      <c r="K1469">
        <v>36</v>
      </c>
      <c r="L1469">
        <v>4</v>
      </c>
      <c r="P1469">
        <v>7</v>
      </c>
      <c r="R1469">
        <v>1</v>
      </c>
      <c r="S1469">
        <v>4</v>
      </c>
      <c r="T1469">
        <v>22</v>
      </c>
      <c r="U1469">
        <v>4</v>
      </c>
      <c r="AQ1469">
        <v>406</v>
      </c>
      <c r="AR1469">
        <v>47.47</v>
      </c>
      <c r="AS1469">
        <v>19272.82</v>
      </c>
    </row>
    <row r="1470" spans="1:45" hidden="1">
      <c r="A1470" t="s">
        <v>49</v>
      </c>
      <c r="B1470" t="s">
        <v>744</v>
      </c>
      <c r="C1470" t="s">
        <v>678</v>
      </c>
      <c r="D1470" t="s">
        <v>408</v>
      </c>
      <c r="E1470" t="s">
        <v>172</v>
      </c>
      <c r="F1470" t="s">
        <v>409</v>
      </c>
      <c r="G1470" t="s">
        <v>410</v>
      </c>
      <c r="I1470">
        <v>0</v>
      </c>
      <c r="AQ1470">
        <v>0</v>
      </c>
      <c r="AR1470">
        <v>1.0605</v>
      </c>
      <c r="AS1470">
        <v>0</v>
      </c>
    </row>
    <row r="1471" spans="1:45" hidden="1">
      <c r="A1471" t="s">
        <v>49</v>
      </c>
      <c r="B1471" t="s">
        <v>744</v>
      </c>
      <c r="C1471" t="s">
        <v>679</v>
      </c>
      <c r="D1471" t="s">
        <v>411</v>
      </c>
      <c r="E1471" t="s">
        <v>172</v>
      </c>
      <c r="F1471" t="s">
        <v>412</v>
      </c>
      <c r="G1471" t="s">
        <v>413</v>
      </c>
      <c r="I1471">
        <v>0</v>
      </c>
      <c r="AQ1471">
        <v>0</v>
      </c>
      <c r="AR1471">
        <v>37.1175</v>
      </c>
      <c r="AS1471">
        <v>0</v>
      </c>
    </row>
    <row r="1472" spans="1:45" hidden="1">
      <c r="A1472" t="s">
        <v>49</v>
      </c>
      <c r="B1472" t="s">
        <v>744</v>
      </c>
      <c r="C1472" t="s">
        <v>680</v>
      </c>
      <c r="D1472" t="s">
        <v>414</v>
      </c>
      <c r="E1472" t="s">
        <v>172</v>
      </c>
      <c r="F1472" t="s">
        <v>415</v>
      </c>
      <c r="G1472" t="s">
        <v>224</v>
      </c>
      <c r="I1472">
        <v>0</v>
      </c>
      <c r="AQ1472">
        <v>0</v>
      </c>
      <c r="AR1472">
        <v>42.42</v>
      </c>
      <c r="AS1472">
        <v>0</v>
      </c>
    </row>
    <row r="1473" spans="1:45" hidden="1">
      <c r="A1473" t="s">
        <v>49</v>
      </c>
      <c r="B1473" t="s">
        <v>744</v>
      </c>
      <c r="C1473" t="s">
        <v>681</v>
      </c>
      <c r="D1473" t="s">
        <v>416</v>
      </c>
      <c r="E1473" t="s">
        <v>172</v>
      </c>
      <c r="F1473" t="s">
        <v>417</v>
      </c>
      <c r="G1473" t="s">
        <v>418</v>
      </c>
      <c r="H1473">
        <v>367.72</v>
      </c>
      <c r="I1473">
        <v>0</v>
      </c>
      <c r="J1473">
        <v>0</v>
      </c>
      <c r="N1473">
        <v>379.29</v>
      </c>
      <c r="Q1473">
        <v>380.09</v>
      </c>
      <c r="R1473">
        <v>304.51</v>
      </c>
      <c r="S1473">
        <v>591.96</v>
      </c>
      <c r="T1473">
        <v>1054.23</v>
      </c>
      <c r="AQ1473">
        <v>3077.8</v>
      </c>
      <c r="AR1473">
        <v>0.32319999999999999</v>
      </c>
      <c r="AS1473">
        <v>994.74495999999999</v>
      </c>
    </row>
    <row r="1474" spans="1:45" hidden="1">
      <c r="A1474" t="s">
        <v>49</v>
      </c>
      <c r="B1474" t="s">
        <v>744</v>
      </c>
      <c r="C1474" t="s">
        <v>682</v>
      </c>
      <c r="D1474" t="s">
        <v>419</v>
      </c>
      <c r="E1474" t="s">
        <v>172</v>
      </c>
      <c r="F1474" t="s">
        <v>420</v>
      </c>
      <c r="G1474" t="s">
        <v>421</v>
      </c>
      <c r="H1474">
        <v>1</v>
      </c>
      <c r="I1474">
        <v>1</v>
      </c>
      <c r="J1474">
        <v>1</v>
      </c>
      <c r="AQ1474">
        <v>3</v>
      </c>
      <c r="AR1474">
        <v>42.42</v>
      </c>
      <c r="AS1474">
        <v>127.26</v>
      </c>
    </row>
    <row r="1475" spans="1:45" hidden="1">
      <c r="A1475" t="s">
        <v>49</v>
      </c>
      <c r="B1475" t="s">
        <v>744</v>
      </c>
      <c r="C1475" t="s">
        <v>683</v>
      </c>
      <c r="D1475" t="s">
        <v>422</v>
      </c>
      <c r="E1475" t="s">
        <v>172</v>
      </c>
      <c r="F1475" t="s">
        <v>423</v>
      </c>
      <c r="G1475" t="s">
        <v>407</v>
      </c>
      <c r="I1475">
        <v>0</v>
      </c>
      <c r="AQ1475">
        <v>0</v>
      </c>
      <c r="AR1475">
        <v>47.47</v>
      </c>
      <c r="AS1475">
        <v>0</v>
      </c>
    </row>
    <row r="1476" spans="1:45" hidden="1">
      <c r="A1476" t="s">
        <v>49</v>
      </c>
      <c r="B1476" t="s">
        <v>744</v>
      </c>
      <c r="C1476" t="s">
        <v>684</v>
      </c>
      <c r="D1476" t="s">
        <v>427</v>
      </c>
      <c r="E1476" t="s">
        <v>172</v>
      </c>
      <c r="F1476" t="s">
        <v>428</v>
      </c>
      <c r="G1476" t="s">
        <v>429</v>
      </c>
      <c r="H1476">
        <v>3</v>
      </c>
      <c r="I1476">
        <v>3</v>
      </c>
      <c r="J1476">
        <v>2</v>
      </c>
      <c r="AQ1476">
        <v>8</v>
      </c>
      <c r="AR1476">
        <v>636.29999999999995</v>
      </c>
      <c r="AS1476">
        <v>5090.3999999999996</v>
      </c>
    </row>
    <row r="1477" spans="1:45" hidden="1">
      <c r="A1477" t="s">
        <v>49</v>
      </c>
      <c r="B1477" t="s">
        <v>744</v>
      </c>
      <c r="C1477" t="s">
        <v>174</v>
      </c>
      <c r="D1477" t="s">
        <v>175</v>
      </c>
      <c r="E1477" t="s">
        <v>172</v>
      </c>
      <c r="F1477" t="s">
        <v>176</v>
      </c>
      <c r="G1477" t="s">
        <v>177</v>
      </c>
      <c r="H1477">
        <v>7</v>
      </c>
      <c r="I1477">
        <v>5</v>
      </c>
      <c r="J1477">
        <v>4</v>
      </c>
      <c r="AQ1477">
        <v>16</v>
      </c>
      <c r="AR1477">
        <v>424.2</v>
      </c>
      <c r="AS1477">
        <v>6787.2</v>
      </c>
    </row>
    <row r="1478" spans="1:45" hidden="1">
      <c r="A1478" t="s">
        <v>49</v>
      </c>
      <c r="B1478" t="s">
        <v>744</v>
      </c>
      <c r="C1478" t="s">
        <v>685</v>
      </c>
      <c r="D1478" t="s">
        <v>430</v>
      </c>
      <c r="E1478" t="s">
        <v>172</v>
      </c>
      <c r="F1478" t="s">
        <v>433</v>
      </c>
      <c r="G1478" t="s">
        <v>432</v>
      </c>
      <c r="H1478">
        <v>3</v>
      </c>
      <c r="I1478">
        <v>1</v>
      </c>
      <c r="J1478">
        <v>1</v>
      </c>
      <c r="AQ1478">
        <v>5</v>
      </c>
      <c r="AR1478">
        <v>1908.9</v>
      </c>
      <c r="AS1478">
        <v>9544.5</v>
      </c>
    </row>
    <row r="1479" spans="1:45" hidden="1">
      <c r="A1479" t="s">
        <v>49</v>
      </c>
      <c r="B1479" t="s">
        <v>744</v>
      </c>
      <c r="C1479" t="s">
        <v>686</v>
      </c>
      <c r="D1479" t="s">
        <v>430</v>
      </c>
      <c r="E1479" t="s">
        <v>172</v>
      </c>
      <c r="F1479" t="s">
        <v>431</v>
      </c>
      <c r="G1479" t="s">
        <v>432</v>
      </c>
      <c r="I1479">
        <v>0</v>
      </c>
      <c r="AQ1479">
        <v>0</v>
      </c>
      <c r="AR1479">
        <v>2121</v>
      </c>
      <c r="AS1479">
        <v>0</v>
      </c>
    </row>
    <row r="1480" spans="1:45" hidden="1">
      <c r="A1480" t="s">
        <v>49</v>
      </c>
      <c r="B1480" t="s">
        <v>744</v>
      </c>
      <c r="C1480" t="s">
        <v>687</v>
      </c>
      <c r="D1480" t="s">
        <v>430</v>
      </c>
      <c r="E1480" t="s">
        <v>172</v>
      </c>
      <c r="F1480" t="s">
        <v>438</v>
      </c>
      <c r="G1480" t="s">
        <v>432</v>
      </c>
      <c r="I1480">
        <v>0</v>
      </c>
      <c r="AQ1480">
        <v>0</v>
      </c>
      <c r="AR1480">
        <v>2439.15</v>
      </c>
      <c r="AS1480">
        <v>0</v>
      </c>
    </row>
    <row r="1481" spans="1:45" hidden="1">
      <c r="A1481" t="s">
        <v>49</v>
      </c>
      <c r="B1481" t="s">
        <v>744</v>
      </c>
      <c r="C1481" t="s">
        <v>688</v>
      </c>
      <c r="D1481" t="s">
        <v>430</v>
      </c>
      <c r="E1481" t="s">
        <v>172</v>
      </c>
      <c r="F1481" t="s">
        <v>434</v>
      </c>
      <c r="G1481" t="s">
        <v>432</v>
      </c>
      <c r="H1481">
        <v>1</v>
      </c>
      <c r="I1481">
        <v>0</v>
      </c>
      <c r="AQ1481">
        <v>1</v>
      </c>
      <c r="AR1481">
        <v>2651.25</v>
      </c>
      <c r="AS1481">
        <v>2651.25</v>
      </c>
    </row>
    <row r="1482" spans="1:45" hidden="1">
      <c r="A1482" t="s">
        <v>49</v>
      </c>
      <c r="B1482" t="s">
        <v>744</v>
      </c>
      <c r="C1482" t="s">
        <v>645</v>
      </c>
      <c r="D1482" t="s">
        <v>435</v>
      </c>
      <c r="E1482" t="s">
        <v>172</v>
      </c>
      <c r="F1482" t="s">
        <v>436</v>
      </c>
      <c r="G1482" t="s">
        <v>437</v>
      </c>
      <c r="I1482">
        <v>0</v>
      </c>
      <c r="AQ1482">
        <v>0</v>
      </c>
      <c r="AR1482">
        <v>0.28000000000000003</v>
      </c>
    </row>
    <row r="1483" spans="1:45" hidden="1">
      <c r="A1483" t="s">
        <v>49</v>
      </c>
      <c r="B1483" t="s">
        <v>744</v>
      </c>
      <c r="C1483" t="s">
        <v>689</v>
      </c>
      <c r="D1483" t="s">
        <v>439</v>
      </c>
      <c r="E1483" t="s">
        <v>172</v>
      </c>
      <c r="F1483" t="s">
        <v>690</v>
      </c>
      <c r="G1483" t="s">
        <v>441</v>
      </c>
      <c r="H1483">
        <v>43</v>
      </c>
      <c r="I1483">
        <v>19</v>
      </c>
      <c r="J1483">
        <v>5</v>
      </c>
      <c r="K1483">
        <v>1</v>
      </c>
      <c r="L1483">
        <v>1</v>
      </c>
      <c r="O1483">
        <v>1</v>
      </c>
      <c r="Q1483">
        <v>1</v>
      </c>
      <c r="R1483">
        <v>2</v>
      </c>
      <c r="AQ1483">
        <v>73</v>
      </c>
      <c r="AR1483">
        <v>318.14999999999998</v>
      </c>
      <c r="AS1483">
        <v>23224.95</v>
      </c>
    </row>
    <row r="1484" spans="1:45" hidden="1">
      <c r="A1484" t="s">
        <v>49</v>
      </c>
      <c r="B1484" t="s">
        <v>744</v>
      </c>
      <c r="C1484" t="s">
        <v>691</v>
      </c>
      <c r="D1484" t="s">
        <v>439</v>
      </c>
      <c r="E1484" t="s">
        <v>172</v>
      </c>
      <c r="F1484" t="s">
        <v>442</v>
      </c>
      <c r="G1484" t="s">
        <v>441</v>
      </c>
      <c r="H1484">
        <v>7</v>
      </c>
      <c r="I1484">
        <v>8</v>
      </c>
      <c r="R1484">
        <v>1</v>
      </c>
      <c r="AQ1484">
        <v>16</v>
      </c>
      <c r="AR1484">
        <v>1272.5999999999999</v>
      </c>
      <c r="AS1484">
        <v>20361.599999999999</v>
      </c>
    </row>
    <row r="1485" spans="1:45" hidden="1">
      <c r="A1485" t="s">
        <v>49</v>
      </c>
      <c r="B1485" t="s">
        <v>744</v>
      </c>
      <c r="C1485" t="s">
        <v>692</v>
      </c>
      <c r="D1485" t="s">
        <v>439</v>
      </c>
      <c r="E1485" t="s">
        <v>172</v>
      </c>
      <c r="F1485" t="s">
        <v>443</v>
      </c>
      <c r="G1485" t="s">
        <v>441</v>
      </c>
      <c r="I1485">
        <v>2</v>
      </c>
      <c r="AQ1485">
        <v>2</v>
      </c>
      <c r="AR1485">
        <v>1590.75</v>
      </c>
      <c r="AS1485">
        <v>3181.5</v>
      </c>
    </row>
    <row r="1486" spans="1:45" hidden="1">
      <c r="A1486" t="s">
        <v>49</v>
      </c>
      <c r="B1486" t="s">
        <v>744</v>
      </c>
      <c r="C1486" t="s">
        <v>693</v>
      </c>
      <c r="D1486" t="s">
        <v>439</v>
      </c>
      <c r="E1486" t="s">
        <v>172</v>
      </c>
      <c r="F1486" t="s">
        <v>440</v>
      </c>
      <c r="G1486" t="s">
        <v>441</v>
      </c>
      <c r="H1486">
        <v>1</v>
      </c>
      <c r="I1486">
        <v>0</v>
      </c>
      <c r="AQ1486">
        <v>1</v>
      </c>
      <c r="AR1486">
        <v>1590.75</v>
      </c>
      <c r="AS1486">
        <v>1590.75</v>
      </c>
    </row>
    <row r="1487" spans="1:45" hidden="1">
      <c r="A1487" t="s">
        <v>49</v>
      </c>
      <c r="B1487" t="s">
        <v>744</v>
      </c>
      <c r="C1487" t="s">
        <v>694</v>
      </c>
      <c r="D1487" t="s">
        <v>439</v>
      </c>
      <c r="E1487" t="s">
        <v>172</v>
      </c>
      <c r="F1487" t="s">
        <v>695</v>
      </c>
      <c r="G1487" t="s">
        <v>441</v>
      </c>
      <c r="I1487">
        <v>0</v>
      </c>
      <c r="AQ1487">
        <v>0</v>
      </c>
      <c r="AR1487">
        <v>1802.85</v>
      </c>
      <c r="AS1487">
        <v>0</v>
      </c>
    </row>
    <row r="1488" spans="1:45" hidden="1">
      <c r="A1488" t="s">
        <v>49</v>
      </c>
      <c r="B1488" t="s">
        <v>744</v>
      </c>
      <c r="C1488" t="s">
        <v>696</v>
      </c>
      <c r="D1488" t="s">
        <v>446</v>
      </c>
      <c r="E1488" t="s">
        <v>172</v>
      </c>
      <c r="F1488" t="s">
        <v>447</v>
      </c>
      <c r="G1488" t="s">
        <v>448</v>
      </c>
      <c r="I1488">
        <v>0</v>
      </c>
      <c r="AQ1488">
        <v>0</v>
      </c>
      <c r="AR1488">
        <v>10.605</v>
      </c>
      <c r="AS1488">
        <v>0</v>
      </c>
    </row>
    <row r="1489" spans="1:45" hidden="1">
      <c r="A1489" t="s">
        <v>49</v>
      </c>
      <c r="B1489" t="s">
        <v>744</v>
      </c>
      <c r="C1489" t="s">
        <v>178</v>
      </c>
      <c r="D1489" t="s">
        <v>179</v>
      </c>
      <c r="E1489" t="s">
        <v>172</v>
      </c>
      <c r="F1489" t="s">
        <v>180</v>
      </c>
      <c r="G1489" t="s">
        <v>181</v>
      </c>
      <c r="H1489">
        <v>322</v>
      </c>
      <c r="I1489">
        <v>133</v>
      </c>
      <c r="J1489">
        <v>78</v>
      </c>
      <c r="O1489">
        <v>4</v>
      </c>
      <c r="P1489">
        <v>2</v>
      </c>
      <c r="R1489">
        <v>7</v>
      </c>
      <c r="AQ1489">
        <v>546</v>
      </c>
      <c r="AR1489">
        <v>106.05</v>
      </c>
      <c r="AS1489">
        <v>57903.3</v>
      </c>
    </row>
    <row r="1490" spans="1:45" hidden="1">
      <c r="A1490" t="s">
        <v>49</v>
      </c>
      <c r="B1490" t="s">
        <v>744</v>
      </c>
      <c r="C1490" t="s">
        <v>182</v>
      </c>
      <c r="D1490" t="s">
        <v>179</v>
      </c>
      <c r="E1490" t="s">
        <v>172</v>
      </c>
      <c r="F1490" t="s">
        <v>183</v>
      </c>
      <c r="G1490" t="s">
        <v>152</v>
      </c>
      <c r="H1490">
        <v>42869.41</v>
      </c>
      <c r="I1490">
        <v>14925.59</v>
      </c>
      <c r="J1490">
        <v>10247.219999999999</v>
      </c>
      <c r="K1490">
        <v>7969.7</v>
      </c>
      <c r="L1490">
        <v>1978.03</v>
      </c>
      <c r="M1490">
        <v>158.9</v>
      </c>
      <c r="N1490">
        <v>890.39</v>
      </c>
      <c r="O1490">
        <v>2027.03</v>
      </c>
      <c r="P1490">
        <v>414.63</v>
      </c>
      <c r="Q1490">
        <v>803.38</v>
      </c>
      <c r="R1490">
        <v>1635.1</v>
      </c>
      <c r="S1490">
        <v>591.96</v>
      </c>
      <c r="T1490">
        <v>1054.23</v>
      </c>
      <c r="U1490">
        <v>467.69</v>
      </c>
      <c r="V1490">
        <v>113.43</v>
      </c>
      <c r="AQ1490">
        <v>86146.69</v>
      </c>
      <c r="AR1490">
        <v>0.1515</v>
      </c>
      <c r="AS1490">
        <v>13051.223534999999</v>
      </c>
    </row>
    <row r="1491" spans="1:45" hidden="1">
      <c r="A1491" t="s">
        <v>49</v>
      </c>
      <c r="B1491" t="s">
        <v>744</v>
      </c>
      <c r="C1491" t="s">
        <v>697</v>
      </c>
      <c r="D1491" t="s">
        <v>449</v>
      </c>
      <c r="E1491" t="s">
        <v>172</v>
      </c>
      <c r="F1491" t="s">
        <v>450</v>
      </c>
      <c r="G1491" t="s">
        <v>451</v>
      </c>
      <c r="H1491">
        <v>2</v>
      </c>
      <c r="I1491">
        <v>1</v>
      </c>
      <c r="J1491">
        <v>1</v>
      </c>
      <c r="AQ1491">
        <v>4</v>
      </c>
      <c r="AR1491">
        <v>1908.9</v>
      </c>
      <c r="AS1491">
        <v>7635.6</v>
      </c>
    </row>
    <row r="1492" spans="1:45" hidden="1">
      <c r="A1492" t="s">
        <v>49</v>
      </c>
      <c r="B1492" t="s">
        <v>744</v>
      </c>
      <c r="C1492" t="s">
        <v>698</v>
      </c>
      <c r="D1492" t="s">
        <v>424</v>
      </c>
      <c r="E1492" t="s">
        <v>172</v>
      </c>
      <c r="F1492" t="s">
        <v>425</v>
      </c>
      <c r="G1492" t="s">
        <v>426</v>
      </c>
      <c r="I1492">
        <v>0</v>
      </c>
      <c r="AQ1492">
        <v>0</v>
      </c>
      <c r="AR1492">
        <v>132.5625</v>
      </c>
      <c r="AS1492">
        <v>0</v>
      </c>
    </row>
    <row r="1493" spans="1:45" hidden="1">
      <c r="A1493" t="s">
        <v>49</v>
      </c>
      <c r="B1493" t="s">
        <v>744</v>
      </c>
      <c r="C1493" t="s">
        <v>699</v>
      </c>
      <c r="D1493" t="s">
        <v>287</v>
      </c>
      <c r="E1493" t="s">
        <v>172</v>
      </c>
      <c r="F1493" t="s">
        <v>452</v>
      </c>
      <c r="G1493" t="s">
        <v>453</v>
      </c>
      <c r="I1493">
        <v>0</v>
      </c>
      <c r="AQ1493">
        <v>0</v>
      </c>
      <c r="AR1493">
        <v>3181.5</v>
      </c>
      <c r="AS1493">
        <v>0</v>
      </c>
    </row>
    <row r="1494" spans="1:45" hidden="1">
      <c r="A1494" t="s">
        <v>49</v>
      </c>
      <c r="B1494" t="s">
        <v>744</v>
      </c>
      <c r="C1494" t="s">
        <v>700</v>
      </c>
      <c r="D1494" t="s">
        <v>287</v>
      </c>
      <c r="E1494" t="s">
        <v>172</v>
      </c>
      <c r="F1494" t="s">
        <v>454</v>
      </c>
      <c r="G1494" t="s">
        <v>455</v>
      </c>
      <c r="I1494">
        <v>0</v>
      </c>
      <c r="AQ1494">
        <v>0</v>
      </c>
      <c r="AR1494">
        <v>318150</v>
      </c>
      <c r="AS1494">
        <v>0</v>
      </c>
    </row>
    <row r="1495" spans="1:45" hidden="1">
      <c r="A1495" t="s">
        <v>49</v>
      </c>
      <c r="B1495" t="s">
        <v>744</v>
      </c>
      <c r="C1495" t="s">
        <v>701</v>
      </c>
      <c r="D1495" t="s">
        <v>287</v>
      </c>
      <c r="E1495" t="s">
        <v>172</v>
      </c>
      <c r="F1495" t="s">
        <v>456</v>
      </c>
      <c r="G1495" t="s">
        <v>457</v>
      </c>
      <c r="I1495">
        <v>0</v>
      </c>
      <c r="AQ1495">
        <v>0</v>
      </c>
      <c r="AR1495">
        <v>238612.5</v>
      </c>
      <c r="AS1495">
        <v>0</v>
      </c>
    </row>
    <row r="1496" spans="1:45" hidden="1">
      <c r="A1496" t="s">
        <v>49</v>
      </c>
      <c r="B1496" t="s">
        <v>744</v>
      </c>
      <c r="C1496" t="s">
        <v>184</v>
      </c>
      <c r="D1496" t="s">
        <v>185</v>
      </c>
      <c r="E1496" t="s">
        <v>186</v>
      </c>
      <c r="F1496" t="s">
        <v>187</v>
      </c>
      <c r="G1496" t="s">
        <v>188</v>
      </c>
      <c r="H1496">
        <v>1</v>
      </c>
      <c r="I1496">
        <v>0</v>
      </c>
      <c r="AQ1496">
        <v>1</v>
      </c>
      <c r="AR1496">
        <v>2121</v>
      </c>
      <c r="AS1496">
        <v>2121</v>
      </c>
    </row>
    <row r="1497" spans="1:45" hidden="1">
      <c r="A1497" t="s">
        <v>49</v>
      </c>
      <c r="B1497" t="s">
        <v>744</v>
      </c>
      <c r="C1497" t="s">
        <v>189</v>
      </c>
      <c r="D1497" t="s">
        <v>190</v>
      </c>
      <c r="E1497" t="s">
        <v>186</v>
      </c>
      <c r="F1497" t="s">
        <v>191</v>
      </c>
      <c r="G1497" t="s">
        <v>192</v>
      </c>
      <c r="H1497">
        <v>11</v>
      </c>
      <c r="I1497">
        <v>7</v>
      </c>
      <c r="J1497">
        <v>5</v>
      </c>
      <c r="R1497">
        <v>4</v>
      </c>
      <c r="AQ1497">
        <v>27</v>
      </c>
      <c r="AR1497">
        <v>1060.5</v>
      </c>
      <c r="AS1497">
        <v>28633.5</v>
      </c>
    </row>
    <row r="1498" spans="1:45" hidden="1">
      <c r="A1498" t="s">
        <v>49</v>
      </c>
      <c r="B1498" t="s">
        <v>744</v>
      </c>
      <c r="C1498" t="s">
        <v>702</v>
      </c>
      <c r="D1498" t="s">
        <v>190</v>
      </c>
      <c r="E1498" t="s">
        <v>186</v>
      </c>
      <c r="F1498" t="s">
        <v>458</v>
      </c>
      <c r="G1498" t="s">
        <v>459</v>
      </c>
      <c r="H1498">
        <v>3</v>
      </c>
      <c r="I1498">
        <v>1</v>
      </c>
      <c r="J1498">
        <v>1</v>
      </c>
      <c r="R1498">
        <v>1</v>
      </c>
      <c r="AQ1498">
        <v>6</v>
      </c>
      <c r="AR1498">
        <v>1590.75</v>
      </c>
      <c r="AS1498">
        <v>9544.5</v>
      </c>
    </row>
    <row r="1499" spans="1:45" hidden="1">
      <c r="A1499" t="s">
        <v>49</v>
      </c>
      <c r="B1499" t="s">
        <v>744</v>
      </c>
      <c r="C1499" t="s">
        <v>193</v>
      </c>
      <c r="D1499" t="s">
        <v>194</v>
      </c>
      <c r="E1499" t="s">
        <v>186</v>
      </c>
      <c r="F1499" t="s">
        <v>195</v>
      </c>
      <c r="G1499" t="s">
        <v>152</v>
      </c>
      <c r="H1499">
        <v>42869.41</v>
      </c>
      <c r="I1499">
        <v>14925.59</v>
      </c>
      <c r="J1499">
        <v>10247.219999999999</v>
      </c>
      <c r="K1499">
        <v>7969.7</v>
      </c>
      <c r="L1499">
        <v>1978.03</v>
      </c>
      <c r="M1499">
        <v>158.9</v>
      </c>
      <c r="N1499">
        <v>890.39</v>
      </c>
      <c r="O1499">
        <v>2027.03</v>
      </c>
      <c r="P1499">
        <v>414.63</v>
      </c>
      <c r="Q1499">
        <v>803.38</v>
      </c>
      <c r="R1499">
        <v>1635.1</v>
      </c>
      <c r="S1499">
        <v>591.96</v>
      </c>
      <c r="T1499">
        <v>1054.23</v>
      </c>
      <c r="U1499">
        <v>467.69</v>
      </c>
      <c r="V1499">
        <v>113.43</v>
      </c>
      <c r="AQ1499">
        <v>86146.69</v>
      </c>
      <c r="AR1499">
        <v>0.63629999999999998</v>
      </c>
      <c r="AS1499">
        <v>54815.138847000002</v>
      </c>
    </row>
    <row r="1500" spans="1:45" hidden="1">
      <c r="A1500" t="s">
        <v>49</v>
      </c>
      <c r="B1500" t="s">
        <v>744</v>
      </c>
      <c r="C1500" t="s">
        <v>197</v>
      </c>
      <c r="D1500" t="s">
        <v>198</v>
      </c>
      <c r="E1500" t="s">
        <v>186</v>
      </c>
      <c r="F1500" t="s">
        <v>199</v>
      </c>
      <c r="G1500" t="s">
        <v>200</v>
      </c>
      <c r="H1500">
        <v>4</v>
      </c>
      <c r="I1500">
        <v>1</v>
      </c>
      <c r="J1500">
        <v>1</v>
      </c>
      <c r="AQ1500">
        <v>6</v>
      </c>
      <c r="AR1500">
        <v>4984.3500000000004</v>
      </c>
      <c r="AS1500">
        <v>29906.1</v>
      </c>
    </row>
    <row r="1501" spans="1:45" hidden="1">
      <c r="A1501" t="s">
        <v>49</v>
      </c>
      <c r="B1501" t="s">
        <v>744</v>
      </c>
      <c r="C1501" t="s">
        <v>201</v>
      </c>
      <c r="D1501" t="s">
        <v>202</v>
      </c>
      <c r="E1501" t="s">
        <v>186</v>
      </c>
      <c r="F1501" t="s">
        <v>203</v>
      </c>
      <c r="G1501" t="s">
        <v>204</v>
      </c>
      <c r="I1501">
        <v>0</v>
      </c>
      <c r="AQ1501">
        <v>0</v>
      </c>
      <c r="AR1501">
        <v>31.815000000000001</v>
      </c>
      <c r="AS1501">
        <v>0</v>
      </c>
    </row>
    <row r="1502" spans="1:45" hidden="1">
      <c r="A1502" t="s">
        <v>49</v>
      </c>
      <c r="B1502" t="s">
        <v>744</v>
      </c>
      <c r="C1502" t="s">
        <v>703</v>
      </c>
      <c r="D1502" t="s">
        <v>460</v>
      </c>
      <c r="E1502" t="s">
        <v>186</v>
      </c>
      <c r="F1502" t="s">
        <v>461</v>
      </c>
      <c r="G1502" t="s">
        <v>462</v>
      </c>
      <c r="H1502">
        <v>1</v>
      </c>
      <c r="I1502">
        <v>1</v>
      </c>
      <c r="J1502">
        <v>1</v>
      </c>
      <c r="R1502">
        <v>1</v>
      </c>
      <c r="AQ1502">
        <v>4</v>
      </c>
      <c r="AR1502">
        <v>15907.5</v>
      </c>
      <c r="AS1502">
        <v>63630</v>
      </c>
    </row>
    <row r="1503" spans="1:45" hidden="1">
      <c r="A1503" t="s">
        <v>49</v>
      </c>
      <c r="B1503" t="s">
        <v>744</v>
      </c>
      <c r="C1503" t="s">
        <v>704</v>
      </c>
      <c r="D1503" t="s">
        <v>468</v>
      </c>
      <c r="E1503" t="s">
        <v>186</v>
      </c>
      <c r="F1503" t="s">
        <v>469</v>
      </c>
      <c r="G1503" t="s">
        <v>470</v>
      </c>
      <c r="I1503">
        <v>0</v>
      </c>
      <c r="AQ1503">
        <v>0</v>
      </c>
      <c r="AR1503">
        <v>159.07499999999999</v>
      </c>
      <c r="AS1503">
        <v>0</v>
      </c>
    </row>
    <row r="1504" spans="1:45" hidden="1">
      <c r="A1504" t="s">
        <v>49</v>
      </c>
      <c r="B1504" t="s">
        <v>744</v>
      </c>
      <c r="C1504" t="s">
        <v>705</v>
      </c>
      <c r="D1504" t="s">
        <v>463</v>
      </c>
      <c r="E1504" t="s">
        <v>186</v>
      </c>
      <c r="F1504" t="s">
        <v>466</v>
      </c>
      <c r="G1504" t="s">
        <v>467</v>
      </c>
      <c r="I1504">
        <v>0</v>
      </c>
      <c r="AQ1504">
        <v>0</v>
      </c>
      <c r="AR1504">
        <v>509.04</v>
      </c>
      <c r="AS1504">
        <v>0</v>
      </c>
    </row>
    <row r="1505" spans="1:45" hidden="1">
      <c r="A1505" t="s">
        <v>49</v>
      </c>
      <c r="B1505" t="s">
        <v>744</v>
      </c>
      <c r="C1505" t="s">
        <v>706</v>
      </c>
      <c r="D1505" t="s">
        <v>463</v>
      </c>
      <c r="E1505" t="s">
        <v>186</v>
      </c>
      <c r="F1505" t="s">
        <v>464</v>
      </c>
      <c r="G1505" t="s">
        <v>465</v>
      </c>
      <c r="I1505">
        <v>0</v>
      </c>
      <c r="AQ1505">
        <v>0</v>
      </c>
      <c r="AR1505">
        <v>1060.5</v>
      </c>
      <c r="AS1505">
        <v>0</v>
      </c>
    </row>
    <row r="1506" spans="1:45" hidden="1">
      <c r="A1506" t="s">
        <v>49</v>
      </c>
      <c r="B1506" t="s">
        <v>744</v>
      </c>
      <c r="C1506" t="s">
        <v>707</v>
      </c>
      <c r="D1506" t="s">
        <v>471</v>
      </c>
      <c r="E1506" t="s">
        <v>186</v>
      </c>
      <c r="F1506" t="s">
        <v>472</v>
      </c>
      <c r="G1506" t="s">
        <v>473</v>
      </c>
      <c r="I1506">
        <v>0</v>
      </c>
      <c r="AQ1506">
        <v>0</v>
      </c>
      <c r="AR1506">
        <v>15377.25</v>
      </c>
      <c r="AS1506">
        <v>0</v>
      </c>
    </row>
    <row r="1507" spans="1:45" hidden="1">
      <c r="A1507" t="s">
        <v>49</v>
      </c>
      <c r="B1507" t="s">
        <v>744</v>
      </c>
      <c r="C1507" t="s">
        <v>205</v>
      </c>
      <c r="D1507" t="s">
        <v>206</v>
      </c>
      <c r="E1507" t="s">
        <v>207</v>
      </c>
      <c r="F1507" t="s">
        <v>208</v>
      </c>
      <c r="G1507" t="s">
        <v>209</v>
      </c>
      <c r="H1507">
        <v>42869.41</v>
      </c>
      <c r="I1507">
        <v>14925.59</v>
      </c>
      <c r="J1507">
        <v>10247.219999999999</v>
      </c>
      <c r="K1507">
        <v>7969.7</v>
      </c>
      <c r="N1507">
        <v>890.39</v>
      </c>
      <c r="O1507">
        <v>1600.15</v>
      </c>
      <c r="Q1507">
        <v>803.38</v>
      </c>
      <c r="R1507">
        <v>383.42</v>
      </c>
      <c r="T1507">
        <v>1054.23</v>
      </c>
      <c r="U1507">
        <v>467.69</v>
      </c>
      <c r="AQ1507">
        <v>81211.179999999993</v>
      </c>
      <c r="AR1507">
        <v>0.16159999999999999</v>
      </c>
      <c r="AS1507">
        <v>13123.726688000001</v>
      </c>
    </row>
    <row r="1508" spans="1:45" hidden="1">
      <c r="A1508" t="s">
        <v>49</v>
      </c>
      <c r="B1508" t="s">
        <v>744</v>
      </c>
      <c r="C1508" t="s">
        <v>210</v>
      </c>
      <c r="D1508" t="s">
        <v>211</v>
      </c>
      <c r="E1508" t="s">
        <v>207</v>
      </c>
      <c r="F1508" t="s">
        <v>212</v>
      </c>
      <c r="G1508" t="s">
        <v>209</v>
      </c>
      <c r="H1508">
        <v>42869.41</v>
      </c>
      <c r="I1508">
        <v>14925.59</v>
      </c>
      <c r="J1508">
        <v>10247.219999999999</v>
      </c>
      <c r="L1508">
        <v>1978.03</v>
      </c>
      <c r="N1508">
        <v>890.39</v>
      </c>
      <c r="O1508">
        <v>417.16</v>
      </c>
      <c r="Q1508">
        <v>803.38</v>
      </c>
      <c r="R1508">
        <v>304.51</v>
      </c>
      <c r="T1508">
        <v>1054.23</v>
      </c>
      <c r="AQ1508">
        <v>73489.919999999998</v>
      </c>
      <c r="AR1508">
        <v>0.63629999999999998</v>
      </c>
      <c r="AS1508">
        <v>46761.636096000002</v>
      </c>
    </row>
    <row r="1509" spans="1:45" hidden="1">
      <c r="A1509" t="s">
        <v>49</v>
      </c>
      <c r="B1509" t="s">
        <v>744</v>
      </c>
      <c r="C1509" t="s">
        <v>213</v>
      </c>
      <c r="D1509" t="s">
        <v>214</v>
      </c>
      <c r="E1509" t="s">
        <v>207</v>
      </c>
      <c r="F1509" t="s">
        <v>215</v>
      </c>
      <c r="G1509" t="s">
        <v>152</v>
      </c>
      <c r="H1509">
        <v>42869.41</v>
      </c>
      <c r="I1509">
        <v>14925.59</v>
      </c>
      <c r="J1509">
        <v>10247.219999999999</v>
      </c>
      <c r="K1509">
        <v>7969.7</v>
      </c>
      <c r="L1509">
        <v>1978.03</v>
      </c>
      <c r="M1509">
        <v>158.9</v>
      </c>
      <c r="N1509">
        <v>890.39</v>
      </c>
      <c r="O1509">
        <v>2027.03</v>
      </c>
      <c r="P1509">
        <v>414.63</v>
      </c>
      <c r="Q1509">
        <v>803.38</v>
      </c>
      <c r="R1509">
        <v>1635.1</v>
      </c>
      <c r="S1509">
        <v>591.96</v>
      </c>
      <c r="T1509">
        <v>1054.23</v>
      </c>
      <c r="U1509">
        <v>467.69</v>
      </c>
      <c r="V1509">
        <v>113.43</v>
      </c>
      <c r="AQ1509">
        <v>86146.69</v>
      </c>
      <c r="AR1509">
        <v>0.32319999999999999</v>
      </c>
      <c r="AS1509">
        <v>27842.610207999998</v>
      </c>
    </row>
    <row r="1510" spans="1:45" hidden="1">
      <c r="A1510" t="s">
        <v>49</v>
      </c>
      <c r="B1510" t="s">
        <v>744</v>
      </c>
      <c r="C1510" t="s">
        <v>255</v>
      </c>
      <c r="D1510" t="s">
        <v>256</v>
      </c>
      <c r="E1510" t="s">
        <v>207</v>
      </c>
      <c r="F1510" t="s">
        <v>257</v>
      </c>
      <c r="G1510" t="s">
        <v>258</v>
      </c>
      <c r="H1510">
        <v>545</v>
      </c>
      <c r="I1510">
        <v>128</v>
      </c>
      <c r="J1510">
        <v>69</v>
      </c>
      <c r="K1510">
        <v>34</v>
      </c>
      <c r="L1510">
        <v>2</v>
      </c>
      <c r="N1510">
        <v>7</v>
      </c>
      <c r="O1510">
        <v>8</v>
      </c>
      <c r="Q1510">
        <v>3</v>
      </c>
      <c r="R1510">
        <v>5</v>
      </c>
      <c r="T1510">
        <v>1</v>
      </c>
      <c r="U1510">
        <v>2</v>
      </c>
      <c r="AQ1510">
        <v>804</v>
      </c>
      <c r="AR1510">
        <v>31.815000000000001</v>
      </c>
      <c r="AS1510">
        <v>25579.26</v>
      </c>
    </row>
    <row r="1511" spans="1:45" hidden="1">
      <c r="A1511" t="s">
        <v>49</v>
      </c>
      <c r="B1511" t="s">
        <v>744</v>
      </c>
      <c r="C1511" t="s">
        <v>217</v>
      </c>
      <c r="D1511" t="s">
        <v>218</v>
      </c>
      <c r="E1511" t="s">
        <v>207</v>
      </c>
      <c r="F1511" t="s">
        <v>219</v>
      </c>
      <c r="G1511" t="s">
        <v>220</v>
      </c>
      <c r="H1511">
        <v>422</v>
      </c>
      <c r="I1511">
        <v>126</v>
      </c>
      <c r="J1511">
        <v>103</v>
      </c>
      <c r="K1511">
        <v>38</v>
      </c>
      <c r="L1511">
        <v>13</v>
      </c>
      <c r="M1511">
        <v>3</v>
      </c>
      <c r="N1511">
        <v>6</v>
      </c>
      <c r="O1511">
        <v>15</v>
      </c>
      <c r="P1511">
        <v>2</v>
      </c>
      <c r="Q1511">
        <v>7</v>
      </c>
      <c r="R1511">
        <v>15</v>
      </c>
      <c r="S1511">
        <v>5</v>
      </c>
      <c r="T1511">
        <v>7</v>
      </c>
      <c r="U1511">
        <v>4</v>
      </c>
      <c r="V1511">
        <v>2</v>
      </c>
      <c r="AQ1511">
        <v>768</v>
      </c>
      <c r="AR1511">
        <v>9.5950000000000006</v>
      </c>
      <c r="AS1511">
        <v>7368.96</v>
      </c>
    </row>
    <row r="1512" spans="1:45" hidden="1">
      <c r="A1512" t="s">
        <v>49</v>
      </c>
      <c r="B1512" t="s">
        <v>744</v>
      </c>
      <c r="C1512" t="s">
        <v>708</v>
      </c>
      <c r="D1512" t="s">
        <v>474</v>
      </c>
      <c r="E1512" t="s">
        <v>207</v>
      </c>
      <c r="F1512" t="s">
        <v>475</v>
      </c>
      <c r="G1512" t="s">
        <v>476</v>
      </c>
      <c r="H1512">
        <v>17</v>
      </c>
      <c r="I1512">
        <v>8</v>
      </c>
      <c r="J1512">
        <v>2</v>
      </c>
      <c r="AQ1512">
        <v>27</v>
      </c>
      <c r="AR1512">
        <v>79.790000000000006</v>
      </c>
      <c r="AS1512">
        <v>2154.33</v>
      </c>
    </row>
    <row r="1513" spans="1:45" hidden="1">
      <c r="A1513" t="s">
        <v>49</v>
      </c>
      <c r="B1513" t="s">
        <v>744</v>
      </c>
      <c r="C1513" t="s">
        <v>709</v>
      </c>
      <c r="D1513" t="s">
        <v>477</v>
      </c>
      <c r="E1513" t="s">
        <v>207</v>
      </c>
      <c r="F1513" t="s">
        <v>478</v>
      </c>
      <c r="G1513" t="s">
        <v>479</v>
      </c>
      <c r="I1513">
        <v>0</v>
      </c>
      <c r="AQ1513">
        <v>0</v>
      </c>
      <c r="AR1513">
        <v>2.121</v>
      </c>
      <c r="AS1513">
        <v>0</v>
      </c>
    </row>
    <row r="1514" spans="1:45" hidden="1">
      <c r="A1514" t="s">
        <v>49</v>
      </c>
      <c r="B1514" t="s">
        <v>744</v>
      </c>
      <c r="C1514" t="s">
        <v>221</v>
      </c>
      <c r="D1514" t="s">
        <v>222</v>
      </c>
      <c r="E1514" t="s">
        <v>207</v>
      </c>
      <c r="F1514" t="s">
        <v>223</v>
      </c>
      <c r="G1514" t="s">
        <v>224</v>
      </c>
      <c r="H1514">
        <v>2</v>
      </c>
      <c r="I1514">
        <v>1</v>
      </c>
      <c r="AQ1514">
        <v>3</v>
      </c>
      <c r="AR1514">
        <v>2651.25</v>
      </c>
      <c r="AS1514">
        <v>7953.75</v>
      </c>
    </row>
    <row r="1515" spans="1:45" hidden="1">
      <c r="A1515" t="s">
        <v>49</v>
      </c>
      <c r="B1515" t="s">
        <v>744</v>
      </c>
      <c r="C1515" t="s">
        <v>225</v>
      </c>
      <c r="D1515" t="s">
        <v>226</v>
      </c>
      <c r="E1515" t="s">
        <v>207</v>
      </c>
      <c r="F1515" t="s">
        <v>227</v>
      </c>
      <c r="G1515" t="s">
        <v>228</v>
      </c>
      <c r="H1515">
        <v>171</v>
      </c>
      <c r="I1515">
        <v>39</v>
      </c>
      <c r="J1515">
        <v>31</v>
      </c>
      <c r="K1515">
        <v>22</v>
      </c>
      <c r="O1515">
        <v>4</v>
      </c>
      <c r="T1515">
        <v>5</v>
      </c>
      <c r="AQ1515">
        <v>272</v>
      </c>
      <c r="AR1515">
        <v>21.21</v>
      </c>
      <c r="AS1515">
        <v>5769.12</v>
      </c>
    </row>
    <row r="1516" spans="1:45" hidden="1">
      <c r="A1516" t="s">
        <v>49</v>
      </c>
      <c r="B1516" t="s">
        <v>744</v>
      </c>
      <c r="C1516" t="s">
        <v>710</v>
      </c>
      <c r="D1516" t="s">
        <v>480</v>
      </c>
      <c r="E1516" t="s">
        <v>207</v>
      </c>
      <c r="F1516" t="s">
        <v>481</v>
      </c>
      <c r="G1516" t="s">
        <v>482</v>
      </c>
      <c r="I1516">
        <v>0</v>
      </c>
      <c r="AQ1516">
        <v>0</v>
      </c>
      <c r="AR1516">
        <v>1272.5999999999999</v>
      </c>
      <c r="AS1516">
        <v>0</v>
      </c>
    </row>
    <row r="1517" spans="1:45" hidden="1">
      <c r="A1517" t="s">
        <v>49</v>
      </c>
      <c r="B1517" t="s">
        <v>744</v>
      </c>
      <c r="C1517" t="s">
        <v>711</v>
      </c>
      <c r="D1517" t="s">
        <v>488</v>
      </c>
      <c r="E1517" t="s">
        <v>207</v>
      </c>
      <c r="F1517" t="s">
        <v>489</v>
      </c>
      <c r="G1517" t="s">
        <v>490</v>
      </c>
      <c r="H1517">
        <v>583.38</v>
      </c>
      <c r="I1517">
        <v>30.72</v>
      </c>
      <c r="AQ1517">
        <v>614.1</v>
      </c>
      <c r="AR1517">
        <v>0.5353</v>
      </c>
      <c r="AS1517">
        <v>328.72773000000001</v>
      </c>
    </row>
    <row r="1518" spans="1:45" hidden="1">
      <c r="A1518" t="s">
        <v>49</v>
      </c>
      <c r="B1518" t="s">
        <v>744</v>
      </c>
      <c r="C1518" t="s">
        <v>712</v>
      </c>
      <c r="D1518" t="s">
        <v>483</v>
      </c>
      <c r="E1518" t="s">
        <v>207</v>
      </c>
      <c r="F1518" t="s">
        <v>484</v>
      </c>
      <c r="G1518" t="s">
        <v>392</v>
      </c>
      <c r="I1518">
        <v>0</v>
      </c>
      <c r="AQ1518">
        <v>0</v>
      </c>
      <c r="AR1518">
        <v>2121</v>
      </c>
      <c r="AS1518">
        <v>0</v>
      </c>
    </row>
    <row r="1519" spans="1:45" hidden="1">
      <c r="A1519" t="s">
        <v>49</v>
      </c>
      <c r="B1519" t="s">
        <v>744</v>
      </c>
      <c r="C1519" t="s">
        <v>713</v>
      </c>
      <c r="D1519" t="s">
        <v>485</v>
      </c>
      <c r="E1519" t="s">
        <v>207</v>
      </c>
      <c r="F1519" t="s">
        <v>486</v>
      </c>
      <c r="G1519" t="s">
        <v>487</v>
      </c>
      <c r="H1519">
        <v>10</v>
      </c>
      <c r="I1519">
        <v>5</v>
      </c>
      <c r="J1519">
        <v>2</v>
      </c>
      <c r="AQ1519">
        <v>17</v>
      </c>
      <c r="AR1519">
        <v>265.125</v>
      </c>
      <c r="AS1519">
        <v>4507.125</v>
      </c>
    </row>
    <row r="1520" spans="1:45" hidden="1">
      <c r="A1520" t="s">
        <v>49</v>
      </c>
      <c r="B1520" t="s">
        <v>744</v>
      </c>
      <c r="C1520" t="s">
        <v>229</v>
      </c>
      <c r="D1520" t="s">
        <v>230</v>
      </c>
      <c r="E1520" t="s">
        <v>231</v>
      </c>
      <c r="F1520" t="s">
        <v>232</v>
      </c>
      <c r="G1520" t="s">
        <v>233</v>
      </c>
      <c r="H1520">
        <v>15</v>
      </c>
      <c r="I1520">
        <v>8</v>
      </c>
      <c r="J1520">
        <v>4</v>
      </c>
      <c r="K1520">
        <v>2</v>
      </c>
      <c r="L1520">
        <v>1</v>
      </c>
      <c r="O1520">
        <v>1</v>
      </c>
      <c r="S1520">
        <v>1</v>
      </c>
      <c r="U1520">
        <v>1</v>
      </c>
      <c r="AQ1520">
        <v>33</v>
      </c>
      <c r="AR1520">
        <v>1484.7</v>
      </c>
      <c r="AS1520">
        <v>48995.1</v>
      </c>
    </row>
    <row r="1521" spans="1:45" hidden="1">
      <c r="A1521" t="s">
        <v>49</v>
      </c>
      <c r="B1521" t="s">
        <v>744</v>
      </c>
      <c r="C1521" t="s">
        <v>234</v>
      </c>
      <c r="D1521" t="s">
        <v>230</v>
      </c>
      <c r="E1521" t="s">
        <v>231</v>
      </c>
      <c r="F1521" t="s">
        <v>285</v>
      </c>
      <c r="G1521" t="s">
        <v>233</v>
      </c>
      <c r="H1521">
        <v>2</v>
      </c>
      <c r="I1521">
        <v>0</v>
      </c>
      <c r="AQ1521">
        <v>2</v>
      </c>
      <c r="AR1521">
        <v>1696.8</v>
      </c>
      <c r="AS1521">
        <v>3393.6</v>
      </c>
    </row>
    <row r="1522" spans="1:45" hidden="1">
      <c r="A1522" t="s">
        <v>49</v>
      </c>
      <c r="B1522" t="s">
        <v>744</v>
      </c>
      <c r="C1522" t="s">
        <v>714</v>
      </c>
      <c r="D1522" t="s">
        <v>230</v>
      </c>
      <c r="E1522" t="s">
        <v>231</v>
      </c>
      <c r="F1522" t="s">
        <v>491</v>
      </c>
      <c r="G1522" t="s">
        <v>233</v>
      </c>
      <c r="I1522">
        <v>0</v>
      </c>
      <c r="AQ1522">
        <v>0</v>
      </c>
      <c r="AR1522">
        <v>1908.9</v>
      </c>
      <c r="AS1522">
        <v>0</v>
      </c>
    </row>
    <row r="1523" spans="1:45" hidden="1">
      <c r="A1523" t="s">
        <v>49</v>
      </c>
      <c r="B1523" t="s">
        <v>744</v>
      </c>
      <c r="C1523" t="s">
        <v>236</v>
      </c>
      <c r="D1523" t="s">
        <v>237</v>
      </c>
      <c r="E1523" t="s">
        <v>231</v>
      </c>
      <c r="F1523" t="s">
        <v>238</v>
      </c>
      <c r="G1523" t="s">
        <v>239</v>
      </c>
      <c r="I1523">
        <v>0</v>
      </c>
      <c r="AQ1523">
        <v>0</v>
      </c>
      <c r="AR1523">
        <v>265.125</v>
      </c>
      <c r="AS1523">
        <v>0</v>
      </c>
    </row>
    <row r="1524" spans="1:45" hidden="1">
      <c r="A1524" t="s">
        <v>49</v>
      </c>
      <c r="B1524" t="s">
        <v>744</v>
      </c>
      <c r="C1524" t="s">
        <v>715</v>
      </c>
      <c r="D1524" t="s">
        <v>492</v>
      </c>
      <c r="E1524" t="s">
        <v>231</v>
      </c>
      <c r="F1524" t="s">
        <v>493</v>
      </c>
      <c r="G1524" t="s">
        <v>494</v>
      </c>
      <c r="I1524">
        <v>0</v>
      </c>
      <c r="AQ1524">
        <v>0</v>
      </c>
      <c r="AR1524">
        <v>742.35</v>
      </c>
      <c r="AS1524">
        <v>0</v>
      </c>
    </row>
    <row r="1525" spans="1:45" hidden="1">
      <c r="A1525" t="s">
        <v>49</v>
      </c>
      <c r="B1525" t="s">
        <v>744</v>
      </c>
      <c r="C1525" t="s">
        <v>716</v>
      </c>
      <c r="D1525" t="s">
        <v>495</v>
      </c>
      <c r="E1525" t="s">
        <v>231</v>
      </c>
      <c r="F1525" t="s">
        <v>496</v>
      </c>
      <c r="G1525" t="s">
        <v>497</v>
      </c>
      <c r="H1525">
        <v>1</v>
      </c>
      <c r="I1525">
        <v>0</v>
      </c>
      <c r="AQ1525">
        <v>1</v>
      </c>
      <c r="AR1525">
        <v>848.4</v>
      </c>
      <c r="AS1525">
        <v>848.4</v>
      </c>
    </row>
    <row r="1526" spans="1:45" hidden="1">
      <c r="A1526" t="s">
        <v>49</v>
      </c>
      <c r="B1526" t="s">
        <v>744</v>
      </c>
      <c r="C1526" t="s">
        <v>717</v>
      </c>
      <c r="D1526" t="s">
        <v>498</v>
      </c>
      <c r="E1526" t="s">
        <v>242</v>
      </c>
      <c r="F1526" t="s">
        <v>499</v>
      </c>
      <c r="G1526" t="s">
        <v>500</v>
      </c>
      <c r="H1526">
        <v>42869.41</v>
      </c>
      <c r="I1526">
        <v>14925.59</v>
      </c>
      <c r="J1526">
        <v>10247.219999999999</v>
      </c>
      <c r="K1526">
        <v>7969.7</v>
      </c>
      <c r="L1526">
        <v>1978.03</v>
      </c>
      <c r="M1526">
        <v>158.9</v>
      </c>
      <c r="N1526">
        <v>890.39</v>
      </c>
      <c r="O1526">
        <v>2027.03</v>
      </c>
      <c r="P1526">
        <v>414.63</v>
      </c>
      <c r="Q1526">
        <v>803.38</v>
      </c>
      <c r="R1526">
        <v>1635.1</v>
      </c>
      <c r="S1526">
        <v>591.96</v>
      </c>
      <c r="T1526">
        <v>1054.23</v>
      </c>
      <c r="U1526">
        <v>467.69</v>
      </c>
      <c r="V1526">
        <v>113.43</v>
      </c>
      <c r="AQ1526">
        <v>86146.69</v>
      </c>
      <c r="AR1526">
        <v>1.4341999999999999</v>
      </c>
      <c r="AS1526">
        <v>123551.582798</v>
      </c>
    </row>
    <row r="1527" spans="1:45" hidden="1">
      <c r="A1527" t="s">
        <v>49</v>
      </c>
      <c r="B1527" t="s">
        <v>744</v>
      </c>
      <c r="C1527" t="s">
        <v>718</v>
      </c>
      <c r="D1527" t="s">
        <v>504</v>
      </c>
      <c r="E1527" t="s">
        <v>242</v>
      </c>
      <c r="F1527" t="s">
        <v>505</v>
      </c>
      <c r="G1527" t="s">
        <v>506</v>
      </c>
      <c r="H1527">
        <v>14348.63</v>
      </c>
      <c r="I1527">
        <v>4435.29</v>
      </c>
      <c r="J1527">
        <v>1106.49</v>
      </c>
      <c r="M1527">
        <v>131.05000000000001</v>
      </c>
      <c r="P1527">
        <v>126.24</v>
      </c>
      <c r="R1527">
        <v>429.98</v>
      </c>
      <c r="S1527">
        <v>228.96</v>
      </c>
      <c r="T1527">
        <v>1388.81</v>
      </c>
      <c r="U1527">
        <v>58.58</v>
      </c>
      <c r="AQ1527">
        <v>22254.03</v>
      </c>
      <c r="AR1527">
        <v>0.84840000000000004</v>
      </c>
      <c r="AS1527">
        <v>18880.319051999999</v>
      </c>
    </row>
    <row r="1528" spans="1:45" hidden="1">
      <c r="A1528" t="s">
        <v>49</v>
      </c>
      <c r="B1528" t="s">
        <v>744</v>
      </c>
      <c r="C1528" t="s">
        <v>719</v>
      </c>
      <c r="D1528" t="s">
        <v>501</v>
      </c>
      <c r="E1528" t="s">
        <v>242</v>
      </c>
      <c r="F1528" t="s">
        <v>502</v>
      </c>
      <c r="G1528" t="s">
        <v>503</v>
      </c>
      <c r="H1528">
        <v>13</v>
      </c>
      <c r="I1528">
        <v>8</v>
      </c>
      <c r="J1528">
        <v>2</v>
      </c>
      <c r="AQ1528">
        <v>23</v>
      </c>
      <c r="AR1528">
        <v>1272.5999999999999</v>
      </c>
      <c r="AS1528">
        <v>29269.8</v>
      </c>
    </row>
    <row r="1529" spans="1:45" hidden="1">
      <c r="A1529" t="s">
        <v>49</v>
      </c>
      <c r="B1529" t="s">
        <v>744</v>
      </c>
      <c r="C1529" t="s">
        <v>720</v>
      </c>
      <c r="D1529" t="s">
        <v>518</v>
      </c>
      <c r="E1529" t="s">
        <v>242</v>
      </c>
      <c r="F1529" t="s">
        <v>519</v>
      </c>
      <c r="G1529" t="s">
        <v>517</v>
      </c>
      <c r="I1529">
        <v>0</v>
      </c>
      <c r="AQ1529">
        <v>0</v>
      </c>
      <c r="AR1529">
        <v>3181.5</v>
      </c>
      <c r="AS1529">
        <v>0</v>
      </c>
    </row>
    <row r="1530" spans="1:45" hidden="1">
      <c r="A1530" t="s">
        <v>49</v>
      </c>
      <c r="B1530" t="s">
        <v>744</v>
      </c>
      <c r="C1530" t="s">
        <v>721</v>
      </c>
      <c r="D1530" t="s">
        <v>520</v>
      </c>
      <c r="E1530" t="s">
        <v>242</v>
      </c>
      <c r="F1530" t="s">
        <v>521</v>
      </c>
      <c r="G1530" t="s">
        <v>517</v>
      </c>
      <c r="I1530">
        <v>0</v>
      </c>
      <c r="AQ1530">
        <v>0</v>
      </c>
      <c r="AR1530">
        <v>2651.25</v>
      </c>
      <c r="AS1530">
        <v>0</v>
      </c>
    </row>
    <row r="1531" spans="1:45" hidden="1">
      <c r="A1531" t="s">
        <v>49</v>
      </c>
      <c r="B1531" t="s">
        <v>744</v>
      </c>
      <c r="C1531" t="s">
        <v>240</v>
      </c>
      <c r="D1531" t="s">
        <v>241</v>
      </c>
      <c r="E1531" t="s">
        <v>242</v>
      </c>
      <c r="F1531" t="s">
        <v>243</v>
      </c>
      <c r="G1531" t="s">
        <v>244</v>
      </c>
      <c r="H1531">
        <v>48</v>
      </c>
      <c r="I1531">
        <v>10</v>
      </c>
      <c r="J1531">
        <v>2</v>
      </c>
      <c r="AQ1531">
        <v>60</v>
      </c>
      <c r="AR1531">
        <v>318.14999999999998</v>
      </c>
      <c r="AS1531">
        <v>19089</v>
      </c>
    </row>
    <row r="1532" spans="1:45" hidden="1">
      <c r="A1532" t="s">
        <v>49</v>
      </c>
      <c r="B1532" t="s">
        <v>744</v>
      </c>
      <c r="C1532" t="s">
        <v>245</v>
      </c>
      <c r="D1532" t="s">
        <v>246</v>
      </c>
      <c r="E1532" t="s">
        <v>242</v>
      </c>
      <c r="F1532" t="s">
        <v>247</v>
      </c>
      <c r="G1532" t="s">
        <v>248</v>
      </c>
      <c r="H1532">
        <v>3</v>
      </c>
      <c r="I1532">
        <v>4</v>
      </c>
      <c r="K1532">
        <v>1</v>
      </c>
      <c r="R1532">
        <v>1</v>
      </c>
      <c r="T1532">
        <v>1</v>
      </c>
      <c r="AQ1532">
        <v>10</v>
      </c>
      <c r="AR1532">
        <v>265.125</v>
      </c>
      <c r="AS1532">
        <v>2651.25</v>
      </c>
    </row>
    <row r="1533" spans="1:45" hidden="1">
      <c r="A1533" t="s">
        <v>49</v>
      </c>
      <c r="B1533" t="s">
        <v>744</v>
      </c>
      <c r="C1533" t="s">
        <v>259</v>
      </c>
      <c r="D1533" t="s">
        <v>260</v>
      </c>
      <c r="E1533" t="s">
        <v>242</v>
      </c>
      <c r="F1533" t="s">
        <v>261</v>
      </c>
      <c r="G1533" t="s">
        <v>262</v>
      </c>
      <c r="H1533">
        <v>25</v>
      </c>
      <c r="I1533">
        <v>13</v>
      </c>
      <c r="J1533">
        <v>2</v>
      </c>
      <c r="P1533">
        <v>1</v>
      </c>
      <c r="R1533">
        <v>1</v>
      </c>
      <c r="AQ1533">
        <v>42</v>
      </c>
      <c r="AR1533">
        <v>318.14999999999998</v>
      </c>
      <c r="AS1533">
        <v>13362.3</v>
      </c>
    </row>
    <row r="1534" spans="1:45" hidden="1">
      <c r="A1534" t="s">
        <v>49</v>
      </c>
      <c r="B1534" t="s">
        <v>744</v>
      </c>
      <c r="C1534" t="s">
        <v>722</v>
      </c>
      <c r="D1534" t="s">
        <v>507</v>
      </c>
      <c r="E1534" t="s">
        <v>242</v>
      </c>
      <c r="F1534" t="s">
        <v>508</v>
      </c>
      <c r="G1534" t="s">
        <v>509</v>
      </c>
      <c r="I1534">
        <v>0</v>
      </c>
      <c r="AQ1534">
        <v>0</v>
      </c>
      <c r="AR1534">
        <v>2121</v>
      </c>
      <c r="AS1534">
        <v>0</v>
      </c>
    </row>
    <row r="1535" spans="1:45" hidden="1">
      <c r="A1535" t="s">
        <v>49</v>
      </c>
      <c r="B1535" t="s">
        <v>744</v>
      </c>
      <c r="C1535" t="s">
        <v>723</v>
      </c>
      <c r="D1535" t="s">
        <v>510</v>
      </c>
      <c r="E1535" t="s">
        <v>242</v>
      </c>
      <c r="F1535" t="s">
        <v>511</v>
      </c>
      <c r="G1535" t="s">
        <v>512</v>
      </c>
      <c r="H1535">
        <v>13</v>
      </c>
      <c r="I1535">
        <v>0</v>
      </c>
      <c r="J1535">
        <v>6</v>
      </c>
      <c r="T1535">
        <v>1</v>
      </c>
      <c r="AQ1535">
        <v>20</v>
      </c>
      <c r="AR1535">
        <v>212.1</v>
      </c>
      <c r="AS1535">
        <v>4242</v>
      </c>
    </row>
    <row r="1536" spans="1:45" hidden="1">
      <c r="A1536" t="s">
        <v>49</v>
      </c>
      <c r="B1536" t="s">
        <v>744</v>
      </c>
      <c r="C1536" t="s">
        <v>724</v>
      </c>
      <c r="D1536" t="s">
        <v>526</v>
      </c>
      <c r="E1536" t="s">
        <v>242</v>
      </c>
      <c r="F1536" t="s">
        <v>527</v>
      </c>
      <c r="G1536" t="s">
        <v>528</v>
      </c>
      <c r="H1536">
        <v>1735.43</v>
      </c>
      <c r="I1536">
        <v>1344.45</v>
      </c>
      <c r="J1536">
        <v>60.18</v>
      </c>
      <c r="M1536">
        <v>256.5</v>
      </c>
      <c r="P1536">
        <v>28.29</v>
      </c>
      <c r="S1536">
        <v>354.75</v>
      </c>
      <c r="T1536">
        <v>735.02</v>
      </c>
      <c r="U1536">
        <v>0</v>
      </c>
      <c r="AQ1536">
        <v>4514.62</v>
      </c>
      <c r="AR1536">
        <v>0.42420000000000002</v>
      </c>
      <c r="AS1536">
        <v>1915.1018039999999</v>
      </c>
    </row>
    <row r="1537" spans="1:45" hidden="1">
      <c r="A1537" t="s">
        <v>49</v>
      </c>
      <c r="B1537" t="s">
        <v>744</v>
      </c>
      <c r="C1537" t="s">
        <v>725</v>
      </c>
      <c r="D1537" t="s">
        <v>529</v>
      </c>
      <c r="E1537" t="s">
        <v>242</v>
      </c>
      <c r="F1537" t="s">
        <v>530</v>
      </c>
      <c r="G1537" t="s">
        <v>531</v>
      </c>
      <c r="H1537">
        <v>1</v>
      </c>
      <c r="I1537">
        <v>1</v>
      </c>
      <c r="AQ1537">
        <v>2</v>
      </c>
      <c r="AR1537">
        <v>212.1</v>
      </c>
      <c r="AS1537">
        <v>424.2</v>
      </c>
    </row>
    <row r="1538" spans="1:45" hidden="1">
      <c r="A1538" t="s">
        <v>49</v>
      </c>
      <c r="B1538" t="s">
        <v>744</v>
      </c>
      <c r="C1538" t="s">
        <v>726</v>
      </c>
      <c r="D1538" t="s">
        <v>532</v>
      </c>
      <c r="E1538" t="s">
        <v>242</v>
      </c>
      <c r="F1538" t="s">
        <v>533</v>
      </c>
      <c r="G1538" t="s">
        <v>534</v>
      </c>
      <c r="H1538">
        <v>60</v>
      </c>
      <c r="I1538">
        <v>0</v>
      </c>
      <c r="M1538">
        <v>4</v>
      </c>
      <c r="P1538">
        <v>1</v>
      </c>
      <c r="S1538">
        <v>13</v>
      </c>
      <c r="T1538">
        <v>19</v>
      </c>
      <c r="AQ1538">
        <v>97</v>
      </c>
      <c r="AR1538">
        <v>21.21</v>
      </c>
      <c r="AS1538">
        <v>2057.37</v>
      </c>
    </row>
    <row r="1539" spans="1:45" hidden="1">
      <c r="A1539" t="s">
        <v>49</v>
      </c>
      <c r="B1539" t="s">
        <v>744</v>
      </c>
      <c r="C1539" t="s">
        <v>727</v>
      </c>
      <c r="D1539" t="s">
        <v>287</v>
      </c>
      <c r="E1539" t="s">
        <v>242</v>
      </c>
      <c r="F1539" t="s">
        <v>537</v>
      </c>
      <c r="G1539" t="s">
        <v>538</v>
      </c>
      <c r="I1539">
        <v>0</v>
      </c>
      <c r="AQ1539">
        <v>0</v>
      </c>
      <c r="AR1539">
        <v>127.26</v>
      </c>
      <c r="AS1539">
        <v>0</v>
      </c>
    </row>
    <row r="1540" spans="1:45" hidden="1">
      <c r="A1540" t="s">
        <v>49</v>
      </c>
      <c r="B1540" t="s">
        <v>744</v>
      </c>
      <c r="C1540" t="s">
        <v>728</v>
      </c>
      <c r="D1540" t="s">
        <v>287</v>
      </c>
      <c r="E1540" t="s">
        <v>242</v>
      </c>
      <c r="F1540" t="s">
        <v>535</v>
      </c>
      <c r="G1540" t="s">
        <v>536</v>
      </c>
      <c r="I1540">
        <v>0</v>
      </c>
      <c r="AQ1540">
        <v>0</v>
      </c>
      <c r="AR1540">
        <v>424.2</v>
      </c>
      <c r="AS1540">
        <v>0</v>
      </c>
    </row>
    <row r="1541" spans="1:45" hidden="1">
      <c r="A1541" t="s">
        <v>49</v>
      </c>
      <c r="B1541" t="s">
        <v>744</v>
      </c>
      <c r="C1541" t="s">
        <v>729</v>
      </c>
      <c r="D1541" t="s">
        <v>522</v>
      </c>
      <c r="E1541" t="s">
        <v>242</v>
      </c>
      <c r="F1541" t="s">
        <v>523</v>
      </c>
      <c r="G1541" t="s">
        <v>517</v>
      </c>
      <c r="I1541">
        <v>0</v>
      </c>
      <c r="AQ1541">
        <v>0</v>
      </c>
      <c r="AR1541">
        <v>1272.5999999999999</v>
      </c>
      <c r="AS1541">
        <v>0</v>
      </c>
    </row>
    <row r="1542" spans="1:45" hidden="1">
      <c r="A1542" t="s">
        <v>49</v>
      </c>
      <c r="B1542" t="s">
        <v>744</v>
      </c>
      <c r="C1542" t="s">
        <v>730</v>
      </c>
      <c r="D1542" t="s">
        <v>515</v>
      </c>
      <c r="E1542" t="s">
        <v>242</v>
      </c>
      <c r="F1542" t="s">
        <v>516</v>
      </c>
      <c r="G1542" t="s">
        <v>517</v>
      </c>
      <c r="I1542">
        <v>0</v>
      </c>
      <c r="AQ1542">
        <v>0</v>
      </c>
      <c r="AR1542">
        <v>3181.5</v>
      </c>
      <c r="AS1542">
        <v>0</v>
      </c>
    </row>
    <row r="1543" spans="1:45" hidden="1">
      <c r="A1543" t="s">
        <v>49</v>
      </c>
      <c r="B1543" t="s">
        <v>744</v>
      </c>
      <c r="C1543" t="s">
        <v>731</v>
      </c>
      <c r="D1543" t="s">
        <v>524</v>
      </c>
      <c r="E1543" t="s">
        <v>242</v>
      </c>
      <c r="F1543" t="s">
        <v>525</v>
      </c>
      <c r="G1543" t="s">
        <v>503</v>
      </c>
      <c r="I1543">
        <v>0</v>
      </c>
      <c r="AQ1543">
        <v>0</v>
      </c>
      <c r="AR1543">
        <v>15907.5</v>
      </c>
      <c r="AS1543">
        <v>0</v>
      </c>
    </row>
    <row r="1544" spans="1:45" hidden="1">
      <c r="A1544" t="s">
        <v>49</v>
      </c>
      <c r="B1544" t="s">
        <v>744</v>
      </c>
      <c r="C1544" t="s">
        <v>732</v>
      </c>
      <c r="D1544" t="s">
        <v>513</v>
      </c>
      <c r="E1544" t="s">
        <v>242</v>
      </c>
      <c r="F1544" t="s">
        <v>514</v>
      </c>
      <c r="G1544" t="s">
        <v>453</v>
      </c>
      <c r="I1544">
        <v>0</v>
      </c>
      <c r="AQ1544">
        <v>0</v>
      </c>
      <c r="AR1544">
        <v>848.4</v>
      </c>
      <c r="AS1544">
        <v>0</v>
      </c>
    </row>
    <row r="1545" spans="1:45" hidden="1">
      <c r="A1545" t="s">
        <v>49</v>
      </c>
      <c r="B1545" t="s">
        <v>744</v>
      </c>
      <c r="C1545" t="s">
        <v>733</v>
      </c>
      <c r="D1545" t="s">
        <v>287</v>
      </c>
      <c r="E1545" t="s">
        <v>242</v>
      </c>
      <c r="F1545" t="s">
        <v>539</v>
      </c>
      <c r="G1545" t="s">
        <v>540</v>
      </c>
      <c r="I1545">
        <v>0</v>
      </c>
      <c r="AQ1545">
        <v>0</v>
      </c>
      <c r="AR1545">
        <v>8.08</v>
      </c>
      <c r="AS1545">
        <v>0</v>
      </c>
    </row>
    <row r="1546" spans="1:45" hidden="1">
      <c r="A1546" t="s">
        <v>49</v>
      </c>
      <c r="B1546" t="s">
        <v>744</v>
      </c>
      <c r="C1546" t="s">
        <v>734</v>
      </c>
      <c r="D1546" t="s">
        <v>287</v>
      </c>
      <c r="E1546" t="s">
        <v>242</v>
      </c>
      <c r="F1546" t="s">
        <v>541</v>
      </c>
      <c r="G1546" t="s">
        <v>540</v>
      </c>
      <c r="I1546">
        <v>0</v>
      </c>
      <c r="AQ1546">
        <v>0</v>
      </c>
      <c r="AR1546">
        <v>7.4740000000000002</v>
      </c>
      <c r="AS1546">
        <v>0</v>
      </c>
    </row>
    <row r="1547" spans="1:45" hidden="1">
      <c r="A1547" t="s">
        <v>49</v>
      </c>
      <c r="B1547" t="s">
        <v>744</v>
      </c>
      <c r="C1547" t="s">
        <v>735</v>
      </c>
      <c r="D1547" t="s">
        <v>543</v>
      </c>
      <c r="E1547" t="s">
        <v>542</v>
      </c>
      <c r="F1547" t="s">
        <v>544</v>
      </c>
      <c r="G1547" t="s">
        <v>545</v>
      </c>
      <c r="H1547">
        <v>1</v>
      </c>
      <c r="I1547">
        <v>1</v>
      </c>
      <c r="J1547">
        <v>1</v>
      </c>
      <c r="K1547">
        <v>1</v>
      </c>
      <c r="L1547">
        <v>1</v>
      </c>
      <c r="M1547">
        <v>1</v>
      </c>
      <c r="N1547">
        <v>1</v>
      </c>
      <c r="O1547">
        <v>1</v>
      </c>
      <c r="P1547">
        <v>1</v>
      </c>
      <c r="Q1547">
        <v>1</v>
      </c>
      <c r="R1547">
        <v>1</v>
      </c>
      <c r="S1547">
        <v>1</v>
      </c>
      <c r="T1547">
        <v>1</v>
      </c>
      <c r="U1547">
        <v>1</v>
      </c>
      <c r="V1547">
        <v>1</v>
      </c>
      <c r="AQ1547">
        <v>15</v>
      </c>
      <c r="AR1547">
        <v>15</v>
      </c>
      <c r="AS1547">
        <v>15</v>
      </c>
    </row>
    <row r="1548" spans="1:45" hidden="1">
      <c r="A1548" t="s">
        <v>49</v>
      </c>
      <c r="B1548" t="s">
        <v>744</v>
      </c>
      <c r="C1548" t="s">
        <v>286</v>
      </c>
      <c r="D1548" t="s">
        <v>287</v>
      </c>
      <c r="E1548" t="s">
        <v>288</v>
      </c>
      <c r="F1548" t="s">
        <v>289</v>
      </c>
      <c r="G1548" t="s">
        <v>547</v>
      </c>
      <c r="AQ1548">
        <v>0</v>
      </c>
      <c r="AR1548">
        <v>0.05</v>
      </c>
      <c r="AS1548">
        <v>84520.806949999998</v>
      </c>
    </row>
    <row r="1549" spans="1:45" hidden="1">
      <c r="A1549" t="s">
        <v>49</v>
      </c>
      <c r="B1549" t="s">
        <v>744</v>
      </c>
      <c r="C1549" t="s">
        <v>291</v>
      </c>
      <c r="D1549" t="s">
        <v>287</v>
      </c>
      <c r="E1549" t="s">
        <v>288</v>
      </c>
      <c r="F1549" t="s">
        <v>292</v>
      </c>
      <c r="G1549" t="s">
        <v>293</v>
      </c>
      <c r="H1549">
        <v>42869.41</v>
      </c>
      <c r="I1549">
        <v>14925.59</v>
      </c>
      <c r="J1549">
        <v>10247.219999999999</v>
      </c>
      <c r="K1549">
        <v>7969.7</v>
      </c>
      <c r="L1549">
        <v>1978.03</v>
      </c>
      <c r="M1549">
        <v>158.9</v>
      </c>
      <c r="N1549">
        <v>890.39</v>
      </c>
      <c r="O1549">
        <v>2027.03</v>
      </c>
      <c r="P1549">
        <v>414.63</v>
      </c>
      <c r="Q1549">
        <v>805.15</v>
      </c>
      <c r="R1549">
        <v>1635.1</v>
      </c>
      <c r="S1549">
        <v>591.96</v>
      </c>
      <c r="T1549">
        <v>1054.23</v>
      </c>
      <c r="U1549">
        <v>467.69</v>
      </c>
      <c r="V1549">
        <v>113.43</v>
      </c>
      <c r="AQ1549">
        <v>86148.46</v>
      </c>
      <c r="AR1549">
        <v>6.0600000000000001E-2</v>
      </c>
      <c r="AS1549">
        <v>5220.5966760000001</v>
      </c>
    </row>
    <row r="1550" spans="1:45" hidden="1">
      <c r="A1550" t="s">
        <v>49</v>
      </c>
      <c r="B1550" t="s">
        <v>744</v>
      </c>
      <c r="C1550" t="s">
        <v>736</v>
      </c>
      <c r="D1550" t="s">
        <v>287</v>
      </c>
      <c r="E1550" t="s">
        <v>288</v>
      </c>
      <c r="F1550" t="s">
        <v>550</v>
      </c>
      <c r="G1550" t="s">
        <v>293</v>
      </c>
      <c r="H1550">
        <v>42869.41</v>
      </c>
      <c r="I1550">
        <v>14925.59</v>
      </c>
      <c r="J1550">
        <v>10247.219999999999</v>
      </c>
      <c r="K1550">
        <v>7969.7</v>
      </c>
      <c r="L1550">
        <v>1978.03</v>
      </c>
      <c r="M1550">
        <v>158.9</v>
      </c>
      <c r="N1550">
        <v>890.39</v>
      </c>
      <c r="O1550">
        <v>2027.03</v>
      </c>
      <c r="P1550">
        <v>414.63</v>
      </c>
      <c r="Q1550">
        <v>805.15</v>
      </c>
      <c r="R1550">
        <v>1635.1</v>
      </c>
      <c r="S1550">
        <v>591.96</v>
      </c>
      <c r="T1550">
        <v>1054.23</v>
      </c>
      <c r="U1550">
        <v>467.69</v>
      </c>
      <c r="V1550">
        <v>113.43</v>
      </c>
      <c r="AQ1550">
        <v>86148.46</v>
      </c>
      <c r="AR1550">
        <v>5.0500000000000003E-2</v>
      </c>
      <c r="AS1550">
        <v>4350.4972299999999</v>
      </c>
    </row>
    <row r="1551" spans="1:45" hidden="1">
      <c r="A1551" t="s">
        <v>49</v>
      </c>
      <c r="B1551" t="s">
        <v>744</v>
      </c>
      <c r="C1551" t="s">
        <v>737</v>
      </c>
      <c r="D1551" t="s">
        <v>287</v>
      </c>
      <c r="E1551" t="s">
        <v>288</v>
      </c>
      <c r="F1551" t="s">
        <v>548</v>
      </c>
      <c r="G1551" t="s">
        <v>293</v>
      </c>
      <c r="H1551">
        <v>42869.41</v>
      </c>
      <c r="I1551">
        <v>14925.59</v>
      </c>
      <c r="J1551">
        <v>10247.219999999999</v>
      </c>
      <c r="K1551">
        <v>7969.7</v>
      </c>
      <c r="L1551">
        <v>1978.03</v>
      </c>
      <c r="M1551">
        <v>158.9</v>
      </c>
      <c r="N1551">
        <v>890.39</v>
      </c>
      <c r="O1551">
        <v>2027.03</v>
      </c>
      <c r="P1551">
        <v>414.63</v>
      </c>
      <c r="Q1551">
        <v>805.15</v>
      </c>
      <c r="R1551">
        <v>1635.1</v>
      </c>
      <c r="S1551">
        <v>591.96</v>
      </c>
      <c r="T1551">
        <v>1054.23</v>
      </c>
      <c r="U1551">
        <v>467.69</v>
      </c>
      <c r="V1551">
        <v>113.43</v>
      </c>
      <c r="AQ1551">
        <v>86148.46</v>
      </c>
      <c r="AR1551">
        <v>0.1111</v>
      </c>
      <c r="AS1551">
        <v>9571.0939060000001</v>
      </c>
    </row>
    <row r="1552" spans="1:45" hidden="1">
      <c r="A1552" t="s">
        <v>49</v>
      </c>
      <c r="B1552" t="s">
        <v>744</v>
      </c>
      <c r="C1552" t="s">
        <v>738</v>
      </c>
      <c r="D1552" t="s">
        <v>287</v>
      </c>
      <c r="E1552" t="s">
        <v>288</v>
      </c>
      <c r="F1552" t="s">
        <v>549</v>
      </c>
      <c r="G1552" t="s">
        <v>293</v>
      </c>
      <c r="H1552">
        <v>42869.41</v>
      </c>
      <c r="I1552">
        <v>14925.59</v>
      </c>
      <c r="J1552">
        <v>10247.219999999999</v>
      </c>
      <c r="K1552">
        <v>7969.7</v>
      </c>
      <c r="L1552">
        <v>1978.03</v>
      </c>
      <c r="M1552">
        <v>158.9</v>
      </c>
      <c r="N1552">
        <v>890.39</v>
      </c>
      <c r="O1552">
        <v>2027.03</v>
      </c>
      <c r="P1552">
        <v>414.63</v>
      </c>
      <c r="Q1552">
        <v>805.15</v>
      </c>
      <c r="R1552">
        <v>1635.1</v>
      </c>
      <c r="S1552">
        <v>591.96</v>
      </c>
      <c r="T1552">
        <v>1054.23</v>
      </c>
      <c r="U1552">
        <v>467.69</v>
      </c>
      <c r="V1552">
        <v>113.43</v>
      </c>
      <c r="AQ1552">
        <v>86148.46</v>
      </c>
      <c r="AR1552">
        <v>0.10100000000000001</v>
      </c>
      <c r="AS1552">
        <v>8700.9944599999999</v>
      </c>
    </row>
    <row r="1553" spans="1:45" hidden="1">
      <c r="A1553" t="s">
        <v>308</v>
      </c>
      <c r="B1553" t="s">
        <v>758</v>
      </c>
      <c r="C1553" t="s">
        <v>641</v>
      </c>
      <c r="D1553" t="s">
        <v>324</v>
      </c>
      <c r="E1553" t="s">
        <v>323</v>
      </c>
      <c r="F1553" t="s">
        <v>325</v>
      </c>
      <c r="G1553" t="s">
        <v>326</v>
      </c>
      <c r="H1553">
        <v>1060994</v>
      </c>
      <c r="I1553">
        <v>498688</v>
      </c>
      <c r="J1553">
        <v>130166</v>
      </c>
      <c r="AQ1553">
        <v>1689848</v>
      </c>
      <c r="AR1553">
        <v>1.35E-2</v>
      </c>
      <c r="AS1553">
        <v>22812.948</v>
      </c>
    </row>
    <row r="1554" spans="1:45" hidden="1">
      <c r="A1554" t="s">
        <v>308</v>
      </c>
      <c r="B1554" t="s">
        <v>758</v>
      </c>
      <c r="C1554" t="s">
        <v>642</v>
      </c>
      <c r="D1554" t="s">
        <v>327</v>
      </c>
      <c r="E1554" t="s">
        <v>323</v>
      </c>
      <c r="F1554" t="s">
        <v>328</v>
      </c>
      <c r="G1554" t="s">
        <v>329</v>
      </c>
      <c r="H1554">
        <v>0</v>
      </c>
      <c r="AQ1554">
        <v>0</v>
      </c>
      <c r="AR1554">
        <v>5.9330000000000001E-2</v>
      </c>
      <c r="AS1554">
        <v>0</v>
      </c>
    </row>
    <row r="1555" spans="1:45" hidden="1">
      <c r="A1555" t="s">
        <v>308</v>
      </c>
      <c r="B1555" t="s">
        <v>758</v>
      </c>
      <c r="C1555" t="s">
        <v>643</v>
      </c>
      <c r="D1555" t="s">
        <v>330</v>
      </c>
      <c r="E1555" t="s">
        <v>323</v>
      </c>
      <c r="F1555" t="s">
        <v>331</v>
      </c>
      <c r="G1555" t="s">
        <v>740</v>
      </c>
      <c r="H1555">
        <v>0</v>
      </c>
      <c r="AQ1555">
        <v>0</v>
      </c>
      <c r="AR1555">
        <v>0.1</v>
      </c>
      <c r="AS1555">
        <v>0</v>
      </c>
    </row>
    <row r="1556" spans="1:45" hidden="1">
      <c r="A1556" t="s">
        <v>308</v>
      </c>
      <c r="B1556" t="s">
        <v>758</v>
      </c>
      <c r="C1556" t="s">
        <v>644</v>
      </c>
      <c r="D1556" t="s">
        <v>332</v>
      </c>
      <c r="E1556" t="s">
        <v>323</v>
      </c>
      <c r="F1556" t="s">
        <v>333</v>
      </c>
      <c r="G1556" t="s">
        <v>740</v>
      </c>
      <c r="H1556">
        <v>0</v>
      </c>
      <c r="I1556">
        <v>212130</v>
      </c>
      <c r="AQ1556">
        <v>212130</v>
      </c>
      <c r="AR1556">
        <v>0.125</v>
      </c>
      <c r="AS1556">
        <v>26516.25</v>
      </c>
    </row>
    <row r="1557" spans="1:45" hidden="1">
      <c r="A1557" t="s">
        <v>308</v>
      </c>
      <c r="B1557" t="s">
        <v>758</v>
      </c>
      <c r="C1557" t="s">
        <v>645</v>
      </c>
      <c r="D1557" t="s">
        <v>334</v>
      </c>
      <c r="E1557" t="s">
        <v>323</v>
      </c>
      <c r="F1557" t="s">
        <v>335</v>
      </c>
      <c r="G1557" t="s">
        <v>329</v>
      </c>
      <c r="H1557">
        <v>0</v>
      </c>
      <c r="AQ1557">
        <v>0</v>
      </c>
      <c r="AR1557">
        <v>0.28000000000000003</v>
      </c>
    </row>
    <row r="1558" spans="1:45" hidden="1">
      <c r="A1558" t="s">
        <v>308</v>
      </c>
      <c r="B1558" t="s">
        <v>758</v>
      </c>
      <c r="C1558" t="s">
        <v>646</v>
      </c>
      <c r="D1558" t="s">
        <v>137</v>
      </c>
      <c r="E1558" t="s">
        <v>138</v>
      </c>
      <c r="F1558" t="s">
        <v>337</v>
      </c>
      <c r="G1558" t="s">
        <v>140</v>
      </c>
      <c r="H1558">
        <v>2</v>
      </c>
      <c r="I1558">
        <v>0</v>
      </c>
      <c r="J1558">
        <v>3</v>
      </c>
      <c r="AQ1558">
        <v>5</v>
      </c>
      <c r="AR1558">
        <v>212.1</v>
      </c>
      <c r="AS1558">
        <v>1060.5</v>
      </c>
    </row>
    <row r="1559" spans="1:45" hidden="1">
      <c r="A1559" t="s">
        <v>308</v>
      </c>
      <c r="B1559" t="s">
        <v>758</v>
      </c>
      <c r="C1559" t="s">
        <v>136</v>
      </c>
      <c r="D1559" t="s">
        <v>137</v>
      </c>
      <c r="E1559" t="s">
        <v>138</v>
      </c>
      <c r="F1559" t="s">
        <v>139</v>
      </c>
      <c r="G1559" t="s">
        <v>140</v>
      </c>
      <c r="H1559">
        <v>0</v>
      </c>
      <c r="I1559">
        <v>1</v>
      </c>
      <c r="J1559">
        <v>5</v>
      </c>
      <c r="AQ1559">
        <v>6</v>
      </c>
      <c r="AR1559">
        <v>1696.8</v>
      </c>
      <c r="AS1559">
        <v>10180.799999999999</v>
      </c>
    </row>
    <row r="1560" spans="1:45" hidden="1">
      <c r="A1560" t="s">
        <v>308</v>
      </c>
      <c r="B1560" t="s">
        <v>758</v>
      </c>
      <c r="C1560" t="s">
        <v>143</v>
      </c>
      <c r="D1560" t="s">
        <v>137</v>
      </c>
      <c r="E1560" t="s">
        <v>138</v>
      </c>
      <c r="F1560" t="s">
        <v>277</v>
      </c>
      <c r="G1560" t="s">
        <v>140</v>
      </c>
      <c r="H1560">
        <v>0</v>
      </c>
      <c r="I1560">
        <v>0</v>
      </c>
      <c r="J1560">
        <v>0</v>
      </c>
      <c r="AQ1560">
        <v>0</v>
      </c>
      <c r="AR1560">
        <v>3923.85</v>
      </c>
      <c r="AS1560">
        <v>0</v>
      </c>
    </row>
    <row r="1561" spans="1:45" hidden="1">
      <c r="A1561" t="s">
        <v>308</v>
      </c>
      <c r="B1561" t="s">
        <v>758</v>
      </c>
      <c r="C1561" t="s">
        <v>647</v>
      </c>
      <c r="D1561" t="s">
        <v>137</v>
      </c>
      <c r="E1561" t="s">
        <v>138</v>
      </c>
      <c r="F1561" t="s">
        <v>338</v>
      </c>
      <c r="G1561" t="s">
        <v>140</v>
      </c>
      <c r="H1561">
        <v>2</v>
      </c>
      <c r="I1561">
        <v>3</v>
      </c>
      <c r="J1561">
        <v>0</v>
      </c>
      <c r="AQ1561">
        <v>5</v>
      </c>
      <c r="AR1561">
        <v>6893.25</v>
      </c>
      <c r="AS1561">
        <v>34466.25</v>
      </c>
    </row>
    <row r="1562" spans="1:45" hidden="1">
      <c r="A1562" t="s">
        <v>308</v>
      </c>
      <c r="B1562" t="s">
        <v>758</v>
      </c>
      <c r="C1562" t="s">
        <v>648</v>
      </c>
      <c r="D1562" t="s">
        <v>342</v>
      </c>
      <c r="E1562" t="s">
        <v>138</v>
      </c>
      <c r="F1562" t="s">
        <v>343</v>
      </c>
      <c r="G1562" t="s">
        <v>140</v>
      </c>
      <c r="H1562">
        <v>0</v>
      </c>
      <c r="I1562">
        <v>0</v>
      </c>
      <c r="J1562">
        <v>0</v>
      </c>
      <c r="AQ1562">
        <v>0</v>
      </c>
      <c r="AR1562">
        <v>13786.5</v>
      </c>
      <c r="AS1562">
        <v>0</v>
      </c>
    </row>
    <row r="1563" spans="1:45" hidden="1">
      <c r="A1563" t="s">
        <v>308</v>
      </c>
      <c r="B1563" t="s">
        <v>758</v>
      </c>
      <c r="C1563" t="s">
        <v>649</v>
      </c>
      <c r="D1563" t="s">
        <v>344</v>
      </c>
      <c r="E1563" t="s">
        <v>138</v>
      </c>
      <c r="F1563" t="s">
        <v>345</v>
      </c>
      <c r="G1563" t="s">
        <v>346</v>
      </c>
      <c r="H1563">
        <v>0</v>
      </c>
      <c r="I1563">
        <v>0</v>
      </c>
      <c r="J1563">
        <v>0</v>
      </c>
      <c r="AQ1563">
        <v>0</v>
      </c>
      <c r="AR1563">
        <v>11.11</v>
      </c>
      <c r="AS1563">
        <v>0</v>
      </c>
    </row>
    <row r="1564" spans="1:45" hidden="1">
      <c r="A1564" t="s">
        <v>308</v>
      </c>
      <c r="B1564" t="s">
        <v>758</v>
      </c>
      <c r="C1564" t="s">
        <v>650</v>
      </c>
      <c r="D1564" t="s">
        <v>339</v>
      </c>
      <c r="E1564" t="s">
        <v>138</v>
      </c>
      <c r="F1564" t="s">
        <v>340</v>
      </c>
      <c r="G1564" t="s">
        <v>341</v>
      </c>
      <c r="H1564">
        <v>2</v>
      </c>
      <c r="I1564">
        <v>2</v>
      </c>
      <c r="J1564">
        <v>0</v>
      </c>
      <c r="AQ1564">
        <v>4</v>
      </c>
      <c r="AR1564">
        <v>557.52</v>
      </c>
      <c r="AS1564">
        <v>2230.08</v>
      </c>
    </row>
    <row r="1565" spans="1:45" hidden="1">
      <c r="A1565" t="s">
        <v>308</v>
      </c>
      <c r="B1565" t="s">
        <v>758</v>
      </c>
      <c r="C1565" t="s">
        <v>651</v>
      </c>
      <c r="D1565" t="s">
        <v>347</v>
      </c>
      <c r="E1565" t="s">
        <v>138</v>
      </c>
      <c r="F1565" t="s">
        <v>350</v>
      </c>
      <c r="G1565" t="s">
        <v>349</v>
      </c>
      <c r="H1565">
        <v>18</v>
      </c>
      <c r="I1565">
        <v>0</v>
      </c>
      <c r="J1565">
        <v>3</v>
      </c>
      <c r="AQ1565">
        <v>21</v>
      </c>
      <c r="AR1565">
        <v>234.32</v>
      </c>
      <c r="AS1565">
        <v>4920.72</v>
      </c>
    </row>
    <row r="1566" spans="1:45" hidden="1">
      <c r="A1566" t="s">
        <v>308</v>
      </c>
      <c r="B1566" t="s">
        <v>758</v>
      </c>
      <c r="C1566" t="s">
        <v>652</v>
      </c>
      <c r="D1566" t="s">
        <v>347</v>
      </c>
      <c r="E1566" t="s">
        <v>138</v>
      </c>
      <c r="F1566" t="s">
        <v>348</v>
      </c>
      <c r="G1566" t="s">
        <v>349</v>
      </c>
      <c r="H1566">
        <v>0</v>
      </c>
      <c r="I1566">
        <v>25</v>
      </c>
      <c r="J1566">
        <v>0</v>
      </c>
      <c r="AQ1566">
        <v>25</v>
      </c>
      <c r="AR1566">
        <v>456.52</v>
      </c>
      <c r="AS1566">
        <v>11413</v>
      </c>
    </row>
    <row r="1567" spans="1:45" hidden="1">
      <c r="A1567" t="s">
        <v>308</v>
      </c>
      <c r="B1567" t="s">
        <v>758</v>
      </c>
      <c r="C1567" t="s">
        <v>653</v>
      </c>
      <c r="D1567" t="s">
        <v>347</v>
      </c>
      <c r="E1567" t="s">
        <v>138</v>
      </c>
      <c r="F1567" t="s">
        <v>351</v>
      </c>
      <c r="G1567" t="s">
        <v>349</v>
      </c>
      <c r="H1567">
        <v>0</v>
      </c>
      <c r="I1567">
        <v>0</v>
      </c>
      <c r="J1567">
        <v>0</v>
      </c>
      <c r="AQ1567">
        <v>0</v>
      </c>
      <c r="AR1567">
        <v>679.73</v>
      </c>
      <c r="AS1567">
        <v>0</v>
      </c>
    </row>
    <row r="1568" spans="1:45" hidden="1">
      <c r="A1568" t="s">
        <v>308</v>
      </c>
      <c r="B1568" t="s">
        <v>758</v>
      </c>
      <c r="C1568" t="s">
        <v>654</v>
      </c>
      <c r="D1568" t="s">
        <v>352</v>
      </c>
      <c r="E1568" t="s">
        <v>138</v>
      </c>
      <c r="F1568" t="s">
        <v>353</v>
      </c>
      <c r="G1568" t="s">
        <v>354</v>
      </c>
      <c r="H1568">
        <v>1</v>
      </c>
      <c r="I1568">
        <v>0</v>
      </c>
      <c r="J1568">
        <v>0</v>
      </c>
      <c r="AQ1568">
        <v>1</v>
      </c>
      <c r="AR1568">
        <v>3923.85</v>
      </c>
      <c r="AS1568">
        <v>3923.85</v>
      </c>
    </row>
    <row r="1569" spans="1:45" hidden="1">
      <c r="A1569" t="s">
        <v>308</v>
      </c>
      <c r="B1569" t="s">
        <v>758</v>
      </c>
      <c r="C1569" t="s">
        <v>655</v>
      </c>
      <c r="D1569" t="s">
        <v>355</v>
      </c>
      <c r="E1569" t="s">
        <v>138</v>
      </c>
      <c r="F1569" t="s">
        <v>356</v>
      </c>
      <c r="G1569" t="s">
        <v>357</v>
      </c>
      <c r="H1569">
        <v>2</v>
      </c>
      <c r="I1569">
        <v>0</v>
      </c>
      <c r="J1569">
        <v>0</v>
      </c>
      <c r="AQ1569">
        <v>2</v>
      </c>
      <c r="AR1569">
        <v>556.51</v>
      </c>
      <c r="AS1569">
        <v>1113.02</v>
      </c>
    </row>
    <row r="1570" spans="1:45" hidden="1">
      <c r="A1570" t="s">
        <v>308</v>
      </c>
      <c r="B1570" t="s">
        <v>758</v>
      </c>
      <c r="C1570" t="s">
        <v>656</v>
      </c>
      <c r="D1570" t="s">
        <v>358</v>
      </c>
      <c r="E1570" t="s">
        <v>138</v>
      </c>
      <c r="F1570" t="s">
        <v>359</v>
      </c>
      <c r="G1570" t="s">
        <v>360</v>
      </c>
      <c r="H1570">
        <v>0</v>
      </c>
      <c r="I1570">
        <v>0</v>
      </c>
      <c r="J1570">
        <v>0</v>
      </c>
      <c r="AQ1570">
        <v>0</v>
      </c>
      <c r="AR1570">
        <v>334.31</v>
      </c>
      <c r="AS1570">
        <v>0</v>
      </c>
    </row>
    <row r="1571" spans="1:45" hidden="1">
      <c r="A1571" t="s">
        <v>308</v>
      </c>
      <c r="B1571" t="s">
        <v>758</v>
      </c>
      <c r="C1571" t="s">
        <v>657</v>
      </c>
      <c r="D1571" t="s">
        <v>361</v>
      </c>
      <c r="E1571" t="s">
        <v>138</v>
      </c>
      <c r="F1571" t="s">
        <v>362</v>
      </c>
      <c r="G1571" t="s">
        <v>363</v>
      </c>
      <c r="H1571">
        <v>8760</v>
      </c>
      <c r="I1571">
        <v>8760</v>
      </c>
      <c r="AQ1571">
        <v>17520</v>
      </c>
      <c r="AR1571">
        <v>1.0605</v>
      </c>
      <c r="AS1571">
        <v>18579.96</v>
      </c>
    </row>
    <row r="1572" spans="1:45" hidden="1">
      <c r="A1572" t="s">
        <v>308</v>
      </c>
      <c r="B1572" t="s">
        <v>758</v>
      </c>
      <c r="C1572" t="s">
        <v>658</v>
      </c>
      <c r="D1572" t="s">
        <v>364</v>
      </c>
      <c r="E1572" t="s">
        <v>138</v>
      </c>
      <c r="F1572" t="s">
        <v>366</v>
      </c>
      <c r="G1572" t="s">
        <v>363</v>
      </c>
      <c r="H1572">
        <v>0</v>
      </c>
      <c r="I1572">
        <v>0</v>
      </c>
      <c r="J1572">
        <v>0</v>
      </c>
      <c r="AQ1572">
        <v>0</v>
      </c>
      <c r="AR1572">
        <v>4.242</v>
      </c>
      <c r="AS1572">
        <v>0</v>
      </c>
    </row>
    <row r="1573" spans="1:45" hidden="1">
      <c r="A1573" t="s">
        <v>308</v>
      </c>
      <c r="B1573" t="s">
        <v>758</v>
      </c>
      <c r="C1573" t="s">
        <v>659</v>
      </c>
      <c r="D1573" t="s">
        <v>364</v>
      </c>
      <c r="E1573" t="s">
        <v>138</v>
      </c>
      <c r="F1573" t="s">
        <v>365</v>
      </c>
      <c r="G1573" t="s">
        <v>363</v>
      </c>
      <c r="H1573">
        <v>0</v>
      </c>
      <c r="I1573">
        <v>0</v>
      </c>
      <c r="J1573">
        <v>0</v>
      </c>
      <c r="AQ1573">
        <v>0</v>
      </c>
      <c r="AR1573">
        <v>8.484</v>
      </c>
      <c r="AS1573">
        <v>0</v>
      </c>
    </row>
    <row r="1574" spans="1:45" hidden="1">
      <c r="A1574" t="s">
        <v>308</v>
      </c>
      <c r="B1574" t="s">
        <v>758</v>
      </c>
      <c r="C1574" t="s">
        <v>660</v>
      </c>
      <c r="D1574" t="s">
        <v>364</v>
      </c>
      <c r="E1574" t="s">
        <v>138</v>
      </c>
      <c r="F1574" t="s">
        <v>367</v>
      </c>
      <c r="G1574" t="s">
        <v>363</v>
      </c>
      <c r="H1574">
        <v>2000</v>
      </c>
      <c r="I1574">
        <v>1000</v>
      </c>
      <c r="J1574">
        <v>0</v>
      </c>
      <c r="AQ1574">
        <v>3000</v>
      </c>
      <c r="AR1574">
        <v>21.21</v>
      </c>
      <c r="AS1574">
        <v>63630</v>
      </c>
    </row>
    <row r="1575" spans="1:45" hidden="1">
      <c r="A1575" t="s">
        <v>308</v>
      </c>
      <c r="B1575" t="s">
        <v>758</v>
      </c>
      <c r="C1575" t="s">
        <v>278</v>
      </c>
      <c r="D1575" t="s">
        <v>146</v>
      </c>
      <c r="E1575" t="s">
        <v>138</v>
      </c>
      <c r="F1575" t="s">
        <v>279</v>
      </c>
      <c r="G1575" t="s">
        <v>148</v>
      </c>
      <c r="H1575">
        <v>0</v>
      </c>
      <c r="I1575">
        <v>3</v>
      </c>
      <c r="J1575">
        <v>3</v>
      </c>
      <c r="AQ1575">
        <v>6</v>
      </c>
      <c r="AR1575">
        <v>1272.5999999999999</v>
      </c>
      <c r="AS1575">
        <v>7635.6</v>
      </c>
    </row>
    <row r="1576" spans="1:45" hidden="1">
      <c r="A1576" t="s">
        <v>308</v>
      </c>
      <c r="B1576" t="s">
        <v>758</v>
      </c>
      <c r="C1576" t="s">
        <v>661</v>
      </c>
      <c r="D1576" t="s">
        <v>146</v>
      </c>
      <c r="E1576" t="s">
        <v>138</v>
      </c>
      <c r="F1576" t="s">
        <v>368</v>
      </c>
      <c r="G1576" t="s">
        <v>148</v>
      </c>
      <c r="H1576">
        <v>12</v>
      </c>
      <c r="I1576">
        <v>2</v>
      </c>
      <c r="J1576">
        <v>0</v>
      </c>
      <c r="AQ1576">
        <v>14</v>
      </c>
      <c r="AR1576">
        <v>2333.1</v>
      </c>
      <c r="AS1576">
        <v>32663.4</v>
      </c>
    </row>
    <row r="1577" spans="1:45" hidden="1">
      <c r="A1577" t="s">
        <v>308</v>
      </c>
      <c r="B1577" t="s">
        <v>758</v>
      </c>
      <c r="C1577" t="s">
        <v>662</v>
      </c>
      <c r="D1577" t="s">
        <v>146</v>
      </c>
      <c r="E1577" t="s">
        <v>138</v>
      </c>
      <c r="F1577" t="s">
        <v>369</v>
      </c>
      <c r="G1577" t="s">
        <v>148</v>
      </c>
      <c r="H1577">
        <v>1</v>
      </c>
      <c r="I1577">
        <v>3</v>
      </c>
      <c r="J1577">
        <v>0</v>
      </c>
      <c r="AQ1577">
        <v>4</v>
      </c>
      <c r="AR1577">
        <v>3711.75</v>
      </c>
      <c r="AS1577">
        <v>14847</v>
      </c>
    </row>
    <row r="1578" spans="1:45" hidden="1">
      <c r="A1578" t="s">
        <v>308</v>
      </c>
      <c r="B1578" t="s">
        <v>758</v>
      </c>
      <c r="C1578" t="s">
        <v>663</v>
      </c>
      <c r="D1578" t="s">
        <v>146</v>
      </c>
      <c r="E1578" t="s">
        <v>138</v>
      </c>
      <c r="F1578" t="s">
        <v>370</v>
      </c>
      <c r="G1578" t="s">
        <v>148</v>
      </c>
      <c r="H1578">
        <v>2</v>
      </c>
      <c r="I1578">
        <v>1</v>
      </c>
      <c r="J1578">
        <v>0</v>
      </c>
      <c r="AQ1578">
        <v>3</v>
      </c>
      <c r="AR1578">
        <v>5832.75</v>
      </c>
      <c r="AS1578">
        <v>17498.25</v>
      </c>
    </row>
    <row r="1579" spans="1:45" hidden="1">
      <c r="A1579" t="s">
        <v>308</v>
      </c>
      <c r="B1579" t="s">
        <v>758</v>
      </c>
      <c r="C1579" t="s">
        <v>664</v>
      </c>
      <c r="D1579" t="s">
        <v>371</v>
      </c>
      <c r="E1579" t="s">
        <v>138</v>
      </c>
      <c r="F1579" t="s">
        <v>372</v>
      </c>
      <c r="G1579" t="s">
        <v>373</v>
      </c>
      <c r="H1579">
        <v>4</v>
      </c>
      <c r="I1579">
        <v>3</v>
      </c>
      <c r="J1579">
        <v>0</v>
      </c>
      <c r="AQ1579">
        <v>7</v>
      </c>
      <c r="AR1579">
        <v>3711.75</v>
      </c>
      <c r="AS1579">
        <v>25982.25</v>
      </c>
    </row>
    <row r="1580" spans="1:45" hidden="1">
      <c r="A1580" t="s">
        <v>308</v>
      </c>
      <c r="B1580" t="s">
        <v>758</v>
      </c>
      <c r="C1580" t="s">
        <v>149</v>
      </c>
      <c r="D1580" t="s">
        <v>280</v>
      </c>
      <c r="E1580" t="s">
        <v>138</v>
      </c>
      <c r="F1580" t="s">
        <v>151</v>
      </c>
      <c r="G1580" t="s">
        <v>152</v>
      </c>
      <c r="H1580">
        <v>57046</v>
      </c>
      <c r="I1580">
        <v>47892</v>
      </c>
      <c r="J1580">
        <v>1800</v>
      </c>
      <c r="AQ1580">
        <v>106738</v>
      </c>
      <c r="AR1580">
        <v>1.111</v>
      </c>
      <c r="AS1580">
        <v>118585.91800000001</v>
      </c>
    </row>
    <row r="1581" spans="1:45" hidden="1">
      <c r="A1581" t="s">
        <v>308</v>
      </c>
      <c r="B1581" t="s">
        <v>758</v>
      </c>
      <c r="C1581" t="s">
        <v>153</v>
      </c>
      <c r="D1581" t="s">
        <v>154</v>
      </c>
      <c r="E1581" t="s">
        <v>138</v>
      </c>
      <c r="F1581" t="s">
        <v>155</v>
      </c>
      <c r="G1581" t="s">
        <v>156</v>
      </c>
      <c r="H1581">
        <v>326</v>
      </c>
      <c r="I1581">
        <v>218</v>
      </c>
      <c r="J1581">
        <v>50</v>
      </c>
      <c r="AQ1581">
        <v>594</v>
      </c>
      <c r="AR1581">
        <v>116.655</v>
      </c>
      <c r="AS1581">
        <v>69293.070000000007</v>
      </c>
    </row>
    <row r="1582" spans="1:45" hidden="1">
      <c r="A1582" t="s">
        <v>308</v>
      </c>
      <c r="B1582" t="s">
        <v>758</v>
      </c>
      <c r="C1582" t="s">
        <v>665</v>
      </c>
      <c r="D1582" t="s">
        <v>375</v>
      </c>
      <c r="E1582" t="s">
        <v>138</v>
      </c>
      <c r="F1582" t="s">
        <v>376</v>
      </c>
      <c r="G1582" t="s">
        <v>377</v>
      </c>
      <c r="H1582">
        <v>16</v>
      </c>
      <c r="I1582">
        <v>5</v>
      </c>
      <c r="J1582">
        <v>3</v>
      </c>
      <c r="AQ1582">
        <v>24</v>
      </c>
      <c r="AR1582">
        <v>89.081999999999994</v>
      </c>
      <c r="AS1582">
        <v>2137.9679999999998</v>
      </c>
    </row>
    <row r="1583" spans="1:45" hidden="1">
      <c r="A1583" t="s">
        <v>308</v>
      </c>
      <c r="B1583" t="s">
        <v>758</v>
      </c>
      <c r="C1583" t="s">
        <v>158</v>
      </c>
      <c r="D1583" t="s">
        <v>159</v>
      </c>
      <c r="E1583" t="s">
        <v>138</v>
      </c>
      <c r="F1583" t="s">
        <v>160</v>
      </c>
      <c r="G1583" t="s">
        <v>161</v>
      </c>
      <c r="H1583">
        <v>117</v>
      </c>
      <c r="I1583">
        <v>92</v>
      </c>
      <c r="J1583">
        <v>6</v>
      </c>
      <c r="AQ1583">
        <v>215</v>
      </c>
      <c r="AR1583">
        <v>66.66</v>
      </c>
      <c r="AS1583">
        <v>14331.9</v>
      </c>
    </row>
    <row r="1584" spans="1:45" hidden="1">
      <c r="A1584" t="s">
        <v>308</v>
      </c>
      <c r="B1584" t="s">
        <v>758</v>
      </c>
      <c r="C1584" t="s">
        <v>666</v>
      </c>
      <c r="D1584" t="s">
        <v>378</v>
      </c>
      <c r="E1584" t="s">
        <v>138</v>
      </c>
      <c r="F1584" t="s">
        <v>379</v>
      </c>
      <c r="G1584" t="s">
        <v>380</v>
      </c>
      <c r="H1584">
        <v>7</v>
      </c>
      <c r="I1584">
        <v>0</v>
      </c>
      <c r="J1584">
        <v>0</v>
      </c>
      <c r="AQ1584">
        <v>7</v>
      </c>
      <c r="AR1584">
        <v>389.86</v>
      </c>
      <c r="AS1584">
        <v>2729.02</v>
      </c>
    </row>
    <row r="1585" spans="1:45" hidden="1">
      <c r="A1585" t="s">
        <v>308</v>
      </c>
      <c r="B1585" t="s">
        <v>758</v>
      </c>
      <c r="C1585" t="s">
        <v>667</v>
      </c>
      <c r="D1585" t="s">
        <v>281</v>
      </c>
      <c r="E1585" t="s">
        <v>138</v>
      </c>
      <c r="F1585" t="s">
        <v>384</v>
      </c>
      <c r="G1585" t="s">
        <v>165</v>
      </c>
      <c r="H1585">
        <v>32</v>
      </c>
      <c r="I1585">
        <v>31</v>
      </c>
      <c r="J1585">
        <v>6</v>
      </c>
      <c r="AQ1585">
        <v>69</v>
      </c>
      <c r="AR1585">
        <v>2227.0500000000002</v>
      </c>
      <c r="AS1585">
        <v>153666.45000000001</v>
      </c>
    </row>
    <row r="1586" spans="1:45" hidden="1">
      <c r="A1586" t="s">
        <v>308</v>
      </c>
      <c r="B1586" t="s">
        <v>758</v>
      </c>
      <c r="C1586" t="s">
        <v>162</v>
      </c>
      <c r="D1586" t="s">
        <v>281</v>
      </c>
      <c r="E1586" t="s">
        <v>138</v>
      </c>
      <c r="F1586" t="s">
        <v>164</v>
      </c>
      <c r="G1586" t="s">
        <v>165</v>
      </c>
      <c r="H1586">
        <v>0</v>
      </c>
      <c r="I1586">
        <v>8</v>
      </c>
      <c r="J1586">
        <v>0</v>
      </c>
      <c r="AQ1586">
        <v>8</v>
      </c>
      <c r="AR1586">
        <v>4242</v>
      </c>
      <c r="AS1586">
        <v>33936</v>
      </c>
    </row>
    <row r="1587" spans="1:45" hidden="1">
      <c r="A1587" t="s">
        <v>308</v>
      </c>
      <c r="B1587" t="s">
        <v>758</v>
      </c>
      <c r="C1587" t="s">
        <v>668</v>
      </c>
      <c r="D1587" t="s">
        <v>381</v>
      </c>
      <c r="E1587" t="s">
        <v>138</v>
      </c>
      <c r="F1587" t="s">
        <v>382</v>
      </c>
      <c r="G1587" t="s">
        <v>383</v>
      </c>
      <c r="H1587">
        <v>0</v>
      </c>
      <c r="I1587">
        <v>1</v>
      </c>
      <c r="J1587">
        <v>0</v>
      </c>
      <c r="AQ1587">
        <v>1</v>
      </c>
      <c r="AR1587">
        <v>39.39</v>
      </c>
      <c r="AS1587">
        <v>39.39</v>
      </c>
    </row>
    <row r="1588" spans="1:45" hidden="1">
      <c r="A1588" t="s">
        <v>308</v>
      </c>
      <c r="B1588" t="s">
        <v>758</v>
      </c>
      <c r="C1588" t="s">
        <v>166</v>
      </c>
      <c r="D1588" t="s">
        <v>282</v>
      </c>
      <c r="E1588" t="s">
        <v>138</v>
      </c>
      <c r="F1588" t="s">
        <v>168</v>
      </c>
      <c r="G1588" t="s">
        <v>169</v>
      </c>
      <c r="H1588">
        <v>54760</v>
      </c>
      <c r="I1588">
        <v>36008</v>
      </c>
      <c r="J1588">
        <v>6110</v>
      </c>
      <c r="AQ1588">
        <v>96878</v>
      </c>
      <c r="AR1588">
        <v>1.111</v>
      </c>
      <c r="AS1588">
        <v>107631.458</v>
      </c>
    </row>
    <row r="1589" spans="1:45" hidden="1">
      <c r="A1589" t="s">
        <v>308</v>
      </c>
      <c r="B1589" t="s">
        <v>758</v>
      </c>
      <c r="C1589" t="s">
        <v>669</v>
      </c>
      <c r="D1589" t="s">
        <v>385</v>
      </c>
      <c r="E1589" t="s">
        <v>138</v>
      </c>
      <c r="F1589" t="s">
        <v>386</v>
      </c>
      <c r="G1589" t="s">
        <v>387</v>
      </c>
      <c r="H1589">
        <v>2</v>
      </c>
      <c r="I1589">
        <v>1</v>
      </c>
      <c r="J1589">
        <v>0</v>
      </c>
      <c r="AQ1589">
        <v>3</v>
      </c>
      <c r="AR1589">
        <v>22270.5</v>
      </c>
      <c r="AS1589">
        <v>66811.5</v>
      </c>
    </row>
    <row r="1590" spans="1:45" hidden="1">
      <c r="A1590" t="s">
        <v>308</v>
      </c>
      <c r="B1590" t="s">
        <v>758</v>
      </c>
      <c r="C1590" t="s">
        <v>670</v>
      </c>
      <c r="D1590" t="s">
        <v>385</v>
      </c>
      <c r="E1590" t="s">
        <v>138</v>
      </c>
      <c r="F1590" t="s">
        <v>388</v>
      </c>
      <c r="G1590" t="s">
        <v>389</v>
      </c>
      <c r="H1590">
        <v>260</v>
      </c>
      <c r="I1590">
        <v>220</v>
      </c>
      <c r="J1590">
        <v>0</v>
      </c>
      <c r="AQ1590">
        <v>480</v>
      </c>
      <c r="AR1590">
        <v>0.22220000000000001</v>
      </c>
      <c r="AS1590">
        <v>106.65600000000001</v>
      </c>
    </row>
    <row r="1591" spans="1:45" hidden="1">
      <c r="A1591" t="s">
        <v>308</v>
      </c>
      <c r="B1591" t="s">
        <v>758</v>
      </c>
      <c r="C1591" t="s">
        <v>671</v>
      </c>
      <c r="D1591" t="s">
        <v>393</v>
      </c>
      <c r="E1591" t="s">
        <v>138</v>
      </c>
      <c r="F1591" t="s">
        <v>394</v>
      </c>
      <c r="G1591" t="s">
        <v>395</v>
      </c>
      <c r="H1591">
        <v>0</v>
      </c>
      <c r="I1591">
        <v>0</v>
      </c>
      <c r="J1591">
        <v>0</v>
      </c>
      <c r="AQ1591">
        <v>0</v>
      </c>
      <c r="AR1591">
        <v>99.99</v>
      </c>
      <c r="AS1591">
        <v>0</v>
      </c>
    </row>
    <row r="1592" spans="1:45" hidden="1">
      <c r="A1592" t="s">
        <v>308</v>
      </c>
      <c r="B1592" t="s">
        <v>758</v>
      </c>
      <c r="C1592" t="s">
        <v>672</v>
      </c>
      <c r="D1592" t="s">
        <v>393</v>
      </c>
      <c r="E1592" t="s">
        <v>138</v>
      </c>
      <c r="F1592" t="s">
        <v>396</v>
      </c>
      <c r="G1592" t="s">
        <v>395</v>
      </c>
      <c r="H1592">
        <v>0</v>
      </c>
      <c r="I1592">
        <v>0</v>
      </c>
      <c r="J1592">
        <v>0</v>
      </c>
      <c r="AQ1592">
        <v>0</v>
      </c>
      <c r="AR1592">
        <v>99.99</v>
      </c>
      <c r="AS1592">
        <v>0</v>
      </c>
    </row>
    <row r="1593" spans="1:45" hidden="1">
      <c r="A1593" t="s">
        <v>308</v>
      </c>
      <c r="B1593" t="s">
        <v>758</v>
      </c>
      <c r="C1593" t="s">
        <v>673</v>
      </c>
      <c r="D1593" t="s">
        <v>393</v>
      </c>
      <c r="E1593" t="s">
        <v>138</v>
      </c>
      <c r="F1593" t="s">
        <v>397</v>
      </c>
      <c r="G1593" t="s">
        <v>395</v>
      </c>
      <c r="H1593">
        <v>0</v>
      </c>
      <c r="I1593">
        <v>0</v>
      </c>
      <c r="J1593">
        <v>0</v>
      </c>
      <c r="AQ1593">
        <v>0</v>
      </c>
      <c r="AR1593">
        <v>66.66</v>
      </c>
      <c r="AS1593">
        <v>0</v>
      </c>
    </row>
    <row r="1594" spans="1:45" hidden="1">
      <c r="A1594" t="s">
        <v>308</v>
      </c>
      <c r="B1594" t="s">
        <v>758</v>
      </c>
      <c r="C1594" t="s">
        <v>674</v>
      </c>
      <c r="D1594" t="s">
        <v>287</v>
      </c>
      <c r="E1594" t="s">
        <v>138</v>
      </c>
      <c r="F1594" t="s">
        <v>402</v>
      </c>
      <c r="G1594" t="s">
        <v>403</v>
      </c>
      <c r="H1594">
        <v>0</v>
      </c>
      <c r="I1594">
        <v>0</v>
      </c>
      <c r="J1594">
        <v>0</v>
      </c>
      <c r="AQ1594">
        <v>0</v>
      </c>
      <c r="AR1594">
        <v>318150</v>
      </c>
      <c r="AS1594">
        <v>0</v>
      </c>
    </row>
    <row r="1595" spans="1:45" hidden="1">
      <c r="A1595" t="s">
        <v>308</v>
      </c>
      <c r="B1595" t="s">
        <v>758</v>
      </c>
      <c r="C1595" t="s">
        <v>675</v>
      </c>
      <c r="D1595" t="s">
        <v>390</v>
      </c>
      <c r="E1595" t="s">
        <v>138</v>
      </c>
      <c r="F1595" t="s">
        <v>391</v>
      </c>
      <c r="G1595" t="s">
        <v>392</v>
      </c>
      <c r="H1595">
        <v>0</v>
      </c>
      <c r="I1595">
        <v>0</v>
      </c>
      <c r="J1595">
        <v>0</v>
      </c>
      <c r="AQ1595">
        <v>0</v>
      </c>
      <c r="AR1595">
        <v>1336.23</v>
      </c>
      <c r="AS1595">
        <v>0</v>
      </c>
    </row>
    <row r="1596" spans="1:45" hidden="1">
      <c r="A1596" t="s">
        <v>308</v>
      </c>
      <c r="B1596" t="s">
        <v>758</v>
      </c>
      <c r="C1596" t="s">
        <v>676</v>
      </c>
      <c r="D1596" t="s">
        <v>398</v>
      </c>
      <c r="E1596" t="s">
        <v>138</v>
      </c>
      <c r="F1596" t="s">
        <v>399</v>
      </c>
      <c r="G1596" t="s">
        <v>400</v>
      </c>
      <c r="H1596">
        <v>1</v>
      </c>
      <c r="I1596">
        <v>1</v>
      </c>
      <c r="J1596">
        <v>0</v>
      </c>
      <c r="AQ1596">
        <v>2</v>
      </c>
      <c r="AR1596">
        <v>14475.825000000001</v>
      </c>
      <c r="AS1596">
        <v>28951.65</v>
      </c>
    </row>
    <row r="1597" spans="1:45" hidden="1">
      <c r="A1597" t="s">
        <v>308</v>
      </c>
      <c r="B1597" t="s">
        <v>758</v>
      </c>
      <c r="C1597" t="s">
        <v>170</v>
      </c>
      <c r="D1597" t="s">
        <v>171</v>
      </c>
      <c r="E1597" t="s">
        <v>172</v>
      </c>
      <c r="F1597" t="s">
        <v>173</v>
      </c>
      <c r="G1597" t="s">
        <v>152</v>
      </c>
      <c r="H1597">
        <v>57046</v>
      </c>
      <c r="I1597">
        <v>47892</v>
      </c>
      <c r="J1597">
        <v>27431</v>
      </c>
      <c r="AQ1597">
        <v>132369</v>
      </c>
      <c r="AR1597">
        <v>1.2726</v>
      </c>
      <c r="AS1597">
        <v>168452.78940000001</v>
      </c>
    </row>
    <row r="1598" spans="1:45" hidden="1">
      <c r="A1598" t="s">
        <v>308</v>
      </c>
      <c r="B1598" t="s">
        <v>758</v>
      </c>
      <c r="C1598" t="s">
        <v>677</v>
      </c>
      <c r="D1598" t="s">
        <v>405</v>
      </c>
      <c r="E1598" t="s">
        <v>172</v>
      </c>
      <c r="F1598" t="s">
        <v>406</v>
      </c>
      <c r="G1598" t="s">
        <v>407</v>
      </c>
      <c r="H1598">
        <v>113</v>
      </c>
      <c r="I1598">
        <v>63</v>
      </c>
      <c r="J1598">
        <v>15</v>
      </c>
      <c r="AQ1598">
        <v>191</v>
      </c>
      <c r="AR1598">
        <v>47.47</v>
      </c>
      <c r="AS1598">
        <v>9066.77</v>
      </c>
    </row>
    <row r="1599" spans="1:45" hidden="1">
      <c r="A1599" t="s">
        <v>308</v>
      </c>
      <c r="B1599" t="s">
        <v>758</v>
      </c>
      <c r="C1599" t="s">
        <v>678</v>
      </c>
      <c r="D1599" t="s">
        <v>408</v>
      </c>
      <c r="E1599" t="s">
        <v>172</v>
      </c>
      <c r="F1599" t="s">
        <v>409</v>
      </c>
      <c r="G1599" t="s">
        <v>410</v>
      </c>
      <c r="H1599">
        <v>1</v>
      </c>
      <c r="I1599">
        <v>1</v>
      </c>
      <c r="J1599">
        <v>2</v>
      </c>
      <c r="AQ1599">
        <v>4</v>
      </c>
      <c r="AR1599">
        <v>1.0605</v>
      </c>
      <c r="AS1599">
        <v>4.242</v>
      </c>
    </row>
    <row r="1600" spans="1:45" hidden="1">
      <c r="A1600" t="s">
        <v>308</v>
      </c>
      <c r="B1600" t="s">
        <v>758</v>
      </c>
      <c r="C1600" t="s">
        <v>679</v>
      </c>
      <c r="D1600" t="s">
        <v>411</v>
      </c>
      <c r="E1600" t="s">
        <v>172</v>
      </c>
      <c r="F1600" t="s">
        <v>412</v>
      </c>
      <c r="G1600" t="s">
        <v>413</v>
      </c>
      <c r="H1600">
        <v>279</v>
      </c>
      <c r="I1600">
        <v>216</v>
      </c>
      <c r="J1600">
        <v>40</v>
      </c>
      <c r="AQ1600">
        <v>535</v>
      </c>
      <c r="AR1600">
        <v>37.1175</v>
      </c>
      <c r="AS1600">
        <v>19857.862499999999</v>
      </c>
    </row>
    <row r="1601" spans="1:45" hidden="1">
      <c r="A1601" t="s">
        <v>308</v>
      </c>
      <c r="B1601" t="s">
        <v>758</v>
      </c>
      <c r="C1601" t="s">
        <v>680</v>
      </c>
      <c r="D1601" t="s">
        <v>414</v>
      </c>
      <c r="E1601" t="s">
        <v>172</v>
      </c>
      <c r="F1601" t="s">
        <v>415</v>
      </c>
      <c r="G1601" t="s">
        <v>224</v>
      </c>
      <c r="H1601">
        <v>3</v>
      </c>
      <c r="I1601">
        <v>16</v>
      </c>
      <c r="J1601">
        <v>2</v>
      </c>
      <c r="AQ1601">
        <v>21</v>
      </c>
      <c r="AR1601">
        <v>42.42</v>
      </c>
      <c r="AS1601">
        <v>890.82</v>
      </c>
    </row>
    <row r="1602" spans="1:45" hidden="1">
      <c r="A1602" t="s">
        <v>308</v>
      </c>
      <c r="B1602" t="s">
        <v>758</v>
      </c>
      <c r="C1602" t="s">
        <v>681</v>
      </c>
      <c r="D1602" t="s">
        <v>416</v>
      </c>
      <c r="E1602" t="s">
        <v>172</v>
      </c>
      <c r="F1602" t="s">
        <v>417</v>
      </c>
      <c r="G1602" t="s">
        <v>418</v>
      </c>
      <c r="H1602">
        <v>15001</v>
      </c>
      <c r="I1602">
        <v>470</v>
      </c>
      <c r="J1602">
        <v>4110</v>
      </c>
      <c r="AQ1602">
        <v>19581</v>
      </c>
      <c r="AR1602">
        <v>0.32319999999999999</v>
      </c>
      <c r="AS1602">
        <v>6328.5792000000001</v>
      </c>
    </row>
    <row r="1603" spans="1:45" hidden="1">
      <c r="A1603" t="s">
        <v>308</v>
      </c>
      <c r="B1603" t="s">
        <v>758</v>
      </c>
      <c r="C1603" t="s">
        <v>682</v>
      </c>
      <c r="D1603" t="s">
        <v>419</v>
      </c>
      <c r="E1603" t="s">
        <v>172</v>
      </c>
      <c r="F1603" t="s">
        <v>420</v>
      </c>
      <c r="G1603" t="s">
        <v>421</v>
      </c>
      <c r="H1603">
        <v>10</v>
      </c>
      <c r="I1603">
        <v>8</v>
      </c>
      <c r="J1603">
        <v>2</v>
      </c>
      <c r="AQ1603">
        <v>20</v>
      </c>
      <c r="AR1603">
        <v>42.42</v>
      </c>
      <c r="AS1603">
        <v>848.4</v>
      </c>
    </row>
    <row r="1604" spans="1:45" hidden="1">
      <c r="A1604" t="s">
        <v>308</v>
      </c>
      <c r="B1604" t="s">
        <v>758</v>
      </c>
      <c r="C1604" t="s">
        <v>683</v>
      </c>
      <c r="D1604" t="s">
        <v>422</v>
      </c>
      <c r="E1604" t="s">
        <v>172</v>
      </c>
      <c r="F1604" t="s">
        <v>423</v>
      </c>
      <c r="G1604" t="s">
        <v>407</v>
      </c>
      <c r="H1604">
        <v>0</v>
      </c>
      <c r="I1604">
        <v>0</v>
      </c>
      <c r="J1604">
        <v>0</v>
      </c>
      <c r="AQ1604">
        <v>0</v>
      </c>
      <c r="AR1604">
        <v>47.47</v>
      </c>
      <c r="AS1604">
        <v>0</v>
      </c>
    </row>
    <row r="1605" spans="1:45" hidden="1">
      <c r="A1605" t="s">
        <v>308</v>
      </c>
      <c r="B1605" t="s">
        <v>758</v>
      </c>
      <c r="C1605" t="s">
        <v>684</v>
      </c>
      <c r="D1605" t="s">
        <v>427</v>
      </c>
      <c r="E1605" t="s">
        <v>172</v>
      </c>
      <c r="F1605" t="s">
        <v>428</v>
      </c>
      <c r="G1605" t="s">
        <v>429</v>
      </c>
      <c r="H1605">
        <v>13</v>
      </c>
      <c r="I1605">
        <v>4</v>
      </c>
      <c r="J1605">
        <v>0</v>
      </c>
      <c r="AQ1605">
        <v>17</v>
      </c>
      <c r="AR1605">
        <v>636.29999999999995</v>
      </c>
      <c r="AS1605">
        <v>10817.1</v>
      </c>
    </row>
    <row r="1606" spans="1:45" hidden="1">
      <c r="A1606" t="s">
        <v>308</v>
      </c>
      <c r="B1606" t="s">
        <v>758</v>
      </c>
      <c r="C1606" t="s">
        <v>174</v>
      </c>
      <c r="D1606" t="s">
        <v>175</v>
      </c>
      <c r="E1606" t="s">
        <v>172</v>
      </c>
      <c r="F1606" t="s">
        <v>176</v>
      </c>
      <c r="G1606" t="s">
        <v>177</v>
      </c>
      <c r="H1606">
        <v>3</v>
      </c>
      <c r="I1606">
        <v>5</v>
      </c>
      <c r="J1606">
        <v>0</v>
      </c>
      <c r="AQ1606">
        <v>8</v>
      </c>
      <c r="AR1606">
        <v>424.2</v>
      </c>
      <c r="AS1606">
        <v>3393.6</v>
      </c>
    </row>
    <row r="1607" spans="1:45" hidden="1">
      <c r="A1607" t="s">
        <v>308</v>
      </c>
      <c r="B1607" t="s">
        <v>758</v>
      </c>
      <c r="C1607" t="s">
        <v>685</v>
      </c>
      <c r="D1607" t="s">
        <v>430</v>
      </c>
      <c r="E1607" t="s">
        <v>172</v>
      </c>
      <c r="F1607" t="s">
        <v>433</v>
      </c>
      <c r="G1607" t="s">
        <v>432</v>
      </c>
      <c r="H1607">
        <v>5</v>
      </c>
      <c r="I1607">
        <v>1</v>
      </c>
      <c r="J1607">
        <v>2</v>
      </c>
      <c r="AQ1607">
        <v>8</v>
      </c>
      <c r="AR1607">
        <v>1908.9</v>
      </c>
      <c r="AS1607">
        <v>15271.2</v>
      </c>
    </row>
    <row r="1608" spans="1:45" hidden="1">
      <c r="A1608" t="s">
        <v>308</v>
      </c>
      <c r="B1608" t="s">
        <v>758</v>
      </c>
      <c r="C1608" t="s">
        <v>686</v>
      </c>
      <c r="D1608" t="s">
        <v>430</v>
      </c>
      <c r="E1608" t="s">
        <v>172</v>
      </c>
      <c r="F1608" t="s">
        <v>431</v>
      </c>
      <c r="G1608" t="s">
        <v>432</v>
      </c>
      <c r="H1608">
        <v>0</v>
      </c>
      <c r="I1608">
        <v>0</v>
      </c>
      <c r="J1608">
        <v>0</v>
      </c>
      <c r="AQ1608">
        <v>0</v>
      </c>
      <c r="AR1608">
        <v>2121</v>
      </c>
      <c r="AS1608">
        <v>0</v>
      </c>
    </row>
    <row r="1609" spans="1:45" hidden="1">
      <c r="A1609" t="s">
        <v>308</v>
      </c>
      <c r="B1609" t="s">
        <v>758</v>
      </c>
      <c r="C1609" t="s">
        <v>687</v>
      </c>
      <c r="D1609" t="s">
        <v>430</v>
      </c>
      <c r="E1609" t="s">
        <v>172</v>
      </c>
      <c r="F1609" t="s">
        <v>438</v>
      </c>
      <c r="G1609" t="s">
        <v>432</v>
      </c>
      <c r="H1609">
        <v>0</v>
      </c>
      <c r="I1609">
        <v>1</v>
      </c>
      <c r="J1609">
        <v>0</v>
      </c>
      <c r="AQ1609">
        <v>1</v>
      </c>
      <c r="AR1609">
        <v>2439.15</v>
      </c>
      <c r="AS1609">
        <v>2439.15</v>
      </c>
    </row>
    <row r="1610" spans="1:45" hidden="1">
      <c r="A1610" t="s">
        <v>308</v>
      </c>
      <c r="B1610" t="s">
        <v>758</v>
      </c>
      <c r="C1610" t="s">
        <v>688</v>
      </c>
      <c r="D1610" t="s">
        <v>430</v>
      </c>
      <c r="E1610" t="s">
        <v>172</v>
      </c>
      <c r="F1610" t="s">
        <v>434</v>
      </c>
      <c r="G1610" t="s">
        <v>432</v>
      </c>
      <c r="H1610">
        <v>0</v>
      </c>
      <c r="I1610">
        <v>0</v>
      </c>
      <c r="J1610">
        <v>0</v>
      </c>
      <c r="AQ1610">
        <v>0</v>
      </c>
      <c r="AR1610">
        <v>2651.25</v>
      </c>
      <c r="AS1610">
        <v>0</v>
      </c>
    </row>
    <row r="1611" spans="1:45" hidden="1">
      <c r="A1611" t="s">
        <v>308</v>
      </c>
      <c r="B1611" t="s">
        <v>758</v>
      </c>
      <c r="C1611" t="s">
        <v>645</v>
      </c>
      <c r="D1611" t="s">
        <v>435</v>
      </c>
      <c r="E1611" t="s">
        <v>172</v>
      </c>
      <c r="F1611" t="s">
        <v>436</v>
      </c>
      <c r="G1611" t="s">
        <v>437</v>
      </c>
      <c r="H1611">
        <v>0</v>
      </c>
      <c r="I1611">
        <v>0</v>
      </c>
      <c r="J1611">
        <v>0</v>
      </c>
      <c r="AQ1611">
        <v>0</v>
      </c>
      <c r="AR1611">
        <v>0.28000000000000003</v>
      </c>
    </row>
    <row r="1612" spans="1:45" hidden="1">
      <c r="A1612" t="s">
        <v>308</v>
      </c>
      <c r="B1612" t="s">
        <v>758</v>
      </c>
      <c r="C1612" t="s">
        <v>689</v>
      </c>
      <c r="D1612" t="s">
        <v>439</v>
      </c>
      <c r="E1612" t="s">
        <v>172</v>
      </c>
      <c r="F1612" t="s">
        <v>690</v>
      </c>
      <c r="G1612" t="s">
        <v>441</v>
      </c>
      <c r="H1612">
        <v>11</v>
      </c>
      <c r="I1612">
        <v>3</v>
      </c>
      <c r="J1612">
        <v>0</v>
      </c>
      <c r="AQ1612">
        <v>14</v>
      </c>
      <c r="AR1612">
        <v>318.14999999999998</v>
      </c>
      <c r="AS1612">
        <v>4454.1000000000004</v>
      </c>
    </row>
    <row r="1613" spans="1:45" hidden="1">
      <c r="A1613" t="s">
        <v>308</v>
      </c>
      <c r="B1613" t="s">
        <v>758</v>
      </c>
      <c r="C1613" t="s">
        <v>691</v>
      </c>
      <c r="D1613" t="s">
        <v>439</v>
      </c>
      <c r="E1613" t="s">
        <v>172</v>
      </c>
      <c r="F1613" t="s">
        <v>442</v>
      </c>
      <c r="G1613" t="s">
        <v>441</v>
      </c>
      <c r="H1613">
        <v>11</v>
      </c>
      <c r="I1613">
        <v>8</v>
      </c>
      <c r="J1613">
        <v>2</v>
      </c>
      <c r="AQ1613">
        <v>21</v>
      </c>
      <c r="AR1613">
        <v>1272.5999999999999</v>
      </c>
      <c r="AS1613">
        <v>26724.6</v>
      </c>
    </row>
    <row r="1614" spans="1:45" hidden="1">
      <c r="A1614" t="s">
        <v>308</v>
      </c>
      <c r="B1614" t="s">
        <v>758</v>
      </c>
      <c r="C1614" t="s">
        <v>692</v>
      </c>
      <c r="D1614" t="s">
        <v>439</v>
      </c>
      <c r="E1614" t="s">
        <v>172</v>
      </c>
      <c r="F1614" t="s">
        <v>443</v>
      </c>
      <c r="G1614" t="s">
        <v>441</v>
      </c>
      <c r="H1614">
        <v>0</v>
      </c>
      <c r="I1614">
        <v>2</v>
      </c>
      <c r="J1614">
        <v>0</v>
      </c>
      <c r="AQ1614">
        <v>2</v>
      </c>
      <c r="AR1614">
        <v>1590.75</v>
      </c>
      <c r="AS1614">
        <v>3181.5</v>
      </c>
    </row>
    <row r="1615" spans="1:45" hidden="1">
      <c r="A1615" t="s">
        <v>308</v>
      </c>
      <c r="B1615" t="s">
        <v>758</v>
      </c>
      <c r="C1615" t="s">
        <v>693</v>
      </c>
      <c r="D1615" t="s">
        <v>439</v>
      </c>
      <c r="E1615" t="s">
        <v>172</v>
      </c>
      <c r="F1615" t="s">
        <v>440</v>
      </c>
      <c r="G1615" t="s">
        <v>441</v>
      </c>
      <c r="H1615">
        <v>1</v>
      </c>
      <c r="I1615">
        <v>0</v>
      </c>
      <c r="J1615">
        <v>0</v>
      </c>
      <c r="AQ1615">
        <v>1</v>
      </c>
      <c r="AR1615">
        <v>1590.75</v>
      </c>
      <c r="AS1615">
        <v>1590.75</v>
      </c>
    </row>
    <row r="1616" spans="1:45" hidden="1">
      <c r="A1616" t="s">
        <v>308</v>
      </c>
      <c r="B1616" t="s">
        <v>758</v>
      </c>
      <c r="C1616" t="s">
        <v>694</v>
      </c>
      <c r="D1616" t="s">
        <v>439</v>
      </c>
      <c r="E1616" t="s">
        <v>172</v>
      </c>
      <c r="F1616" t="s">
        <v>695</v>
      </c>
      <c r="G1616" t="s">
        <v>441</v>
      </c>
      <c r="H1616">
        <v>0</v>
      </c>
      <c r="I1616">
        <v>0</v>
      </c>
      <c r="J1616">
        <v>0</v>
      </c>
      <c r="AQ1616">
        <v>0</v>
      </c>
      <c r="AR1616">
        <v>1802.85</v>
      </c>
      <c r="AS1616">
        <v>0</v>
      </c>
    </row>
    <row r="1617" spans="1:45" hidden="1">
      <c r="A1617" t="s">
        <v>308</v>
      </c>
      <c r="B1617" t="s">
        <v>758</v>
      </c>
      <c r="C1617" t="s">
        <v>696</v>
      </c>
      <c r="D1617" t="s">
        <v>446</v>
      </c>
      <c r="E1617" t="s">
        <v>172</v>
      </c>
      <c r="F1617" t="s">
        <v>447</v>
      </c>
      <c r="G1617" t="s">
        <v>448</v>
      </c>
      <c r="H1617">
        <v>2</v>
      </c>
      <c r="I1617">
        <v>0</v>
      </c>
      <c r="J1617">
        <v>100</v>
      </c>
      <c r="AQ1617">
        <v>102</v>
      </c>
      <c r="AR1617">
        <v>10.605</v>
      </c>
      <c r="AS1617">
        <v>1081.71</v>
      </c>
    </row>
    <row r="1618" spans="1:45" hidden="1">
      <c r="A1618" t="s">
        <v>308</v>
      </c>
      <c r="B1618" t="s">
        <v>758</v>
      </c>
      <c r="C1618" t="s">
        <v>178</v>
      </c>
      <c r="D1618" t="s">
        <v>179</v>
      </c>
      <c r="E1618" t="s">
        <v>172</v>
      </c>
      <c r="F1618" t="s">
        <v>180</v>
      </c>
      <c r="G1618" t="s">
        <v>181</v>
      </c>
      <c r="H1618">
        <v>327</v>
      </c>
      <c r="I1618">
        <v>196</v>
      </c>
      <c r="J1618">
        <v>50</v>
      </c>
      <c r="AQ1618">
        <v>573</v>
      </c>
      <c r="AR1618">
        <v>106.05</v>
      </c>
      <c r="AS1618">
        <v>60766.65</v>
      </c>
    </row>
    <row r="1619" spans="1:45" hidden="1">
      <c r="A1619" t="s">
        <v>308</v>
      </c>
      <c r="B1619" t="s">
        <v>758</v>
      </c>
      <c r="C1619" t="s">
        <v>182</v>
      </c>
      <c r="D1619" t="s">
        <v>179</v>
      </c>
      <c r="E1619" t="s">
        <v>172</v>
      </c>
      <c r="F1619" t="s">
        <v>183</v>
      </c>
      <c r="G1619" t="s">
        <v>152</v>
      </c>
      <c r="H1619">
        <v>57046</v>
      </c>
      <c r="I1619">
        <v>47892</v>
      </c>
      <c r="J1619">
        <v>4110</v>
      </c>
      <c r="AQ1619">
        <v>109048</v>
      </c>
      <c r="AR1619">
        <v>0.1515</v>
      </c>
      <c r="AS1619">
        <v>16520.772000000001</v>
      </c>
    </row>
    <row r="1620" spans="1:45" hidden="1">
      <c r="A1620" t="s">
        <v>308</v>
      </c>
      <c r="B1620" t="s">
        <v>758</v>
      </c>
      <c r="C1620" t="s">
        <v>697</v>
      </c>
      <c r="D1620" t="s">
        <v>449</v>
      </c>
      <c r="E1620" t="s">
        <v>172</v>
      </c>
      <c r="F1620" t="s">
        <v>450</v>
      </c>
      <c r="G1620" t="s">
        <v>451</v>
      </c>
      <c r="H1620">
        <v>3</v>
      </c>
      <c r="I1620">
        <v>3</v>
      </c>
      <c r="J1620">
        <v>0</v>
      </c>
      <c r="AQ1620">
        <v>6</v>
      </c>
      <c r="AR1620">
        <v>1908.9</v>
      </c>
      <c r="AS1620">
        <v>11453.4</v>
      </c>
    </row>
    <row r="1621" spans="1:45" hidden="1">
      <c r="A1621" t="s">
        <v>308</v>
      </c>
      <c r="B1621" t="s">
        <v>758</v>
      </c>
      <c r="C1621" t="s">
        <v>698</v>
      </c>
      <c r="D1621" t="s">
        <v>424</v>
      </c>
      <c r="E1621" t="s">
        <v>172</v>
      </c>
      <c r="F1621" t="s">
        <v>425</v>
      </c>
      <c r="G1621" t="s">
        <v>426</v>
      </c>
      <c r="H1621">
        <v>32</v>
      </c>
      <c r="I1621">
        <v>7</v>
      </c>
      <c r="J1621">
        <v>30</v>
      </c>
      <c r="AQ1621">
        <v>69</v>
      </c>
      <c r="AR1621">
        <v>132.5625</v>
      </c>
      <c r="AS1621">
        <v>9146.8125</v>
      </c>
    </row>
    <row r="1622" spans="1:45" hidden="1">
      <c r="A1622" t="s">
        <v>308</v>
      </c>
      <c r="B1622" t="s">
        <v>758</v>
      </c>
      <c r="C1622" t="s">
        <v>699</v>
      </c>
      <c r="D1622" t="s">
        <v>287</v>
      </c>
      <c r="E1622" t="s">
        <v>172</v>
      </c>
      <c r="F1622" t="s">
        <v>452</v>
      </c>
      <c r="G1622" t="s">
        <v>453</v>
      </c>
      <c r="H1622">
        <v>0</v>
      </c>
      <c r="I1622">
        <v>0</v>
      </c>
      <c r="J1622">
        <v>0</v>
      </c>
      <c r="AQ1622">
        <v>0</v>
      </c>
      <c r="AR1622">
        <v>3181.5</v>
      </c>
      <c r="AS1622">
        <v>0</v>
      </c>
    </row>
    <row r="1623" spans="1:45" hidden="1">
      <c r="A1623" t="s">
        <v>308</v>
      </c>
      <c r="B1623" t="s">
        <v>758</v>
      </c>
      <c r="C1623" t="s">
        <v>700</v>
      </c>
      <c r="D1623" t="s">
        <v>287</v>
      </c>
      <c r="E1623" t="s">
        <v>172</v>
      </c>
      <c r="F1623" t="s">
        <v>454</v>
      </c>
      <c r="G1623" t="s">
        <v>455</v>
      </c>
      <c r="H1623">
        <v>3</v>
      </c>
      <c r="I1623">
        <v>1</v>
      </c>
      <c r="AQ1623">
        <v>4</v>
      </c>
      <c r="AR1623">
        <v>318150</v>
      </c>
      <c r="AS1623">
        <v>1272600</v>
      </c>
    </row>
    <row r="1624" spans="1:45" hidden="1">
      <c r="A1624" t="s">
        <v>308</v>
      </c>
      <c r="B1624" t="s">
        <v>758</v>
      </c>
      <c r="C1624" t="s">
        <v>701</v>
      </c>
      <c r="D1624" t="s">
        <v>287</v>
      </c>
      <c r="E1624" t="s">
        <v>172</v>
      </c>
      <c r="F1624" t="s">
        <v>456</v>
      </c>
      <c r="G1624" t="s">
        <v>457</v>
      </c>
      <c r="H1624">
        <v>0</v>
      </c>
      <c r="I1624">
        <v>1</v>
      </c>
      <c r="J1624">
        <v>0</v>
      </c>
      <c r="AQ1624">
        <v>1</v>
      </c>
      <c r="AR1624">
        <v>238612.5</v>
      </c>
      <c r="AS1624">
        <v>238612.5</v>
      </c>
    </row>
    <row r="1625" spans="1:45" hidden="1">
      <c r="A1625" t="s">
        <v>308</v>
      </c>
      <c r="B1625" t="s">
        <v>758</v>
      </c>
      <c r="C1625" t="s">
        <v>184</v>
      </c>
      <c r="D1625" t="s">
        <v>185</v>
      </c>
      <c r="E1625" t="s">
        <v>186</v>
      </c>
      <c r="F1625" t="s">
        <v>187</v>
      </c>
      <c r="G1625" t="s">
        <v>188</v>
      </c>
      <c r="H1625">
        <v>3</v>
      </c>
      <c r="I1625">
        <v>1</v>
      </c>
      <c r="J1625">
        <v>0</v>
      </c>
      <c r="AQ1625">
        <v>4</v>
      </c>
      <c r="AR1625">
        <v>2121</v>
      </c>
      <c r="AS1625">
        <v>8484</v>
      </c>
    </row>
    <row r="1626" spans="1:45" hidden="1">
      <c r="A1626" t="s">
        <v>308</v>
      </c>
      <c r="B1626" t="s">
        <v>758</v>
      </c>
      <c r="C1626" t="s">
        <v>189</v>
      </c>
      <c r="D1626" t="s">
        <v>190</v>
      </c>
      <c r="E1626" t="s">
        <v>186</v>
      </c>
      <c r="F1626" t="s">
        <v>191</v>
      </c>
      <c r="G1626" t="s">
        <v>192</v>
      </c>
      <c r="H1626">
        <v>5</v>
      </c>
      <c r="I1626">
        <v>4</v>
      </c>
      <c r="J1626">
        <v>1</v>
      </c>
      <c r="AQ1626">
        <v>10</v>
      </c>
      <c r="AR1626">
        <v>1060.5</v>
      </c>
      <c r="AS1626">
        <v>10605</v>
      </c>
    </row>
    <row r="1627" spans="1:45" hidden="1">
      <c r="A1627" t="s">
        <v>308</v>
      </c>
      <c r="B1627" t="s">
        <v>758</v>
      </c>
      <c r="C1627" t="s">
        <v>702</v>
      </c>
      <c r="D1627" t="s">
        <v>190</v>
      </c>
      <c r="E1627" t="s">
        <v>186</v>
      </c>
      <c r="F1627" t="s">
        <v>458</v>
      </c>
      <c r="G1627" t="s">
        <v>459</v>
      </c>
      <c r="H1627">
        <v>1</v>
      </c>
      <c r="I1627">
        <v>2</v>
      </c>
      <c r="J1627">
        <v>0</v>
      </c>
      <c r="AQ1627">
        <v>3</v>
      </c>
      <c r="AR1627">
        <v>1590.75</v>
      </c>
      <c r="AS1627">
        <v>4772.25</v>
      </c>
    </row>
    <row r="1628" spans="1:45" hidden="1">
      <c r="A1628" t="s">
        <v>308</v>
      </c>
      <c r="B1628" t="s">
        <v>758</v>
      </c>
      <c r="C1628" t="s">
        <v>193</v>
      </c>
      <c r="D1628" t="s">
        <v>194</v>
      </c>
      <c r="E1628" t="s">
        <v>186</v>
      </c>
      <c r="F1628" t="s">
        <v>195</v>
      </c>
      <c r="G1628" t="s">
        <v>152</v>
      </c>
      <c r="H1628">
        <v>64825</v>
      </c>
      <c r="I1628">
        <v>47892</v>
      </c>
      <c r="J1628">
        <v>25184</v>
      </c>
      <c r="AQ1628">
        <v>137901</v>
      </c>
      <c r="AR1628">
        <v>0.63629999999999998</v>
      </c>
      <c r="AS1628">
        <v>87746.406300000002</v>
      </c>
    </row>
    <row r="1629" spans="1:45" hidden="1">
      <c r="A1629" t="s">
        <v>308</v>
      </c>
      <c r="B1629" t="s">
        <v>758</v>
      </c>
      <c r="C1629" t="s">
        <v>197</v>
      </c>
      <c r="D1629" t="s">
        <v>198</v>
      </c>
      <c r="E1629" t="s">
        <v>186</v>
      </c>
      <c r="F1629" t="s">
        <v>199</v>
      </c>
      <c r="G1629" t="s">
        <v>200</v>
      </c>
      <c r="H1629">
        <v>1</v>
      </c>
      <c r="I1629">
        <v>2</v>
      </c>
      <c r="J1629">
        <v>9</v>
      </c>
      <c r="AQ1629">
        <v>12</v>
      </c>
      <c r="AR1629">
        <v>4984.3500000000004</v>
      </c>
      <c r="AS1629">
        <v>59812.2</v>
      </c>
    </row>
    <row r="1630" spans="1:45" hidden="1">
      <c r="A1630" t="s">
        <v>308</v>
      </c>
      <c r="B1630" t="s">
        <v>758</v>
      </c>
      <c r="C1630" t="s">
        <v>201</v>
      </c>
      <c r="D1630" t="s">
        <v>202</v>
      </c>
      <c r="E1630" t="s">
        <v>186</v>
      </c>
      <c r="F1630" t="s">
        <v>203</v>
      </c>
      <c r="G1630" t="s">
        <v>204</v>
      </c>
      <c r="H1630">
        <v>70</v>
      </c>
      <c r="I1630">
        <v>60</v>
      </c>
      <c r="J1630">
        <v>150</v>
      </c>
      <c r="AQ1630">
        <v>280</v>
      </c>
      <c r="AR1630">
        <v>31.815000000000001</v>
      </c>
      <c r="AS1630">
        <v>8908.2000000000007</v>
      </c>
    </row>
    <row r="1631" spans="1:45" hidden="1">
      <c r="A1631" t="s">
        <v>308</v>
      </c>
      <c r="B1631" t="s">
        <v>758</v>
      </c>
      <c r="C1631" t="s">
        <v>703</v>
      </c>
      <c r="D1631" t="s">
        <v>460</v>
      </c>
      <c r="E1631" t="s">
        <v>186</v>
      </c>
      <c r="F1631" t="s">
        <v>461</v>
      </c>
      <c r="G1631" t="s">
        <v>462</v>
      </c>
      <c r="H1631">
        <v>1</v>
      </c>
      <c r="I1631">
        <v>1</v>
      </c>
      <c r="J1631">
        <v>0</v>
      </c>
      <c r="AQ1631">
        <v>2</v>
      </c>
      <c r="AR1631">
        <v>15907.5</v>
      </c>
      <c r="AS1631">
        <v>31815</v>
      </c>
    </row>
    <row r="1632" spans="1:45" hidden="1">
      <c r="A1632" t="s">
        <v>308</v>
      </c>
      <c r="B1632" t="s">
        <v>758</v>
      </c>
      <c r="C1632" t="s">
        <v>704</v>
      </c>
      <c r="D1632" t="s">
        <v>468</v>
      </c>
      <c r="E1632" t="s">
        <v>186</v>
      </c>
      <c r="F1632" t="s">
        <v>469</v>
      </c>
      <c r="G1632" t="s">
        <v>470</v>
      </c>
      <c r="H1632">
        <v>0</v>
      </c>
      <c r="I1632">
        <v>3</v>
      </c>
      <c r="J1632">
        <v>0</v>
      </c>
      <c r="AQ1632">
        <v>3</v>
      </c>
      <c r="AR1632">
        <v>159.07499999999999</v>
      </c>
      <c r="AS1632">
        <v>477.22500000000002</v>
      </c>
    </row>
    <row r="1633" spans="1:45" hidden="1">
      <c r="A1633" t="s">
        <v>308</v>
      </c>
      <c r="B1633" t="s">
        <v>758</v>
      </c>
      <c r="C1633" t="s">
        <v>705</v>
      </c>
      <c r="D1633" t="s">
        <v>463</v>
      </c>
      <c r="E1633" t="s">
        <v>186</v>
      </c>
      <c r="F1633" t="s">
        <v>466</v>
      </c>
      <c r="G1633" t="s">
        <v>467</v>
      </c>
      <c r="H1633">
        <v>0</v>
      </c>
      <c r="I1633">
        <v>0</v>
      </c>
      <c r="J1633">
        <v>0</v>
      </c>
      <c r="AQ1633">
        <v>0</v>
      </c>
      <c r="AR1633">
        <v>509.04</v>
      </c>
      <c r="AS1633">
        <v>0</v>
      </c>
    </row>
    <row r="1634" spans="1:45" hidden="1">
      <c r="A1634" t="s">
        <v>308</v>
      </c>
      <c r="B1634" t="s">
        <v>758</v>
      </c>
      <c r="C1634" t="s">
        <v>706</v>
      </c>
      <c r="D1634" t="s">
        <v>463</v>
      </c>
      <c r="E1634" t="s">
        <v>186</v>
      </c>
      <c r="F1634" t="s">
        <v>464</v>
      </c>
      <c r="G1634" t="s">
        <v>465</v>
      </c>
      <c r="H1634">
        <v>0</v>
      </c>
      <c r="I1634">
        <v>0</v>
      </c>
      <c r="J1634">
        <v>0</v>
      </c>
      <c r="AQ1634">
        <v>0</v>
      </c>
      <c r="AR1634">
        <v>1060.5</v>
      </c>
      <c r="AS1634">
        <v>0</v>
      </c>
    </row>
    <row r="1635" spans="1:45" hidden="1">
      <c r="A1635" t="s">
        <v>308</v>
      </c>
      <c r="B1635" t="s">
        <v>758</v>
      </c>
      <c r="C1635" t="s">
        <v>707</v>
      </c>
      <c r="D1635" t="s">
        <v>471</v>
      </c>
      <c r="E1635" t="s">
        <v>186</v>
      </c>
      <c r="F1635" t="s">
        <v>472</v>
      </c>
      <c r="G1635" t="s">
        <v>473</v>
      </c>
      <c r="H1635">
        <v>0</v>
      </c>
      <c r="I1635">
        <v>0</v>
      </c>
      <c r="J1635">
        <v>0</v>
      </c>
      <c r="AQ1635">
        <v>0</v>
      </c>
      <c r="AR1635">
        <v>15377.25</v>
      </c>
      <c r="AS1635">
        <v>0</v>
      </c>
    </row>
    <row r="1636" spans="1:45" hidden="1">
      <c r="A1636" t="s">
        <v>308</v>
      </c>
      <c r="B1636" t="s">
        <v>758</v>
      </c>
      <c r="C1636" t="s">
        <v>205</v>
      </c>
      <c r="D1636" t="s">
        <v>206</v>
      </c>
      <c r="E1636" t="s">
        <v>207</v>
      </c>
      <c r="F1636" t="s">
        <v>208</v>
      </c>
      <c r="G1636" t="s">
        <v>209</v>
      </c>
      <c r="H1636">
        <v>52889</v>
      </c>
      <c r="I1636">
        <v>47892</v>
      </c>
      <c r="J1636">
        <v>4110</v>
      </c>
      <c r="AQ1636">
        <v>104891</v>
      </c>
      <c r="AR1636">
        <v>0.16159999999999999</v>
      </c>
      <c r="AS1636">
        <v>16950.385600000001</v>
      </c>
    </row>
    <row r="1637" spans="1:45" hidden="1">
      <c r="A1637" t="s">
        <v>308</v>
      </c>
      <c r="B1637" t="s">
        <v>758</v>
      </c>
      <c r="C1637" t="s">
        <v>210</v>
      </c>
      <c r="D1637" t="s">
        <v>211</v>
      </c>
      <c r="E1637" t="s">
        <v>207</v>
      </c>
      <c r="F1637" t="s">
        <v>212</v>
      </c>
      <c r="G1637" t="s">
        <v>209</v>
      </c>
      <c r="H1637">
        <v>52889</v>
      </c>
      <c r="I1637">
        <v>44158</v>
      </c>
      <c r="J1637">
        <v>25184</v>
      </c>
      <c r="AQ1637">
        <v>122231</v>
      </c>
      <c r="AR1637">
        <v>0.63629999999999998</v>
      </c>
      <c r="AS1637">
        <v>77775.585300000006</v>
      </c>
    </row>
    <row r="1638" spans="1:45" hidden="1">
      <c r="A1638" t="s">
        <v>308</v>
      </c>
      <c r="B1638" t="s">
        <v>758</v>
      </c>
      <c r="C1638" t="s">
        <v>213</v>
      </c>
      <c r="D1638" t="s">
        <v>214</v>
      </c>
      <c r="E1638" t="s">
        <v>207</v>
      </c>
      <c r="F1638" t="s">
        <v>215</v>
      </c>
      <c r="G1638" t="s">
        <v>152</v>
      </c>
      <c r="H1638">
        <v>52889</v>
      </c>
      <c r="I1638">
        <v>12566</v>
      </c>
      <c r="J1638">
        <v>25184</v>
      </c>
      <c r="AQ1638">
        <v>90639</v>
      </c>
      <c r="AR1638">
        <v>0.32319999999999999</v>
      </c>
      <c r="AS1638">
        <v>29294.524799999999</v>
      </c>
    </row>
    <row r="1639" spans="1:45" hidden="1">
      <c r="A1639" t="s">
        <v>308</v>
      </c>
      <c r="B1639" t="s">
        <v>758</v>
      </c>
      <c r="C1639" t="s">
        <v>255</v>
      </c>
      <c r="D1639" t="s">
        <v>256</v>
      </c>
      <c r="E1639" t="s">
        <v>207</v>
      </c>
      <c r="F1639" t="s">
        <v>257</v>
      </c>
      <c r="G1639" t="s">
        <v>258</v>
      </c>
      <c r="H1639">
        <v>734</v>
      </c>
      <c r="I1639">
        <v>350</v>
      </c>
      <c r="J1639">
        <v>210</v>
      </c>
      <c r="AQ1639">
        <v>1294</v>
      </c>
      <c r="AR1639">
        <v>31.815000000000001</v>
      </c>
      <c r="AS1639">
        <v>41168.61</v>
      </c>
    </row>
    <row r="1640" spans="1:45" hidden="1">
      <c r="A1640" t="s">
        <v>308</v>
      </c>
      <c r="B1640" t="s">
        <v>758</v>
      </c>
      <c r="C1640" t="s">
        <v>217</v>
      </c>
      <c r="D1640" t="s">
        <v>218</v>
      </c>
      <c r="E1640" t="s">
        <v>207</v>
      </c>
      <c r="F1640" t="s">
        <v>219</v>
      </c>
      <c r="G1640" t="s">
        <v>220</v>
      </c>
      <c r="H1640">
        <v>439</v>
      </c>
      <c r="I1640">
        <v>322</v>
      </c>
      <c r="J1640">
        <v>290</v>
      </c>
      <c r="AQ1640">
        <v>1051</v>
      </c>
      <c r="AR1640">
        <v>9.5950000000000006</v>
      </c>
      <c r="AS1640">
        <v>10084.344999999999</v>
      </c>
    </row>
    <row r="1641" spans="1:45" hidden="1">
      <c r="A1641" t="s">
        <v>308</v>
      </c>
      <c r="B1641" t="s">
        <v>758</v>
      </c>
      <c r="C1641" t="s">
        <v>708</v>
      </c>
      <c r="D1641" t="s">
        <v>474</v>
      </c>
      <c r="E1641" t="s">
        <v>207</v>
      </c>
      <c r="F1641" t="s">
        <v>475</v>
      </c>
      <c r="G1641" t="s">
        <v>476</v>
      </c>
      <c r="H1641">
        <v>137</v>
      </c>
      <c r="I1641">
        <v>14</v>
      </c>
      <c r="J1641">
        <v>0</v>
      </c>
      <c r="AQ1641">
        <v>151</v>
      </c>
      <c r="AR1641">
        <v>79.790000000000006</v>
      </c>
      <c r="AS1641">
        <v>12048.29</v>
      </c>
    </row>
    <row r="1642" spans="1:45" hidden="1">
      <c r="A1642" t="s">
        <v>308</v>
      </c>
      <c r="B1642" t="s">
        <v>758</v>
      </c>
      <c r="C1642" t="s">
        <v>709</v>
      </c>
      <c r="D1642" t="s">
        <v>477</v>
      </c>
      <c r="E1642" t="s">
        <v>207</v>
      </c>
      <c r="F1642" t="s">
        <v>478</v>
      </c>
      <c r="G1642" t="s">
        <v>479</v>
      </c>
      <c r="H1642">
        <v>10</v>
      </c>
      <c r="I1642">
        <v>23</v>
      </c>
      <c r="J1642">
        <v>2</v>
      </c>
      <c r="AQ1642">
        <v>35</v>
      </c>
      <c r="AR1642">
        <v>2.121</v>
      </c>
      <c r="AS1642">
        <v>74.234999999999999</v>
      </c>
    </row>
    <row r="1643" spans="1:45" hidden="1">
      <c r="A1643" t="s">
        <v>308</v>
      </c>
      <c r="B1643" t="s">
        <v>758</v>
      </c>
      <c r="C1643" t="s">
        <v>221</v>
      </c>
      <c r="D1643" t="s">
        <v>222</v>
      </c>
      <c r="E1643" t="s">
        <v>207</v>
      </c>
      <c r="F1643" t="s">
        <v>223</v>
      </c>
      <c r="G1643" t="s">
        <v>224</v>
      </c>
      <c r="H1643">
        <v>2</v>
      </c>
      <c r="I1643">
        <v>1</v>
      </c>
      <c r="J1643">
        <v>0</v>
      </c>
      <c r="AQ1643">
        <v>3</v>
      </c>
      <c r="AR1643">
        <v>2651.25</v>
      </c>
      <c r="AS1643">
        <v>7953.75</v>
      </c>
    </row>
    <row r="1644" spans="1:45" hidden="1">
      <c r="A1644" t="s">
        <v>308</v>
      </c>
      <c r="B1644" t="s">
        <v>758</v>
      </c>
      <c r="C1644" t="s">
        <v>225</v>
      </c>
      <c r="D1644" t="s">
        <v>226</v>
      </c>
      <c r="E1644" t="s">
        <v>207</v>
      </c>
      <c r="F1644" t="s">
        <v>227</v>
      </c>
      <c r="G1644" t="s">
        <v>228</v>
      </c>
      <c r="H1644">
        <v>204</v>
      </c>
      <c r="I1644">
        <v>107</v>
      </c>
      <c r="J1644">
        <v>55</v>
      </c>
      <c r="AQ1644">
        <v>366</v>
      </c>
      <c r="AR1644">
        <v>21.21</v>
      </c>
      <c r="AS1644">
        <v>7762.86</v>
      </c>
    </row>
    <row r="1645" spans="1:45" hidden="1">
      <c r="A1645" t="s">
        <v>308</v>
      </c>
      <c r="B1645" t="s">
        <v>758</v>
      </c>
      <c r="C1645" t="s">
        <v>710</v>
      </c>
      <c r="D1645" t="s">
        <v>480</v>
      </c>
      <c r="E1645" t="s">
        <v>207</v>
      </c>
      <c r="F1645" t="s">
        <v>481</v>
      </c>
      <c r="G1645" t="s">
        <v>482</v>
      </c>
      <c r="H1645">
        <v>1</v>
      </c>
      <c r="I1645">
        <v>0</v>
      </c>
      <c r="J1645">
        <v>0</v>
      </c>
      <c r="AQ1645">
        <v>1</v>
      </c>
      <c r="AR1645">
        <v>1272.5999999999999</v>
      </c>
      <c r="AS1645">
        <v>1272.5999999999999</v>
      </c>
    </row>
    <row r="1646" spans="1:45" hidden="1">
      <c r="A1646" t="s">
        <v>308</v>
      </c>
      <c r="B1646" t="s">
        <v>758</v>
      </c>
      <c r="C1646" t="s">
        <v>711</v>
      </c>
      <c r="D1646" t="s">
        <v>488</v>
      </c>
      <c r="E1646" t="s">
        <v>207</v>
      </c>
      <c r="F1646" t="s">
        <v>489</v>
      </c>
      <c r="G1646" t="s">
        <v>490</v>
      </c>
      <c r="H1646">
        <v>7075</v>
      </c>
      <c r="I1646">
        <v>0</v>
      </c>
      <c r="J1646">
        <v>0</v>
      </c>
      <c r="AQ1646">
        <v>7075</v>
      </c>
      <c r="AR1646">
        <v>0.5353</v>
      </c>
      <c r="AS1646">
        <v>3787.2474999999999</v>
      </c>
    </row>
    <row r="1647" spans="1:45" hidden="1">
      <c r="A1647" t="s">
        <v>308</v>
      </c>
      <c r="B1647" t="s">
        <v>758</v>
      </c>
      <c r="C1647" t="s">
        <v>712</v>
      </c>
      <c r="D1647" t="s">
        <v>483</v>
      </c>
      <c r="E1647" t="s">
        <v>207</v>
      </c>
      <c r="F1647" t="s">
        <v>484</v>
      </c>
      <c r="G1647" t="s">
        <v>392</v>
      </c>
      <c r="H1647">
        <v>0</v>
      </c>
      <c r="I1647">
        <v>0</v>
      </c>
      <c r="J1647">
        <v>0</v>
      </c>
      <c r="AQ1647">
        <v>0</v>
      </c>
      <c r="AR1647">
        <v>2121</v>
      </c>
      <c r="AS1647">
        <v>0</v>
      </c>
    </row>
    <row r="1648" spans="1:45" hidden="1">
      <c r="A1648" t="s">
        <v>308</v>
      </c>
      <c r="B1648" t="s">
        <v>758</v>
      </c>
      <c r="C1648" t="s">
        <v>713</v>
      </c>
      <c r="D1648" t="s">
        <v>485</v>
      </c>
      <c r="E1648" t="s">
        <v>207</v>
      </c>
      <c r="F1648" t="s">
        <v>486</v>
      </c>
      <c r="G1648" t="s">
        <v>487</v>
      </c>
      <c r="H1648">
        <v>0</v>
      </c>
      <c r="I1648">
        <v>0</v>
      </c>
      <c r="J1648">
        <v>0</v>
      </c>
      <c r="AQ1648">
        <v>0</v>
      </c>
      <c r="AR1648">
        <v>265.125</v>
      </c>
      <c r="AS1648">
        <v>0</v>
      </c>
    </row>
    <row r="1649" spans="1:45" hidden="1">
      <c r="A1649" t="s">
        <v>308</v>
      </c>
      <c r="B1649" t="s">
        <v>758</v>
      </c>
      <c r="C1649" t="s">
        <v>229</v>
      </c>
      <c r="D1649" t="s">
        <v>230</v>
      </c>
      <c r="E1649" t="s">
        <v>231</v>
      </c>
      <c r="F1649" t="s">
        <v>232</v>
      </c>
      <c r="G1649" t="s">
        <v>233</v>
      </c>
      <c r="H1649">
        <v>6</v>
      </c>
      <c r="I1649">
        <v>6</v>
      </c>
      <c r="J1649">
        <v>9</v>
      </c>
      <c r="AQ1649">
        <v>21</v>
      </c>
      <c r="AR1649">
        <v>1484.7</v>
      </c>
      <c r="AS1649">
        <v>31178.7</v>
      </c>
    </row>
    <row r="1650" spans="1:45" hidden="1">
      <c r="A1650" t="s">
        <v>308</v>
      </c>
      <c r="B1650" t="s">
        <v>758</v>
      </c>
      <c r="C1650" t="s">
        <v>234</v>
      </c>
      <c r="D1650" t="s">
        <v>230</v>
      </c>
      <c r="E1650" t="s">
        <v>231</v>
      </c>
      <c r="F1650" t="s">
        <v>285</v>
      </c>
      <c r="G1650" t="s">
        <v>233</v>
      </c>
      <c r="H1650">
        <v>18</v>
      </c>
      <c r="I1650">
        <v>14</v>
      </c>
      <c r="J1650">
        <v>0</v>
      </c>
      <c r="AQ1650">
        <v>32</v>
      </c>
      <c r="AR1650">
        <v>1696.8</v>
      </c>
      <c r="AS1650">
        <v>54297.599999999999</v>
      </c>
    </row>
    <row r="1651" spans="1:45" hidden="1">
      <c r="A1651" t="s">
        <v>308</v>
      </c>
      <c r="B1651" t="s">
        <v>758</v>
      </c>
      <c r="C1651" t="s">
        <v>714</v>
      </c>
      <c r="D1651" t="s">
        <v>230</v>
      </c>
      <c r="E1651" t="s">
        <v>231</v>
      </c>
      <c r="F1651" t="s">
        <v>491</v>
      </c>
      <c r="G1651" t="s">
        <v>233</v>
      </c>
      <c r="H1651">
        <v>1</v>
      </c>
      <c r="I1651">
        <v>1</v>
      </c>
      <c r="J1651">
        <v>0</v>
      </c>
      <c r="AQ1651">
        <v>2</v>
      </c>
      <c r="AR1651">
        <v>1908.9</v>
      </c>
      <c r="AS1651">
        <v>3817.8</v>
      </c>
    </row>
    <row r="1652" spans="1:45" hidden="1">
      <c r="A1652" t="s">
        <v>308</v>
      </c>
      <c r="B1652" t="s">
        <v>758</v>
      </c>
      <c r="C1652" t="s">
        <v>236</v>
      </c>
      <c r="D1652" t="s">
        <v>237</v>
      </c>
      <c r="E1652" t="s">
        <v>231</v>
      </c>
      <c r="F1652" t="s">
        <v>238</v>
      </c>
      <c r="G1652" t="s">
        <v>239</v>
      </c>
      <c r="H1652">
        <v>0</v>
      </c>
      <c r="I1652">
        <v>1</v>
      </c>
      <c r="J1652">
        <v>4</v>
      </c>
      <c r="AQ1652">
        <v>5</v>
      </c>
      <c r="AR1652">
        <v>265.125</v>
      </c>
      <c r="AS1652">
        <v>1325.625</v>
      </c>
    </row>
    <row r="1653" spans="1:45" hidden="1">
      <c r="A1653" t="s">
        <v>308</v>
      </c>
      <c r="B1653" t="s">
        <v>758</v>
      </c>
      <c r="C1653" t="s">
        <v>715</v>
      </c>
      <c r="D1653" t="s">
        <v>492</v>
      </c>
      <c r="E1653" t="s">
        <v>231</v>
      </c>
      <c r="F1653" t="s">
        <v>493</v>
      </c>
      <c r="G1653" t="s">
        <v>494</v>
      </c>
      <c r="H1653">
        <v>0</v>
      </c>
      <c r="I1653">
        <v>0</v>
      </c>
      <c r="J1653">
        <v>0</v>
      </c>
      <c r="AQ1653">
        <v>0</v>
      </c>
      <c r="AR1653">
        <v>742.35</v>
      </c>
      <c r="AS1653">
        <v>0</v>
      </c>
    </row>
    <row r="1654" spans="1:45" hidden="1">
      <c r="A1654" t="s">
        <v>308</v>
      </c>
      <c r="B1654" t="s">
        <v>758</v>
      </c>
      <c r="C1654" t="s">
        <v>716</v>
      </c>
      <c r="D1654" t="s">
        <v>495</v>
      </c>
      <c r="E1654" t="s">
        <v>231</v>
      </c>
      <c r="F1654" t="s">
        <v>496</v>
      </c>
      <c r="G1654" t="s">
        <v>497</v>
      </c>
      <c r="H1654">
        <v>0</v>
      </c>
      <c r="I1654">
        <v>0</v>
      </c>
      <c r="J1654">
        <v>1</v>
      </c>
      <c r="AQ1654">
        <v>1</v>
      </c>
      <c r="AR1654">
        <v>848.4</v>
      </c>
      <c r="AS1654">
        <v>848.4</v>
      </c>
    </row>
    <row r="1655" spans="1:45" hidden="1">
      <c r="A1655" t="s">
        <v>308</v>
      </c>
      <c r="B1655" t="s">
        <v>758</v>
      </c>
      <c r="C1655" t="s">
        <v>717</v>
      </c>
      <c r="D1655" t="s">
        <v>498</v>
      </c>
      <c r="E1655" t="s">
        <v>242</v>
      </c>
      <c r="F1655" t="s">
        <v>499</v>
      </c>
      <c r="G1655" t="s">
        <v>500</v>
      </c>
      <c r="H1655">
        <v>64825</v>
      </c>
      <c r="I1655">
        <v>47834</v>
      </c>
      <c r="J1655">
        <v>25184</v>
      </c>
      <c r="AQ1655">
        <v>137843</v>
      </c>
      <c r="AR1655">
        <v>1.4341999999999999</v>
      </c>
      <c r="AS1655">
        <v>197694.43059999999</v>
      </c>
    </row>
    <row r="1656" spans="1:45" hidden="1">
      <c r="A1656" t="s">
        <v>308</v>
      </c>
      <c r="B1656" t="s">
        <v>758</v>
      </c>
      <c r="C1656" t="s">
        <v>718</v>
      </c>
      <c r="D1656" t="s">
        <v>504</v>
      </c>
      <c r="E1656" t="s">
        <v>242</v>
      </c>
      <c r="F1656" t="s">
        <v>505</v>
      </c>
      <c r="G1656" t="s">
        <v>506</v>
      </c>
      <c r="H1656">
        <v>33560</v>
      </c>
      <c r="I1656">
        <v>4373</v>
      </c>
      <c r="J1656">
        <v>1000</v>
      </c>
      <c r="AQ1656">
        <v>38933</v>
      </c>
      <c r="AR1656">
        <v>0.84840000000000004</v>
      </c>
      <c r="AS1656">
        <v>33030.7572</v>
      </c>
    </row>
    <row r="1657" spans="1:45" hidden="1">
      <c r="A1657" t="s">
        <v>308</v>
      </c>
      <c r="B1657" t="s">
        <v>758</v>
      </c>
      <c r="C1657" t="s">
        <v>719</v>
      </c>
      <c r="D1657" t="s">
        <v>501</v>
      </c>
      <c r="E1657" t="s">
        <v>242</v>
      </c>
      <c r="F1657" t="s">
        <v>502</v>
      </c>
      <c r="G1657" t="s">
        <v>503</v>
      </c>
      <c r="H1657">
        <v>1</v>
      </c>
      <c r="I1657">
        <v>7</v>
      </c>
      <c r="J1657">
        <v>3</v>
      </c>
      <c r="AQ1657">
        <v>11</v>
      </c>
      <c r="AR1657">
        <v>1272.5999999999999</v>
      </c>
      <c r="AS1657">
        <v>13998.6</v>
      </c>
    </row>
    <row r="1658" spans="1:45" hidden="1">
      <c r="A1658" t="s">
        <v>308</v>
      </c>
      <c r="B1658" t="s">
        <v>758</v>
      </c>
      <c r="C1658" t="s">
        <v>720</v>
      </c>
      <c r="D1658" t="s">
        <v>518</v>
      </c>
      <c r="E1658" t="s">
        <v>242</v>
      </c>
      <c r="F1658" t="s">
        <v>519</v>
      </c>
      <c r="G1658" t="s">
        <v>517</v>
      </c>
      <c r="H1658">
        <v>0</v>
      </c>
      <c r="I1658">
        <v>0</v>
      </c>
      <c r="J1658">
        <v>0</v>
      </c>
      <c r="AQ1658">
        <v>0</v>
      </c>
      <c r="AR1658">
        <v>3181.5</v>
      </c>
      <c r="AS1658">
        <v>0</v>
      </c>
    </row>
    <row r="1659" spans="1:45" hidden="1">
      <c r="A1659" t="s">
        <v>308</v>
      </c>
      <c r="B1659" t="s">
        <v>758</v>
      </c>
      <c r="C1659" t="s">
        <v>721</v>
      </c>
      <c r="D1659" t="s">
        <v>520</v>
      </c>
      <c r="E1659" t="s">
        <v>242</v>
      </c>
      <c r="F1659" t="s">
        <v>521</v>
      </c>
      <c r="G1659" t="s">
        <v>517</v>
      </c>
      <c r="H1659">
        <v>0</v>
      </c>
      <c r="I1659">
        <v>0</v>
      </c>
      <c r="J1659">
        <v>0</v>
      </c>
      <c r="AQ1659">
        <v>0</v>
      </c>
      <c r="AR1659">
        <v>2651.25</v>
      </c>
      <c r="AS1659">
        <v>0</v>
      </c>
    </row>
    <row r="1660" spans="1:45" hidden="1">
      <c r="A1660" t="s">
        <v>308</v>
      </c>
      <c r="B1660" t="s">
        <v>758</v>
      </c>
      <c r="C1660" t="s">
        <v>240</v>
      </c>
      <c r="D1660" t="s">
        <v>241</v>
      </c>
      <c r="E1660" t="s">
        <v>242</v>
      </c>
      <c r="F1660" t="s">
        <v>243</v>
      </c>
      <c r="G1660" t="s">
        <v>244</v>
      </c>
      <c r="H1660">
        <v>2</v>
      </c>
      <c r="I1660">
        <v>12</v>
      </c>
      <c r="J1660">
        <v>5</v>
      </c>
      <c r="AQ1660">
        <v>19</v>
      </c>
      <c r="AR1660">
        <v>318.14999999999998</v>
      </c>
      <c r="AS1660">
        <v>6044.85</v>
      </c>
    </row>
    <row r="1661" spans="1:45" hidden="1">
      <c r="A1661" t="s">
        <v>308</v>
      </c>
      <c r="B1661" t="s">
        <v>758</v>
      </c>
      <c r="C1661" t="s">
        <v>245</v>
      </c>
      <c r="D1661" t="s">
        <v>246</v>
      </c>
      <c r="E1661" t="s">
        <v>242</v>
      </c>
      <c r="F1661" t="s">
        <v>247</v>
      </c>
      <c r="G1661" t="s">
        <v>248</v>
      </c>
      <c r="H1661">
        <v>11</v>
      </c>
      <c r="I1661">
        <v>5</v>
      </c>
      <c r="J1661">
        <v>5</v>
      </c>
      <c r="AQ1661">
        <v>21</v>
      </c>
      <c r="AR1661">
        <v>265.125</v>
      </c>
      <c r="AS1661">
        <v>5567.625</v>
      </c>
    </row>
    <row r="1662" spans="1:45" hidden="1">
      <c r="A1662" t="s">
        <v>308</v>
      </c>
      <c r="B1662" t="s">
        <v>758</v>
      </c>
      <c r="C1662" t="s">
        <v>259</v>
      </c>
      <c r="D1662" t="s">
        <v>260</v>
      </c>
      <c r="E1662" t="s">
        <v>242</v>
      </c>
      <c r="F1662" t="s">
        <v>261</v>
      </c>
      <c r="G1662" t="s">
        <v>262</v>
      </c>
      <c r="H1662">
        <v>90</v>
      </c>
      <c r="I1662">
        <v>40</v>
      </c>
      <c r="J1662">
        <v>24</v>
      </c>
      <c r="AQ1662">
        <v>154</v>
      </c>
      <c r="AR1662">
        <v>318.14999999999998</v>
      </c>
      <c r="AS1662">
        <v>48995.1</v>
      </c>
    </row>
    <row r="1663" spans="1:45" hidden="1">
      <c r="A1663" t="s">
        <v>308</v>
      </c>
      <c r="B1663" t="s">
        <v>758</v>
      </c>
      <c r="C1663" t="s">
        <v>722</v>
      </c>
      <c r="D1663" t="s">
        <v>507</v>
      </c>
      <c r="E1663" t="s">
        <v>242</v>
      </c>
      <c r="F1663" t="s">
        <v>508</v>
      </c>
      <c r="G1663" t="s">
        <v>509</v>
      </c>
      <c r="H1663">
        <v>0</v>
      </c>
      <c r="I1663">
        <v>0</v>
      </c>
      <c r="J1663">
        <v>0</v>
      </c>
      <c r="AQ1663">
        <v>0</v>
      </c>
      <c r="AR1663">
        <v>2121</v>
      </c>
      <c r="AS1663">
        <v>0</v>
      </c>
    </row>
    <row r="1664" spans="1:45" hidden="1">
      <c r="A1664" t="s">
        <v>308</v>
      </c>
      <c r="B1664" t="s">
        <v>758</v>
      </c>
      <c r="C1664" t="s">
        <v>723</v>
      </c>
      <c r="D1664" t="s">
        <v>510</v>
      </c>
      <c r="E1664" t="s">
        <v>242</v>
      </c>
      <c r="F1664" t="s">
        <v>511</v>
      </c>
      <c r="G1664" t="s">
        <v>512</v>
      </c>
      <c r="H1664">
        <v>1</v>
      </c>
      <c r="I1664">
        <v>1</v>
      </c>
      <c r="J1664">
        <v>10</v>
      </c>
      <c r="AQ1664">
        <v>12</v>
      </c>
      <c r="AR1664">
        <v>212.1</v>
      </c>
      <c r="AS1664">
        <v>2545.1999999999998</v>
      </c>
    </row>
    <row r="1665" spans="1:45" hidden="1">
      <c r="A1665" t="s">
        <v>308</v>
      </c>
      <c r="B1665" t="s">
        <v>758</v>
      </c>
      <c r="C1665" t="s">
        <v>724</v>
      </c>
      <c r="D1665" t="s">
        <v>526</v>
      </c>
      <c r="E1665" t="s">
        <v>242</v>
      </c>
      <c r="F1665" t="s">
        <v>527</v>
      </c>
      <c r="G1665" t="s">
        <v>528</v>
      </c>
      <c r="H1665">
        <v>43550</v>
      </c>
      <c r="I1665">
        <v>1510</v>
      </c>
      <c r="J1665">
        <v>0</v>
      </c>
      <c r="AQ1665">
        <v>45060</v>
      </c>
      <c r="AR1665">
        <v>0.42420000000000002</v>
      </c>
      <c r="AS1665">
        <v>19114.452000000001</v>
      </c>
    </row>
    <row r="1666" spans="1:45" hidden="1">
      <c r="A1666" t="s">
        <v>308</v>
      </c>
      <c r="B1666" t="s">
        <v>758</v>
      </c>
      <c r="C1666" t="s">
        <v>725</v>
      </c>
      <c r="D1666" t="s">
        <v>529</v>
      </c>
      <c r="E1666" t="s">
        <v>242</v>
      </c>
      <c r="F1666" t="s">
        <v>530</v>
      </c>
      <c r="G1666" t="s">
        <v>531</v>
      </c>
      <c r="H1666">
        <v>1</v>
      </c>
      <c r="I1666">
        <v>1</v>
      </c>
      <c r="J1666">
        <v>0</v>
      </c>
      <c r="AQ1666">
        <v>2</v>
      </c>
      <c r="AR1666">
        <v>212.1</v>
      </c>
      <c r="AS1666">
        <v>424.2</v>
      </c>
    </row>
    <row r="1667" spans="1:45" hidden="1">
      <c r="A1667" t="s">
        <v>308</v>
      </c>
      <c r="B1667" t="s">
        <v>758</v>
      </c>
      <c r="C1667" t="s">
        <v>726</v>
      </c>
      <c r="D1667" t="s">
        <v>532</v>
      </c>
      <c r="E1667" t="s">
        <v>242</v>
      </c>
      <c r="F1667" t="s">
        <v>533</v>
      </c>
      <c r="G1667" t="s">
        <v>534</v>
      </c>
      <c r="H1667">
        <v>418</v>
      </c>
      <c r="I1667">
        <v>115</v>
      </c>
      <c r="J1667">
        <v>0</v>
      </c>
      <c r="AQ1667">
        <v>533</v>
      </c>
      <c r="AR1667">
        <v>21.21</v>
      </c>
      <c r="AS1667">
        <v>11304.93</v>
      </c>
    </row>
    <row r="1668" spans="1:45" hidden="1">
      <c r="A1668" t="s">
        <v>308</v>
      </c>
      <c r="B1668" t="s">
        <v>758</v>
      </c>
      <c r="C1668" t="s">
        <v>727</v>
      </c>
      <c r="D1668" t="s">
        <v>287</v>
      </c>
      <c r="E1668" t="s">
        <v>242</v>
      </c>
      <c r="F1668" t="s">
        <v>537</v>
      </c>
      <c r="G1668" t="s">
        <v>538</v>
      </c>
      <c r="H1668">
        <v>5</v>
      </c>
      <c r="I1668">
        <v>0</v>
      </c>
      <c r="J1668">
        <v>5</v>
      </c>
      <c r="AQ1668">
        <v>10</v>
      </c>
      <c r="AR1668">
        <v>127.26</v>
      </c>
      <c r="AS1668">
        <v>1272.5999999999999</v>
      </c>
    </row>
    <row r="1669" spans="1:45" hidden="1">
      <c r="A1669" t="s">
        <v>308</v>
      </c>
      <c r="B1669" t="s">
        <v>758</v>
      </c>
      <c r="C1669" t="s">
        <v>728</v>
      </c>
      <c r="D1669" t="s">
        <v>287</v>
      </c>
      <c r="E1669" t="s">
        <v>242</v>
      </c>
      <c r="F1669" t="s">
        <v>535</v>
      </c>
      <c r="G1669" t="s">
        <v>536</v>
      </c>
      <c r="H1669">
        <v>3</v>
      </c>
      <c r="I1669">
        <v>0</v>
      </c>
      <c r="J1669">
        <v>3</v>
      </c>
      <c r="AQ1669">
        <v>6</v>
      </c>
      <c r="AR1669">
        <v>424.2</v>
      </c>
      <c r="AS1669">
        <v>2545.1999999999998</v>
      </c>
    </row>
    <row r="1670" spans="1:45" hidden="1">
      <c r="A1670" t="s">
        <v>308</v>
      </c>
      <c r="B1670" t="s">
        <v>758</v>
      </c>
      <c r="C1670" t="s">
        <v>729</v>
      </c>
      <c r="D1670" t="s">
        <v>522</v>
      </c>
      <c r="E1670" t="s">
        <v>242</v>
      </c>
      <c r="F1670" t="s">
        <v>523</v>
      </c>
      <c r="G1670" t="s">
        <v>517</v>
      </c>
      <c r="H1670">
        <v>0</v>
      </c>
      <c r="I1670">
        <v>0</v>
      </c>
      <c r="J1670">
        <v>0</v>
      </c>
      <c r="AQ1670">
        <v>0</v>
      </c>
      <c r="AR1670">
        <v>1272.5999999999999</v>
      </c>
      <c r="AS1670">
        <v>0</v>
      </c>
    </row>
    <row r="1671" spans="1:45" hidden="1">
      <c r="A1671" t="s">
        <v>308</v>
      </c>
      <c r="B1671" t="s">
        <v>758</v>
      </c>
      <c r="C1671" t="s">
        <v>730</v>
      </c>
      <c r="D1671" t="s">
        <v>515</v>
      </c>
      <c r="E1671" t="s">
        <v>242</v>
      </c>
      <c r="F1671" t="s">
        <v>516</v>
      </c>
      <c r="G1671" t="s">
        <v>517</v>
      </c>
      <c r="H1671">
        <v>0</v>
      </c>
      <c r="I1671">
        <v>1</v>
      </c>
      <c r="J1671">
        <v>0</v>
      </c>
      <c r="AQ1671">
        <v>1</v>
      </c>
      <c r="AR1671">
        <v>3181.5</v>
      </c>
      <c r="AS1671">
        <v>3181.5</v>
      </c>
    </row>
    <row r="1672" spans="1:45" hidden="1">
      <c r="A1672" t="s">
        <v>308</v>
      </c>
      <c r="B1672" t="s">
        <v>758</v>
      </c>
      <c r="C1672" t="s">
        <v>731</v>
      </c>
      <c r="D1672" t="s">
        <v>524</v>
      </c>
      <c r="E1672" t="s">
        <v>242</v>
      </c>
      <c r="F1672" t="s">
        <v>525</v>
      </c>
      <c r="G1672" t="s">
        <v>503</v>
      </c>
      <c r="H1672">
        <v>0</v>
      </c>
      <c r="I1672">
        <v>0</v>
      </c>
      <c r="J1672">
        <v>0</v>
      </c>
      <c r="AQ1672">
        <v>0</v>
      </c>
      <c r="AR1672">
        <v>15907.5</v>
      </c>
      <c r="AS1672">
        <v>0</v>
      </c>
    </row>
    <row r="1673" spans="1:45" hidden="1">
      <c r="A1673" t="s">
        <v>308</v>
      </c>
      <c r="B1673" t="s">
        <v>758</v>
      </c>
      <c r="C1673" t="s">
        <v>732</v>
      </c>
      <c r="D1673" t="s">
        <v>513</v>
      </c>
      <c r="E1673" t="s">
        <v>242</v>
      </c>
      <c r="F1673" t="s">
        <v>514</v>
      </c>
      <c r="G1673" t="s">
        <v>453</v>
      </c>
      <c r="H1673">
        <v>0</v>
      </c>
      <c r="I1673">
        <v>0</v>
      </c>
      <c r="J1673">
        <v>0</v>
      </c>
      <c r="AQ1673">
        <v>0</v>
      </c>
      <c r="AR1673">
        <v>848.4</v>
      </c>
      <c r="AS1673">
        <v>0</v>
      </c>
    </row>
    <row r="1674" spans="1:45" hidden="1">
      <c r="A1674" t="s">
        <v>308</v>
      </c>
      <c r="B1674" t="s">
        <v>758</v>
      </c>
      <c r="C1674" t="s">
        <v>733</v>
      </c>
      <c r="D1674" t="s">
        <v>287</v>
      </c>
      <c r="E1674" t="s">
        <v>242</v>
      </c>
      <c r="F1674" t="s">
        <v>539</v>
      </c>
      <c r="G1674" t="s">
        <v>540</v>
      </c>
      <c r="H1674">
        <v>62</v>
      </c>
      <c r="I1674">
        <v>1102</v>
      </c>
      <c r="J1674">
        <v>5000</v>
      </c>
      <c r="AQ1674">
        <v>6164</v>
      </c>
      <c r="AR1674">
        <v>8.08</v>
      </c>
      <c r="AS1674">
        <v>49805.120000000003</v>
      </c>
    </row>
    <row r="1675" spans="1:45" hidden="1">
      <c r="A1675" t="s">
        <v>308</v>
      </c>
      <c r="B1675" t="s">
        <v>758</v>
      </c>
      <c r="C1675" t="s">
        <v>734</v>
      </c>
      <c r="D1675" t="s">
        <v>287</v>
      </c>
      <c r="E1675" t="s">
        <v>242</v>
      </c>
      <c r="F1675" t="s">
        <v>541</v>
      </c>
      <c r="G1675" t="s">
        <v>540</v>
      </c>
      <c r="H1675">
        <v>176</v>
      </c>
      <c r="I1675">
        <v>405</v>
      </c>
      <c r="J1675">
        <v>2000</v>
      </c>
      <c r="AQ1675">
        <v>2581</v>
      </c>
      <c r="AR1675">
        <v>7.4740000000000002</v>
      </c>
      <c r="AS1675">
        <v>19290.394</v>
      </c>
    </row>
    <row r="1676" spans="1:45" hidden="1">
      <c r="A1676" t="s">
        <v>308</v>
      </c>
      <c r="B1676" t="s">
        <v>758</v>
      </c>
      <c r="C1676" t="s">
        <v>735</v>
      </c>
      <c r="D1676" t="s">
        <v>543</v>
      </c>
      <c r="E1676" t="s">
        <v>542</v>
      </c>
      <c r="F1676" t="s">
        <v>544</v>
      </c>
      <c r="G1676" t="s">
        <v>545</v>
      </c>
      <c r="AQ1676">
        <v>0</v>
      </c>
      <c r="AR1676">
        <v>0</v>
      </c>
      <c r="AS1676">
        <v>0</v>
      </c>
    </row>
    <row r="1677" spans="1:45" hidden="1">
      <c r="A1677" t="s">
        <v>308</v>
      </c>
      <c r="B1677" t="s">
        <v>758</v>
      </c>
      <c r="C1677" t="s">
        <v>286</v>
      </c>
      <c r="D1677" t="s">
        <v>287</v>
      </c>
      <c r="E1677" t="s">
        <v>288</v>
      </c>
      <c r="F1677" t="s">
        <v>289</v>
      </c>
      <c r="G1677" t="s">
        <v>547</v>
      </c>
      <c r="AQ1677">
        <v>0</v>
      </c>
      <c r="AR1677">
        <v>0.05</v>
      </c>
      <c r="AS1677">
        <v>185413.69819</v>
      </c>
    </row>
    <row r="1678" spans="1:45" hidden="1">
      <c r="A1678" t="s">
        <v>308</v>
      </c>
      <c r="B1678" t="s">
        <v>758</v>
      </c>
      <c r="C1678" t="s">
        <v>291</v>
      </c>
      <c r="D1678" t="s">
        <v>287</v>
      </c>
      <c r="E1678" t="s">
        <v>288</v>
      </c>
      <c r="F1678" t="s">
        <v>292</v>
      </c>
      <c r="G1678" t="s">
        <v>293</v>
      </c>
      <c r="AQ1678">
        <v>0</v>
      </c>
      <c r="AR1678">
        <v>6.0600000000000001E-2</v>
      </c>
      <c r="AS1678">
        <v>0</v>
      </c>
    </row>
    <row r="1679" spans="1:45" hidden="1">
      <c r="A1679" t="s">
        <v>308</v>
      </c>
      <c r="B1679" t="s">
        <v>758</v>
      </c>
      <c r="C1679" t="s">
        <v>736</v>
      </c>
      <c r="D1679" t="s">
        <v>287</v>
      </c>
      <c r="E1679" t="s">
        <v>288</v>
      </c>
      <c r="F1679" t="s">
        <v>550</v>
      </c>
      <c r="G1679" t="s">
        <v>293</v>
      </c>
      <c r="AQ1679">
        <v>0</v>
      </c>
      <c r="AR1679">
        <v>5.0500000000000003E-2</v>
      </c>
      <c r="AS1679">
        <v>0</v>
      </c>
    </row>
    <row r="1680" spans="1:45" hidden="1">
      <c r="A1680" t="s">
        <v>308</v>
      </c>
      <c r="B1680" t="s">
        <v>758</v>
      </c>
      <c r="C1680" t="s">
        <v>737</v>
      </c>
      <c r="D1680" t="s">
        <v>287</v>
      </c>
      <c r="E1680" t="s">
        <v>288</v>
      </c>
      <c r="F1680" t="s">
        <v>548</v>
      </c>
      <c r="G1680" t="s">
        <v>293</v>
      </c>
      <c r="AQ1680">
        <v>0</v>
      </c>
      <c r="AR1680">
        <v>0.1111</v>
      </c>
      <c r="AS1680">
        <v>0</v>
      </c>
    </row>
    <row r="1681" spans="1:45" hidden="1">
      <c r="A1681" t="s">
        <v>308</v>
      </c>
      <c r="B1681" t="s">
        <v>758</v>
      </c>
      <c r="C1681" t="s">
        <v>738</v>
      </c>
      <c r="D1681" t="s">
        <v>287</v>
      </c>
      <c r="E1681" t="s">
        <v>288</v>
      </c>
      <c r="F1681" t="s">
        <v>549</v>
      </c>
      <c r="G1681" t="s">
        <v>293</v>
      </c>
      <c r="AQ1681">
        <v>0</v>
      </c>
      <c r="AR1681">
        <v>0.10100000000000001</v>
      </c>
      <c r="AS1681">
        <v>0</v>
      </c>
    </row>
    <row r="1682" spans="1:45" hidden="1">
      <c r="A1682" t="s">
        <v>57</v>
      </c>
      <c r="B1682" t="s">
        <v>762</v>
      </c>
      <c r="C1682" t="s">
        <v>641</v>
      </c>
      <c r="D1682" t="s">
        <v>324</v>
      </c>
      <c r="E1682" t="s">
        <v>323</v>
      </c>
      <c r="F1682" t="s">
        <v>325</v>
      </c>
      <c r="G1682" t="s">
        <v>326</v>
      </c>
      <c r="H1682">
        <v>1556060</v>
      </c>
      <c r="I1682">
        <v>257869</v>
      </c>
      <c r="J1682">
        <v>31472</v>
      </c>
      <c r="K1682">
        <v>4700</v>
      </c>
      <c r="AQ1682">
        <v>1850101</v>
      </c>
      <c r="AR1682">
        <v>1.35E-2</v>
      </c>
      <c r="AS1682">
        <v>24976.363499999999</v>
      </c>
    </row>
    <row r="1683" spans="1:45" hidden="1">
      <c r="A1683" t="s">
        <v>57</v>
      </c>
      <c r="B1683" t="s">
        <v>762</v>
      </c>
      <c r="C1683" t="s">
        <v>642</v>
      </c>
      <c r="D1683" t="s">
        <v>327</v>
      </c>
      <c r="E1683" t="s">
        <v>323</v>
      </c>
      <c r="F1683" t="s">
        <v>328</v>
      </c>
      <c r="G1683" t="s">
        <v>329</v>
      </c>
      <c r="H1683">
        <v>0</v>
      </c>
      <c r="I1683">
        <v>0</v>
      </c>
      <c r="J1683">
        <v>0</v>
      </c>
      <c r="K1683">
        <v>0</v>
      </c>
      <c r="AQ1683">
        <v>0</v>
      </c>
      <c r="AR1683">
        <v>5.9330000000000001E-2</v>
      </c>
      <c r="AS1683">
        <v>0</v>
      </c>
    </row>
    <row r="1684" spans="1:45" hidden="1">
      <c r="A1684" t="s">
        <v>57</v>
      </c>
      <c r="B1684" t="s">
        <v>762</v>
      </c>
      <c r="C1684" t="s">
        <v>643</v>
      </c>
      <c r="D1684" t="s">
        <v>330</v>
      </c>
      <c r="E1684" t="s">
        <v>323</v>
      </c>
      <c r="F1684" t="s">
        <v>331</v>
      </c>
      <c r="G1684" t="s">
        <v>740</v>
      </c>
      <c r="H1684">
        <v>0</v>
      </c>
      <c r="I1684">
        <v>0</v>
      </c>
      <c r="J1684">
        <v>0</v>
      </c>
      <c r="K1684">
        <v>0</v>
      </c>
      <c r="AQ1684">
        <v>0</v>
      </c>
      <c r="AR1684">
        <v>0.1</v>
      </c>
      <c r="AS1684">
        <v>0</v>
      </c>
    </row>
    <row r="1685" spans="1:45" hidden="1">
      <c r="A1685" t="s">
        <v>57</v>
      </c>
      <c r="B1685" t="s">
        <v>762</v>
      </c>
      <c r="C1685" t="s">
        <v>644</v>
      </c>
      <c r="D1685" t="s">
        <v>332</v>
      </c>
      <c r="E1685" t="s">
        <v>323</v>
      </c>
      <c r="F1685" t="s">
        <v>333</v>
      </c>
      <c r="G1685" t="s">
        <v>740</v>
      </c>
      <c r="H1685">
        <v>0</v>
      </c>
      <c r="I1685">
        <v>0</v>
      </c>
      <c r="J1685">
        <v>0</v>
      </c>
      <c r="K1685">
        <v>0</v>
      </c>
      <c r="AQ1685">
        <v>0</v>
      </c>
      <c r="AR1685">
        <v>0.125</v>
      </c>
      <c r="AS1685">
        <v>0</v>
      </c>
    </row>
    <row r="1686" spans="1:45" hidden="1">
      <c r="A1686" t="s">
        <v>57</v>
      </c>
      <c r="B1686" t="s">
        <v>762</v>
      </c>
      <c r="C1686" t="s">
        <v>645</v>
      </c>
      <c r="D1686" t="s">
        <v>334</v>
      </c>
      <c r="E1686" t="s">
        <v>323</v>
      </c>
      <c r="F1686" t="s">
        <v>335</v>
      </c>
      <c r="G1686" t="s">
        <v>329</v>
      </c>
      <c r="H1686">
        <v>0</v>
      </c>
      <c r="I1686">
        <v>0</v>
      </c>
      <c r="J1686">
        <v>0</v>
      </c>
      <c r="K1686">
        <v>0</v>
      </c>
      <c r="AQ1686">
        <v>0</v>
      </c>
      <c r="AR1686">
        <v>0.28000000000000003</v>
      </c>
    </row>
    <row r="1687" spans="1:45" hidden="1">
      <c r="A1687" t="s">
        <v>57</v>
      </c>
      <c r="B1687" t="s">
        <v>762</v>
      </c>
      <c r="C1687" t="s">
        <v>646</v>
      </c>
      <c r="D1687" t="s">
        <v>137</v>
      </c>
      <c r="E1687" t="s">
        <v>138</v>
      </c>
      <c r="F1687" t="s">
        <v>337</v>
      </c>
      <c r="G1687" t="s">
        <v>140</v>
      </c>
      <c r="H1687">
        <v>0</v>
      </c>
      <c r="I1687">
        <v>0</v>
      </c>
      <c r="J1687">
        <v>1</v>
      </c>
      <c r="K1687">
        <v>0</v>
      </c>
      <c r="AQ1687">
        <v>1</v>
      </c>
      <c r="AR1687">
        <v>212.1</v>
      </c>
      <c r="AS1687">
        <v>212.1</v>
      </c>
    </row>
    <row r="1688" spans="1:45" hidden="1">
      <c r="A1688" t="s">
        <v>57</v>
      </c>
      <c r="B1688" t="s">
        <v>762</v>
      </c>
      <c r="C1688" t="s">
        <v>136</v>
      </c>
      <c r="D1688" t="s">
        <v>137</v>
      </c>
      <c r="E1688" t="s">
        <v>138</v>
      </c>
      <c r="F1688" t="s">
        <v>139</v>
      </c>
      <c r="G1688" t="s">
        <v>140</v>
      </c>
      <c r="H1688">
        <v>0</v>
      </c>
      <c r="I1688">
        <v>0</v>
      </c>
      <c r="J1688">
        <v>0</v>
      </c>
      <c r="K1688">
        <v>1</v>
      </c>
      <c r="AQ1688">
        <v>1</v>
      </c>
      <c r="AR1688">
        <v>1696.8</v>
      </c>
      <c r="AS1688">
        <v>1696.8</v>
      </c>
    </row>
    <row r="1689" spans="1:45" hidden="1">
      <c r="A1689" t="s">
        <v>57</v>
      </c>
      <c r="B1689" t="s">
        <v>762</v>
      </c>
      <c r="C1689" t="s">
        <v>143</v>
      </c>
      <c r="D1689" t="s">
        <v>137</v>
      </c>
      <c r="E1689" t="s">
        <v>138</v>
      </c>
      <c r="F1689" t="s">
        <v>277</v>
      </c>
      <c r="G1689" t="s">
        <v>140</v>
      </c>
      <c r="H1689">
        <v>0</v>
      </c>
      <c r="I1689">
        <v>4</v>
      </c>
      <c r="J1689">
        <v>3</v>
      </c>
      <c r="K1689">
        <v>0</v>
      </c>
      <c r="AQ1689">
        <v>7</v>
      </c>
      <c r="AR1689">
        <v>3923.85</v>
      </c>
      <c r="AS1689">
        <v>27466.95</v>
      </c>
    </row>
    <row r="1690" spans="1:45" hidden="1">
      <c r="A1690" t="s">
        <v>57</v>
      </c>
      <c r="B1690" t="s">
        <v>762</v>
      </c>
      <c r="C1690" t="s">
        <v>647</v>
      </c>
      <c r="D1690" t="s">
        <v>137</v>
      </c>
      <c r="E1690" t="s">
        <v>138</v>
      </c>
      <c r="F1690" t="s">
        <v>338</v>
      </c>
      <c r="G1690" t="s">
        <v>140</v>
      </c>
      <c r="H1690">
        <v>5</v>
      </c>
      <c r="I1690">
        <v>0</v>
      </c>
      <c r="J1690">
        <v>0</v>
      </c>
      <c r="K1690">
        <v>0</v>
      </c>
      <c r="AQ1690">
        <v>5</v>
      </c>
      <c r="AR1690">
        <v>6893.25</v>
      </c>
      <c r="AS1690">
        <v>34466.25</v>
      </c>
    </row>
    <row r="1691" spans="1:45" hidden="1">
      <c r="A1691" t="s">
        <v>57</v>
      </c>
      <c r="B1691" t="s">
        <v>762</v>
      </c>
      <c r="C1691" t="s">
        <v>648</v>
      </c>
      <c r="D1691" t="s">
        <v>342</v>
      </c>
      <c r="E1691" t="s">
        <v>138</v>
      </c>
      <c r="F1691" t="s">
        <v>343</v>
      </c>
      <c r="G1691" t="s">
        <v>140</v>
      </c>
      <c r="H1691">
        <v>0</v>
      </c>
      <c r="I1691">
        <v>0</v>
      </c>
      <c r="J1691">
        <v>0</v>
      </c>
      <c r="K1691">
        <v>0</v>
      </c>
      <c r="AQ1691">
        <v>0</v>
      </c>
      <c r="AR1691">
        <v>13786.5</v>
      </c>
      <c r="AS1691">
        <v>0</v>
      </c>
    </row>
    <row r="1692" spans="1:45" hidden="1">
      <c r="A1692" t="s">
        <v>57</v>
      </c>
      <c r="B1692" t="s">
        <v>762</v>
      </c>
      <c r="C1692" t="s">
        <v>649</v>
      </c>
      <c r="D1692" t="s">
        <v>344</v>
      </c>
      <c r="E1692" t="s">
        <v>138</v>
      </c>
      <c r="F1692" t="s">
        <v>345</v>
      </c>
      <c r="G1692" t="s">
        <v>346</v>
      </c>
      <c r="H1692">
        <v>0</v>
      </c>
      <c r="I1692">
        <v>100</v>
      </c>
      <c r="J1692">
        <v>0</v>
      </c>
      <c r="K1692">
        <v>0</v>
      </c>
      <c r="AQ1692">
        <v>100</v>
      </c>
      <c r="AR1692">
        <v>11.11</v>
      </c>
      <c r="AS1692">
        <v>1111</v>
      </c>
    </row>
    <row r="1693" spans="1:45" hidden="1">
      <c r="A1693" t="s">
        <v>57</v>
      </c>
      <c r="B1693" t="s">
        <v>762</v>
      </c>
      <c r="C1693" t="s">
        <v>650</v>
      </c>
      <c r="D1693" t="s">
        <v>339</v>
      </c>
      <c r="E1693" t="s">
        <v>138</v>
      </c>
      <c r="F1693" t="s">
        <v>340</v>
      </c>
      <c r="G1693" t="s">
        <v>341</v>
      </c>
      <c r="H1693">
        <v>0</v>
      </c>
      <c r="I1693">
        <v>0</v>
      </c>
      <c r="J1693">
        <v>0</v>
      </c>
      <c r="K1693">
        <v>0</v>
      </c>
      <c r="AQ1693">
        <v>0</v>
      </c>
      <c r="AR1693">
        <v>557.52</v>
      </c>
      <c r="AS1693">
        <v>0</v>
      </c>
    </row>
    <row r="1694" spans="1:45" hidden="1">
      <c r="A1694" t="s">
        <v>57</v>
      </c>
      <c r="B1694" t="s">
        <v>762</v>
      </c>
      <c r="C1694" t="s">
        <v>651</v>
      </c>
      <c r="D1694" t="s">
        <v>347</v>
      </c>
      <c r="E1694" t="s">
        <v>138</v>
      </c>
      <c r="F1694" t="s">
        <v>350</v>
      </c>
      <c r="G1694" t="s">
        <v>349</v>
      </c>
      <c r="H1694">
        <v>0</v>
      </c>
      <c r="I1694">
        <v>1</v>
      </c>
      <c r="J1694">
        <v>2</v>
      </c>
      <c r="K1694">
        <v>0</v>
      </c>
      <c r="AQ1694">
        <v>3</v>
      </c>
      <c r="AR1694">
        <v>234.32</v>
      </c>
      <c r="AS1694">
        <v>702.96</v>
      </c>
    </row>
    <row r="1695" spans="1:45" hidden="1">
      <c r="A1695" t="s">
        <v>57</v>
      </c>
      <c r="B1695" t="s">
        <v>762</v>
      </c>
      <c r="C1695" t="s">
        <v>652</v>
      </c>
      <c r="D1695" t="s">
        <v>347</v>
      </c>
      <c r="E1695" t="s">
        <v>138</v>
      </c>
      <c r="F1695" t="s">
        <v>348</v>
      </c>
      <c r="G1695" t="s">
        <v>349</v>
      </c>
      <c r="H1695">
        <v>0</v>
      </c>
      <c r="I1695">
        <v>1</v>
      </c>
      <c r="J1695">
        <v>0</v>
      </c>
      <c r="K1695">
        <v>0</v>
      </c>
      <c r="AQ1695">
        <v>1</v>
      </c>
      <c r="AR1695">
        <v>456.52</v>
      </c>
      <c r="AS1695">
        <v>456.52</v>
      </c>
    </row>
    <row r="1696" spans="1:45" hidden="1">
      <c r="A1696" t="s">
        <v>57</v>
      </c>
      <c r="B1696" t="s">
        <v>762</v>
      </c>
      <c r="C1696" t="s">
        <v>653</v>
      </c>
      <c r="D1696" t="s">
        <v>347</v>
      </c>
      <c r="E1696" t="s">
        <v>138</v>
      </c>
      <c r="F1696" t="s">
        <v>351</v>
      </c>
      <c r="G1696" t="s">
        <v>349</v>
      </c>
      <c r="H1696">
        <v>5</v>
      </c>
      <c r="I1696">
        <v>0</v>
      </c>
      <c r="J1696">
        <v>0</v>
      </c>
      <c r="K1696">
        <v>0</v>
      </c>
      <c r="AQ1696">
        <v>5</v>
      </c>
      <c r="AR1696">
        <v>679.73</v>
      </c>
      <c r="AS1696">
        <v>3398.65</v>
      </c>
    </row>
    <row r="1697" spans="1:45" hidden="1">
      <c r="A1697" t="s">
        <v>57</v>
      </c>
      <c r="B1697" t="s">
        <v>762</v>
      </c>
      <c r="C1697" t="s">
        <v>654</v>
      </c>
      <c r="D1697" t="s">
        <v>352</v>
      </c>
      <c r="E1697" t="s">
        <v>138</v>
      </c>
      <c r="F1697" t="s">
        <v>353</v>
      </c>
      <c r="G1697" t="s">
        <v>354</v>
      </c>
      <c r="H1697">
        <v>0</v>
      </c>
      <c r="I1697">
        <v>0</v>
      </c>
      <c r="J1697">
        <v>0</v>
      </c>
      <c r="K1697">
        <v>0</v>
      </c>
      <c r="AQ1697">
        <v>0</v>
      </c>
      <c r="AR1697">
        <v>3923.85</v>
      </c>
      <c r="AS1697">
        <v>0</v>
      </c>
    </row>
    <row r="1698" spans="1:45" hidden="1">
      <c r="A1698" t="s">
        <v>57</v>
      </c>
      <c r="B1698" t="s">
        <v>762</v>
      </c>
      <c r="C1698" t="s">
        <v>655</v>
      </c>
      <c r="D1698" t="s">
        <v>355</v>
      </c>
      <c r="E1698" t="s">
        <v>138</v>
      </c>
      <c r="F1698" t="s">
        <v>356</v>
      </c>
      <c r="G1698" t="s">
        <v>357</v>
      </c>
      <c r="H1698">
        <v>0</v>
      </c>
      <c r="I1698">
        <v>0</v>
      </c>
      <c r="J1698">
        <v>0</v>
      </c>
      <c r="K1698">
        <v>0</v>
      </c>
      <c r="AQ1698">
        <v>0</v>
      </c>
      <c r="AR1698">
        <v>556.51</v>
      </c>
      <c r="AS1698">
        <v>0</v>
      </c>
    </row>
    <row r="1699" spans="1:45" hidden="1">
      <c r="A1699" t="s">
        <v>57</v>
      </c>
      <c r="B1699" t="s">
        <v>762</v>
      </c>
      <c r="C1699" t="s">
        <v>656</v>
      </c>
      <c r="D1699" t="s">
        <v>358</v>
      </c>
      <c r="E1699" t="s">
        <v>138</v>
      </c>
      <c r="F1699" t="s">
        <v>359</v>
      </c>
      <c r="G1699" t="s">
        <v>360</v>
      </c>
      <c r="H1699">
        <v>0</v>
      </c>
      <c r="I1699">
        <v>0</v>
      </c>
      <c r="J1699">
        <v>0</v>
      </c>
      <c r="K1699">
        <v>0</v>
      </c>
      <c r="AQ1699">
        <v>0</v>
      </c>
      <c r="AR1699">
        <v>334.31</v>
      </c>
      <c r="AS1699">
        <v>0</v>
      </c>
    </row>
    <row r="1700" spans="1:45" hidden="1">
      <c r="A1700" t="s">
        <v>57</v>
      </c>
      <c r="B1700" t="s">
        <v>762</v>
      </c>
      <c r="C1700" t="s">
        <v>657</v>
      </c>
      <c r="D1700" t="s">
        <v>361</v>
      </c>
      <c r="E1700" t="s">
        <v>138</v>
      </c>
      <c r="F1700" t="s">
        <v>362</v>
      </c>
      <c r="G1700" t="s">
        <v>363</v>
      </c>
      <c r="H1700">
        <v>8760</v>
      </c>
      <c r="I1700">
        <v>0</v>
      </c>
      <c r="J1700">
        <v>0</v>
      </c>
      <c r="K1700">
        <v>0</v>
      </c>
      <c r="AQ1700">
        <v>8760</v>
      </c>
      <c r="AR1700">
        <v>1.0605</v>
      </c>
      <c r="AS1700">
        <v>9289.98</v>
      </c>
    </row>
    <row r="1701" spans="1:45" hidden="1">
      <c r="A1701" t="s">
        <v>57</v>
      </c>
      <c r="B1701" t="s">
        <v>762</v>
      </c>
      <c r="C1701" t="s">
        <v>658</v>
      </c>
      <c r="D1701" t="s">
        <v>364</v>
      </c>
      <c r="E1701" t="s">
        <v>138</v>
      </c>
      <c r="F1701" t="s">
        <v>366</v>
      </c>
      <c r="G1701" t="s">
        <v>363</v>
      </c>
      <c r="H1701">
        <v>0</v>
      </c>
      <c r="I1701">
        <v>0</v>
      </c>
      <c r="J1701">
        <v>0</v>
      </c>
      <c r="K1701">
        <v>0</v>
      </c>
      <c r="AQ1701">
        <v>0</v>
      </c>
      <c r="AR1701">
        <v>4.242</v>
      </c>
      <c r="AS1701">
        <v>0</v>
      </c>
    </row>
    <row r="1702" spans="1:45" hidden="1">
      <c r="A1702" t="s">
        <v>57</v>
      </c>
      <c r="B1702" t="s">
        <v>762</v>
      </c>
      <c r="C1702" t="s">
        <v>659</v>
      </c>
      <c r="D1702" t="s">
        <v>364</v>
      </c>
      <c r="E1702" t="s">
        <v>138</v>
      </c>
      <c r="F1702" t="s">
        <v>365</v>
      </c>
      <c r="G1702" t="s">
        <v>363</v>
      </c>
      <c r="H1702">
        <v>0</v>
      </c>
      <c r="I1702">
        <v>0</v>
      </c>
      <c r="J1702">
        <v>0</v>
      </c>
      <c r="K1702">
        <v>0</v>
      </c>
      <c r="AQ1702">
        <v>0</v>
      </c>
      <c r="AR1702">
        <v>8.484</v>
      </c>
      <c r="AS1702">
        <v>0</v>
      </c>
    </row>
    <row r="1703" spans="1:45" hidden="1">
      <c r="A1703" t="s">
        <v>57</v>
      </c>
      <c r="B1703" t="s">
        <v>762</v>
      </c>
      <c r="C1703" t="s">
        <v>660</v>
      </c>
      <c r="D1703" t="s">
        <v>364</v>
      </c>
      <c r="E1703" t="s">
        <v>138</v>
      </c>
      <c r="F1703" t="s">
        <v>367</v>
      </c>
      <c r="G1703" t="s">
        <v>363</v>
      </c>
      <c r="H1703">
        <v>8760</v>
      </c>
      <c r="I1703">
        <v>0</v>
      </c>
      <c r="J1703">
        <v>0</v>
      </c>
      <c r="K1703">
        <v>0</v>
      </c>
      <c r="AQ1703">
        <v>8760</v>
      </c>
      <c r="AR1703">
        <v>21.21</v>
      </c>
      <c r="AS1703">
        <v>185799.6</v>
      </c>
    </row>
    <row r="1704" spans="1:45" hidden="1">
      <c r="A1704" t="s">
        <v>57</v>
      </c>
      <c r="B1704" t="s">
        <v>762</v>
      </c>
      <c r="C1704" t="s">
        <v>278</v>
      </c>
      <c r="D1704" t="s">
        <v>146</v>
      </c>
      <c r="E1704" t="s">
        <v>138</v>
      </c>
      <c r="F1704" t="s">
        <v>279</v>
      </c>
      <c r="G1704" t="s">
        <v>148</v>
      </c>
      <c r="H1704">
        <v>16</v>
      </c>
      <c r="I1704">
        <v>3</v>
      </c>
      <c r="J1704">
        <v>0</v>
      </c>
      <c r="K1704">
        <v>0</v>
      </c>
      <c r="AQ1704">
        <v>19</v>
      </c>
      <c r="AR1704">
        <v>1272.5999999999999</v>
      </c>
      <c r="AS1704">
        <v>24179.4</v>
      </c>
    </row>
    <row r="1705" spans="1:45" hidden="1">
      <c r="A1705" t="s">
        <v>57</v>
      </c>
      <c r="B1705" t="s">
        <v>762</v>
      </c>
      <c r="C1705" t="s">
        <v>661</v>
      </c>
      <c r="D1705" t="s">
        <v>146</v>
      </c>
      <c r="E1705" t="s">
        <v>138</v>
      </c>
      <c r="F1705" t="s">
        <v>368</v>
      </c>
      <c r="G1705" t="s">
        <v>148</v>
      </c>
      <c r="H1705">
        <v>5</v>
      </c>
      <c r="I1705">
        <v>0</v>
      </c>
      <c r="J1705">
        <v>0</v>
      </c>
      <c r="K1705">
        <v>0</v>
      </c>
      <c r="AQ1705">
        <v>5</v>
      </c>
      <c r="AR1705">
        <v>2333.1</v>
      </c>
      <c r="AS1705">
        <v>11665.5</v>
      </c>
    </row>
    <row r="1706" spans="1:45" hidden="1">
      <c r="A1706" t="s">
        <v>57</v>
      </c>
      <c r="B1706" t="s">
        <v>762</v>
      </c>
      <c r="C1706" t="s">
        <v>662</v>
      </c>
      <c r="D1706" t="s">
        <v>146</v>
      </c>
      <c r="E1706" t="s">
        <v>138</v>
      </c>
      <c r="F1706" t="s">
        <v>369</v>
      </c>
      <c r="G1706" t="s">
        <v>148</v>
      </c>
      <c r="H1706">
        <v>3</v>
      </c>
      <c r="I1706">
        <v>0</v>
      </c>
      <c r="J1706">
        <v>1</v>
      </c>
      <c r="K1706">
        <v>0</v>
      </c>
      <c r="AQ1706">
        <v>4</v>
      </c>
      <c r="AR1706">
        <v>3711.75</v>
      </c>
      <c r="AS1706">
        <v>14847</v>
      </c>
    </row>
    <row r="1707" spans="1:45" hidden="1">
      <c r="A1707" t="s">
        <v>57</v>
      </c>
      <c r="B1707" t="s">
        <v>762</v>
      </c>
      <c r="C1707" t="s">
        <v>663</v>
      </c>
      <c r="D1707" t="s">
        <v>146</v>
      </c>
      <c r="E1707" t="s">
        <v>138</v>
      </c>
      <c r="F1707" t="s">
        <v>370</v>
      </c>
      <c r="G1707" t="s">
        <v>148</v>
      </c>
      <c r="H1707">
        <v>1</v>
      </c>
      <c r="I1707">
        <v>2</v>
      </c>
      <c r="J1707">
        <v>0</v>
      </c>
      <c r="K1707">
        <v>0</v>
      </c>
      <c r="AQ1707">
        <v>3</v>
      </c>
      <c r="AR1707">
        <v>5832.75</v>
      </c>
      <c r="AS1707">
        <v>17498.25</v>
      </c>
    </row>
    <row r="1708" spans="1:45" hidden="1">
      <c r="A1708" t="s">
        <v>57</v>
      </c>
      <c r="B1708" t="s">
        <v>762</v>
      </c>
      <c r="C1708" t="s">
        <v>664</v>
      </c>
      <c r="D1708" t="s">
        <v>371</v>
      </c>
      <c r="E1708" t="s">
        <v>138</v>
      </c>
      <c r="F1708" t="s">
        <v>372</v>
      </c>
      <c r="G1708" t="s">
        <v>373</v>
      </c>
      <c r="H1708">
        <v>0</v>
      </c>
      <c r="I1708">
        <v>0</v>
      </c>
      <c r="J1708">
        <v>0</v>
      </c>
      <c r="K1708">
        <v>0</v>
      </c>
      <c r="AQ1708">
        <v>0</v>
      </c>
      <c r="AR1708">
        <v>3711.75</v>
      </c>
      <c r="AS1708">
        <v>0</v>
      </c>
    </row>
    <row r="1709" spans="1:45" hidden="1">
      <c r="A1709" t="s">
        <v>57</v>
      </c>
      <c r="B1709" t="s">
        <v>762</v>
      </c>
      <c r="C1709" t="s">
        <v>149</v>
      </c>
      <c r="D1709" t="s">
        <v>280</v>
      </c>
      <c r="E1709" t="s">
        <v>138</v>
      </c>
      <c r="F1709" t="s">
        <v>151</v>
      </c>
      <c r="G1709" t="s">
        <v>152</v>
      </c>
      <c r="H1709">
        <v>93000</v>
      </c>
      <c r="I1709">
        <v>8500</v>
      </c>
      <c r="J1709">
        <v>1900</v>
      </c>
      <c r="K1709">
        <v>862</v>
      </c>
      <c r="AQ1709">
        <v>104262</v>
      </c>
      <c r="AR1709">
        <v>1.111</v>
      </c>
      <c r="AS1709">
        <v>115835.08199999999</v>
      </c>
    </row>
    <row r="1710" spans="1:45" hidden="1">
      <c r="A1710" t="s">
        <v>57</v>
      </c>
      <c r="B1710" t="s">
        <v>762</v>
      </c>
      <c r="C1710" t="s">
        <v>153</v>
      </c>
      <c r="D1710" t="s">
        <v>154</v>
      </c>
      <c r="E1710" t="s">
        <v>138</v>
      </c>
      <c r="F1710" t="s">
        <v>155</v>
      </c>
      <c r="G1710" t="s">
        <v>156</v>
      </c>
      <c r="H1710">
        <v>600</v>
      </c>
      <c r="I1710">
        <v>100</v>
      </c>
      <c r="J1710">
        <v>60</v>
      </c>
      <c r="K1710">
        <v>0</v>
      </c>
      <c r="AQ1710">
        <v>760</v>
      </c>
      <c r="AR1710">
        <v>116.655</v>
      </c>
      <c r="AS1710">
        <v>88657.8</v>
      </c>
    </row>
    <row r="1711" spans="1:45" hidden="1">
      <c r="A1711" t="s">
        <v>57</v>
      </c>
      <c r="B1711" t="s">
        <v>762</v>
      </c>
      <c r="C1711" t="s">
        <v>665</v>
      </c>
      <c r="D1711" t="s">
        <v>375</v>
      </c>
      <c r="E1711" t="s">
        <v>138</v>
      </c>
      <c r="F1711" t="s">
        <v>376</v>
      </c>
      <c r="G1711" t="s">
        <v>377</v>
      </c>
      <c r="H1711">
        <v>10</v>
      </c>
      <c r="I1711">
        <v>0</v>
      </c>
      <c r="J1711">
        <v>0</v>
      </c>
      <c r="K1711">
        <v>0</v>
      </c>
      <c r="AQ1711">
        <v>10</v>
      </c>
      <c r="AR1711">
        <v>89.081999999999994</v>
      </c>
      <c r="AS1711">
        <v>890.82</v>
      </c>
    </row>
    <row r="1712" spans="1:45" hidden="1">
      <c r="A1712" t="s">
        <v>57</v>
      </c>
      <c r="B1712" t="s">
        <v>762</v>
      </c>
      <c r="C1712" t="s">
        <v>158</v>
      </c>
      <c r="D1712" t="s">
        <v>159</v>
      </c>
      <c r="E1712" t="s">
        <v>138</v>
      </c>
      <c r="F1712" t="s">
        <v>160</v>
      </c>
      <c r="G1712" t="s">
        <v>161</v>
      </c>
      <c r="H1712">
        <v>230</v>
      </c>
      <c r="I1712">
        <v>20</v>
      </c>
      <c r="J1712">
        <v>2</v>
      </c>
      <c r="K1712">
        <v>20</v>
      </c>
      <c r="AQ1712">
        <v>272</v>
      </c>
      <c r="AR1712">
        <v>66.66</v>
      </c>
      <c r="AS1712">
        <v>18131.52</v>
      </c>
    </row>
    <row r="1713" spans="1:45" hidden="1">
      <c r="A1713" t="s">
        <v>57</v>
      </c>
      <c r="B1713" t="s">
        <v>762</v>
      </c>
      <c r="C1713" t="s">
        <v>666</v>
      </c>
      <c r="D1713" t="s">
        <v>378</v>
      </c>
      <c r="E1713" t="s">
        <v>138</v>
      </c>
      <c r="F1713" t="s">
        <v>379</v>
      </c>
      <c r="G1713" t="s">
        <v>380</v>
      </c>
      <c r="H1713">
        <v>25</v>
      </c>
      <c r="I1713">
        <v>6</v>
      </c>
      <c r="J1713">
        <v>0</v>
      </c>
      <c r="K1713">
        <v>0</v>
      </c>
      <c r="AQ1713">
        <v>31</v>
      </c>
      <c r="AR1713">
        <v>389.86</v>
      </c>
      <c r="AS1713">
        <v>12085.66</v>
      </c>
    </row>
    <row r="1714" spans="1:45" hidden="1">
      <c r="A1714" t="s">
        <v>57</v>
      </c>
      <c r="B1714" t="s">
        <v>762</v>
      </c>
      <c r="C1714" t="s">
        <v>667</v>
      </c>
      <c r="D1714" t="s">
        <v>281</v>
      </c>
      <c r="E1714" t="s">
        <v>138</v>
      </c>
      <c r="F1714" t="s">
        <v>384</v>
      </c>
      <c r="G1714" t="s">
        <v>165</v>
      </c>
      <c r="H1714">
        <v>62</v>
      </c>
      <c r="I1714">
        <v>80</v>
      </c>
      <c r="J1714">
        <v>1</v>
      </c>
      <c r="K1714">
        <v>0</v>
      </c>
      <c r="AQ1714">
        <v>143</v>
      </c>
      <c r="AR1714">
        <v>2227.0500000000002</v>
      </c>
      <c r="AS1714">
        <v>318468.15000000002</v>
      </c>
    </row>
    <row r="1715" spans="1:45" hidden="1">
      <c r="A1715" t="s">
        <v>57</v>
      </c>
      <c r="B1715" t="s">
        <v>762</v>
      </c>
      <c r="C1715" t="s">
        <v>162</v>
      </c>
      <c r="D1715" t="s">
        <v>281</v>
      </c>
      <c r="E1715" t="s">
        <v>138</v>
      </c>
      <c r="F1715" t="s">
        <v>164</v>
      </c>
      <c r="G1715" t="s">
        <v>165</v>
      </c>
      <c r="H1715">
        <v>15</v>
      </c>
      <c r="I1715">
        <v>3</v>
      </c>
      <c r="J1715">
        <v>0</v>
      </c>
      <c r="K1715">
        <v>0</v>
      </c>
      <c r="AQ1715">
        <v>18</v>
      </c>
      <c r="AR1715">
        <v>4242</v>
      </c>
      <c r="AS1715">
        <v>76356</v>
      </c>
    </row>
    <row r="1716" spans="1:45" hidden="1">
      <c r="A1716" t="s">
        <v>57</v>
      </c>
      <c r="B1716" t="s">
        <v>762</v>
      </c>
      <c r="C1716" t="s">
        <v>668</v>
      </c>
      <c r="D1716" t="s">
        <v>381</v>
      </c>
      <c r="E1716" t="s">
        <v>138</v>
      </c>
      <c r="F1716" t="s">
        <v>382</v>
      </c>
      <c r="G1716" t="s">
        <v>383</v>
      </c>
      <c r="H1716">
        <v>32</v>
      </c>
      <c r="I1716">
        <v>32</v>
      </c>
      <c r="J1716">
        <v>0</v>
      </c>
      <c r="K1716">
        <v>0</v>
      </c>
      <c r="AQ1716">
        <v>64</v>
      </c>
      <c r="AR1716">
        <v>39.39</v>
      </c>
      <c r="AS1716">
        <v>2520.96</v>
      </c>
    </row>
    <row r="1717" spans="1:45" hidden="1">
      <c r="A1717" t="s">
        <v>57</v>
      </c>
      <c r="B1717" t="s">
        <v>762</v>
      </c>
      <c r="C1717" t="s">
        <v>166</v>
      </c>
      <c r="D1717" t="s">
        <v>282</v>
      </c>
      <c r="E1717" t="s">
        <v>138</v>
      </c>
      <c r="F1717" t="s">
        <v>168</v>
      </c>
      <c r="G1717" t="s">
        <v>169</v>
      </c>
      <c r="H1717">
        <v>73000</v>
      </c>
      <c r="I1717">
        <v>8500</v>
      </c>
      <c r="J1717">
        <v>1900</v>
      </c>
      <c r="K1717">
        <v>0</v>
      </c>
      <c r="AQ1717">
        <v>83400</v>
      </c>
      <c r="AR1717">
        <v>1.111</v>
      </c>
      <c r="AS1717">
        <v>92657.4</v>
      </c>
    </row>
    <row r="1718" spans="1:45" hidden="1">
      <c r="A1718" t="s">
        <v>57</v>
      </c>
      <c r="B1718" t="s">
        <v>762</v>
      </c>
      <c r="C1718" t="s">
        <v>669</v>
      </c>
      <c r="D1718" t="s">
        <v>385</v>
      </c>
      <c r="E1718" t="s">
        <v>138</v>
      </c>
      <c r="F1718" t="s">
        <v>386</v>
      </c>
      <c r="G1718" t="s">
        <v>387</v>
      </c>
      <c r="H1718">
        <v>1</v>
      </c>
      <c r="I1718">
        <v>1</v>
      </c>
      <c r="J1718">
        <v>1</v>
      </c>
      <c r="K1718">
        <v>0</v>
      </c>
      <c r="AQ1718">
        <v>3</v>
      </c>
      <c r="AR1718">
        <v>22270.5</v>
      </c>
      <c r="AS1718">
        <v>66811.5</v>
      </c>
    </row>
    <row r="1719" spans="1:45" hidden="1">
      <c r="A1719" t="s">
        <v>57</v>
      </c>
      <c r="B1719" t="s">
        <v>762</v>
      </c>
      <c r="C1719" t="s">
        <v>670</v>
      </c>
      <c r="D1719" t="s">
        <v>385</v>
      </c>
      <c r="E1719" t="s">
        <v>138</v>
      </c>
      <c r="F1719" t="s">
        <v>388</v>
      </c>
      <c r="G1719" t="s">
        <v>389</v>
      </c>
      <c r="H1719">
        <v>5200</v>
      </c>
      <c r="I1719">
        <v>1000</v>
      </c>
      <c r="J1719">
        <v>100</v>
      </c>
      <c r="K1719">
        <v>0</v>
      </c>
      <c r="AQ1719">
        <v>6300</v>
      </c>
      <c r="AR1719">
        <v>0.22220000000000001</v>
      </c>
      <c r="AS1719">
        <v>1399.86</v>
      </c>
    </row>
    <row r="1720" spans="1:45" hidden="1">
      <c r="A1720" t="s">
        <v>57</v>
      </c>
      <c r="B1720" t="s">
        <v>762</v>
      </c>
      <c r="C1720" t="s">
        <v>671</v>
      </c>
      <c r="D1720" t="s">
        <v>393</v>
      </c>
      <c r="E1720" t="s">
        <v>138</v>
      </c>
      <c r="F1720" t="s">
        <v>394</v>
      </c>
      <c r="G1720" t="s">
        <v>395</v>
      </c>
      <c r="H1720">
        <v>0</v>
      </c>
      <c r="I1720">
        <v>0</v>
      </c>
      <c r="J1720">
        <v>0</v>
      </c>
      <c r="K1720">
        <v>0</v>
      </c>
      <c r="AQ1720">
        <v>0</v>
      </c>
      <c r="AR1720">
        <v>99.99</v>
      </c>
      <c r="AS1720">
        <v>0</v>
      </c>
    </row>
    <row r="1721" spans="1:45" hidden="1">
      <c r="A1721" t="s">
        <v>57</v>
      </c>
      <c r="B1721" t="s">
        <v>762</v>
      </c>
      <c r="C1721" t="s">
        <v>672</v>
      </c>
      <c r="D1721" t="s">
        <v>393</v>
      </c>
      <c r="E1721" t="s">
        <v>138</v>
      </c>
      <c r="F1721" t="s">
        <v>396</v>
      </c>
      <c r="G1721" t="s">
        <v>395</v>
      </c>
      <c r="H1721">
        <v>0</v>
      </c>
      <c r="I1721">
        <v>0</v>
      </c>
      <c r="J1721">
        <v>0</v>
      </c>
      <c r="K1721">
        <v>0</v>
      </c>
      <c r="AQ1721">
        <v>0</v>
      </c>
      <c r="AR1721">
        <v>99.99</v>
      </c>
      <c r="AS1721">
        <v>0</v>
      </c>
    </row>
    <row r="1722" spans="1:45" hidden="1">
      <c r="A1722" t="s">
        <v>57</v>
      </c>
      <c r="B1722" t="s">
        <v>762</v>
      </c>
      <c r="C1722" t="s">
        <v>673</v>
      </c>
      <c r="D1722" t="s">
        <v>393</v>
      </c>
      <c r="E1722" t="s">
        <v>138</v>
      </c>
      <c r="F1722" t="s">
        <v>397</v>
      </c>
      <c r="G1722" t="s">
        <v>395</v>
      </c>
      <c r="H1722">
        <v>0</v>
      </c>
      <c r="I1722">
        <v>0</v>
      </c>
      <c r="J1722">
        <v>0</v>
      </c>
      <c r="K1722">
        <v>0</v>
      </c>
      <c r="AQ1722">
        <v>0</v>
      </c>
      <c r="AR1722">
        <v>66.66</v>
      </c>
      <c r="AS1722">
        <v>0</v>
      </c>
    </row>
    <row r="1723" spans="1:45" hidden="1">
      <c r="A1723" t="s">
        <v>57</v>
      </c>
      <c r="B1723" t="s">
        <v>762</v>
      </c>
      <c r="C1723" t="s">
        <v>674</v>
      </c>
      <c r="D1723" t="s">
        <v>287</v>
      </c>
      <c r="E1723" t="s">
        <v>138</v>
      </c>
      <c r="F1723" t="s">
        <v>402</v>
      </c>
      <c r="G1723" t="s">
        <v>403</v>
      </c>
      <c r="H1723">
        <v>0</v>
      </c>
      <c r="I1723">
        <v>0</v>
      </c>
      <c r="J1723">
        <v>0</v>
      </c>
      <c r="K1723">
        <v>0</v>
      </c>
      <c r="AQ1723">
        <v>0</v>
      </c>
      <c r="AR1723">
        <v>318150</v>
      </c>
      <c r="AS1723">
        <v>0</v>
      </c>
    </row>
    <row r="1724" spans="1:45" hidden="1">
      <c r="A1724" t="s">
        <v>57</v>
      </c>
      <c r="B1724" t="s">
        <v>762</v>
      </c>
      <c r="C1724" t="s">
        <v>675</v>
      </c>
      <c r="D1724" t="s">
        <v>390</v>
      </c>
      <c r="E1724" t="s">
        <v>138</v>
      </c>
      <c r="F1724" t="s">
        <v>391</v>
      </c>
      <c r="G1724" t="s">
        <v>392</v>
      </c>
      <c r="H1724">
        <v>0</v>
      </c>
      <c r="I1724">
        <v>0</v>
      </c>
      <c r="J1724">
        <v>0</v>
      </c>
      <c r="K1724">
        <v>0</v>
      </c>
      <c r="AQ1724">
        <v>0</v>
      </c>
      <c r="AR1724">
        <v>1336.23</v>
      </c>
      <c r="AS1724">
        <v>0</v>
      </c>
    </row>
    <row r="1725" spans="1:45" hidden="1">
      <c r="A1725" t="s">
        <v>57</v>
      </c>
      <c r="B1725" t="s">
        <v>762</v>
      </c>
      <c r="C1725" t="s">
        <v>676</v>
      </c>
      <c r="D1725" t="s">
        <v>398</v>
      </c>
      <c r="E1725" t="s">
        <v>138</v>
      </c>
      <c r="F1725" t="s">
        <v>399</v>
      </c>
      <c r="G1725" t="s">
        <v>400</v>
      </c>
      <c r="H1725">
        <v>0</v>
      </c>
      <c r="I1725">
        <v>0</v>
      </c>
      <c r="J1725">
        <v>0</v>
      </c>
      <c r="K1725">
        <v>0</v>
      </c>
      <c r="AQ1725">
        <v>0</v>
      </c>
      <c r="AR1725">
        <v>14475.825000000001</v>
      </c>
      <c r="AS1725">
        <v>0</v>
      </c>
    </row>
    <row r="1726" spans="1:45" hidden="1">
      <c r="A1726" t="s">
        <v>57</v>
      </c>
      <c r="B1726" t="s">
        <v>762</v>
      </c>
      <c r="C1726" t="s">
        <v>170</v>
      </c>
      <c r="D1726" t="s">
        <v>171</v>
      </c>
      <c r="E1726" t="s">
        <v>172</v>
      </c>
      <c r="F1726" t="s">
        <v>173</v>
      </c>
      <c r="G1726" t="s">
        <v>152</v>
      </c>
      <c r="H1726">
        <v>93000</v>
      </c>
      <c r="I1726">
        <v>10500</v>
      </c>
      <c r="J1726">
        <v>1900</v>
      </c>
      <c r="K1726">
        <v>862</v>
      </c>
      <c r="AQ1726">
        <v>106262</v>
      </c>
      <c r="AR1726">
        <v>1.2726</v>
      </c>
      <c r="AS1726">
        <v>135229.02119999999</v>
      </c>
    </row>
    <row r="1727" spans="1:45" hidden="1">
      <c r="A1727" t="s">
        <v>57</v>
      </c>
      <c r="B1727" t="s">
        <v>762</v>
      </c>
      <c r="C1727" t="s">
        <v>677</v>
      </c>
      <c r="D1727" t="s">
        <v>405</v>
      </c>
      <c r="E1727" t="s">
        <v>172</v>
      </c>
      <c r="F1727" t="s">
        <v>406</v>
      </c>
      <c r="G1727" t="s">
        <v>407</v>
      </c>
      <c r="H1727">
        <v>30</v>
      </c>
      <c r="I1727">
        <v>30</v>
      </c>
      <c r="J1727">
        <v>20</v>
      </c>
      <c r="K1727">
        <v>5</v>
      </c>
      <c r="AQ1727">
        <v>85</v>
      </c>
      <c r="AR1727">
        <v>47.47</v>
      </c>
      <c r="AS1727">
        <v>4034.95</v>
      </c>
    </row>
    <row r="1728" spans="1:45" hidden="1">
      <c r="A1728" t="s">
        <v>57</v>
      </c>
      <c r="B1728" t="s">
        <v>762</v>
      </c>
      <c r="C1728" t="s">
        <v>678</v>
      </c>
      <c r="D1728" t="s">
        <v>408</v>
      </c>
      <c r="E1728" t="s">
        <v>172</v>
      </c>
      <c r="F1728" t="s">
        <v>409</v>
      </c>
      <c r="G1728" t="s">
        <v>410</v>
      </c>
      <c r="H1728">
        <v>400</v>
      </c>
      <c r="I1728">
        <v>200</v>
      </c>
      <c r="J1728">
        <v>3</v>
      </c>
      <c r="K1728">
        <v>0</v>
      </c>
      <c r="AQ1728">
        <v>603</v>
      </c>
      <c r="AR1728">
        <v>1.0605</v>
      </c>
      <c r="AS1728">
        <v>639.48149999999998</v>
      </c>
    </row>
    <row r="1729" spans="1:45" hidden="1">
      <c r="A1729" t="s">
        <v>57</v>
      </c>
      <c r="B1729" t="s">
        <v>762</v>
      </c>
      <c r="C1729" t="s">
        <v>679</v>
      </c>
      <c r="D1729" t="s">
        <v>411</v>
      </c>
      <c r="E1729" t="s">
        <v>172</v>
      </c>
      <c r="F1729" t="s">
        <v>412</v>
      </c>
      <c r="G1729" t="s">
        <v>413</v>
      </c>
      <c r="H1729">
        <v>482</v>
      </c>
      <c r="I1729">
        <v>0</v>
      </c>
      <c r="J1729">
        <v>0</v>
      </c>
      <c r="K1729">
        <v>0</v>
      </c>
      <c r="AQ1729">
        <v>482</v>
      </c>
      <c r="AR1729">
        <v>37.1175</v>
      </c>
      <c r="AS1729">
        <v>17890.634999999998</v>
      </c>
    </row>
    <row r="1730" spans="1:45" hidden="1">
      <c r="A1730" t="s">
        <v>57</v>
      </c>
      <c r="B1730" t="s">
        <v>762</v>
      </c>
      <c r="C1730" t="s">
        <v>680</v>
      </c>
      <c r="D1730" t="s">
        <v>414</v>
      </c>
      <c r="E1730" t="s">
        <v>172</v>
      </c>
      <c r="F1730" t="s">
        <v>415</v>
      </c>
      <c r="G1730" t="s">
        <v>224</v>
      </c>
      <c r="H1730">
        <v>28</v>
      </c>
      <c r="I1730">
        <v>1</v>
      </c>
      <c r="J1730">
        <v>0</v>
      </c>
      <c r="K1730">
        <v>1</v>
      </c>
      <c r="AQ1730">
        <v>30</v>
      </c>
      <c r="AR1730">
        <v>42.42</v>
      </c>
      <c r="AS1730">
        <v>1272.5999999999999</v>
      </c>
    </row>
    <row r="1731" spans="1:45" hidden="1">
      <c r="A1731" t="s">
        <v>57</v>
      </c>
      <c r="B1731" t="s">
        <v>762</v>
      </c>
      <c r="C1731" t="s">
        <v>681</v>
      </c>
      <c r="D1731" t="s">
        <v>416</v>
      </c>
      <c r="E1731" t="s">
        <v>172</v>
      </c>
      <c r="F1731" t="s">
        <v>417</v>
      </c>
      <c r="G1731" t="s">
        <v>418</v>
      </c>
      <c r="H1731">
        <v>2000</v>
      </c>
      <c r="I1731">
        <v>2500</v>
      </c>
      <c r="J1731">
        <v>1900</v>
      </c>
      <c r="K1731">
        <v>862</v>
      </c>
      <c r="AQ1731">
        <v>7262</v>
      </c>
      <c r="AR1731">
        <v>0.32319999999999999</v>
      </c>
      <c r="AS1731">
        <v>2347.0783999999999</v>
      </c>
    </row>
    <row r="1732" spans="1:45" hidden="1">
      <c r="A1732" t="s">
        <v>57</v>
      </c>
      <c r="B1732" t="s">
        <v>762</v>
      </c>
      <c r="C1732" t="s">
        <v>682</v>
      </c>
      <c r="D1732" t="s">
        <v>419</v>
      </c>
      <c r="E1732" t="s">
        <v>172</v>
      </c>
      <c r="F1732" t="s">
        <v>420</v>
      </c>
      <c r="G1732" t="s">
        <v>421</v>
      </c>
      <c r="H1732">
        <v>32</v>
      </c>
      <c r="I1732">
        <v>10</v>
      </c>
      <c r="J1732">
        <v>3</v>
      </c>
      <c r="K1732">
        <v>0</v>
      </c>
      <c r="AQ1732">
        <v>45</v>
      </c>
      <c r="AR1732">
        <v>42.42</v>
      </c>
      <c r="AS1732">
        <v>1908.9</v>
      </c>
    </row>
    <row r="1733" spans="1:45" hidden="1">
      <c r="A1733" t="s">
        <v>57</v>
      </c>
      <c r="B1733" t="s">
        <v>762</v>
      </c>
      <c r="C1733" t="s">
        <v>683</v>
      </c>
      <c r="D1733" t="s">
        <v>422</v>
      </c>
      <c r="E1733" t="s">
        <v>172</v>
      </c>
      <c r="F1733" t="s">
        <v>423</v>
      </c>
      <c r="G1733" t="s">
        <v>407</v>
      </c>
      <c r="H1733">
        <v>0</v>
      </c>
      <c r="I1733">
        <v>0</v>
      </c>
      <c r="J1733">
        <v>0</v>
      </c>
      <c r="K1733">
        <v>0</v>
      </c>
      <c r="AQ1733">
        <v>0</v>
      </c>
      <c r="AR1733">
        <v>47.47</v>
      </c>
      <c r="AS1733">
        <v>0</v>
      </c>
    </row>
    <row r="1734" spans="1:45" hidden="1">
      <c r="A1734" t="s">
        <v>57</v>
      </c>
      <c r="B1734" t="s">
        <v>762</v>
      </c>
      <c r="C1734" t="s">
        <v>684</v>
      </c>
      <c r="D1734" t="s">
        <v>427</v>
      </c>
      <c r="E1734" t="s">
        <v>172</v>
      </c>
      <c r="F1734" t="s">
        <v>428</v>
      </c>
      <c r="G1734" t="s">
        <v>429</v>
      </c>
      <c r="H1734">
        <v>7</v>
      </c>
      <c r="I1734">
        <v>4</v>
      </c>
      <c r="J1734">
        <v>1</v>
      </c>
      <c r="K1734">
        <v>0</v>
      </c>
      <c r="AQ1734">
        <v>12</v>
      </c>
      <c r="AR1734">
        <v>636.29999999999995</v>
      </c>
      <c r="AS1734">
        <v>7635.6</v>
      </c>
    </row>
    <row r="1735" spans="1:45" hidden="1">
      <c r="A1735" t="s">
        <v>57</v>
      </c>
      <c r="B1735" t="s">
        <v>762</v>
      </c>
      <c r="C1735" t="s">
        <v>174</v>
      </c>
      <c r="D1735" t="s">
        <v>175</v>
      </c>
      <c r="E1735" t="s">
        <v>172</v>
      </c>
      <c r="F1735" t="s">
        <v>176</v>
      </c>
      <c r="G1735" t="s">
        <v>177</v>
      </c>
      <c r="H1735">
        <v>8</v>
      </c>
      <c r="I1735">
        <v>3</v>
      </c>
      <c r="J1735">
        <v>1</v>
      </c>
      <c r="K1735">
        <v>0</v>
      </c>
      <c r="AQ1735">
        <v>12</v>
      </c>
      <c r="AR1735">
        <v>424.2</v>
      </c>
      <c r="AS1735">
        <v>5090.3999999999996</v>
      </c>
    </row>
    <row r="1736" spans="1:45" hidden="1">
      <c r="A1736" t="s">
        <v>57</v>
      </c>
      <c r="B1736" t="s">
        <v>762</v>
      </c>
      <c r="C1736" t="s">
        <v>685</v>
      </c>
      <c r="D1736" t="s">
        <v>430</v>
      </c>
      <c r="E1736" t="s">
        <v>172</v>
      </c>
      <c r="F1736" t="s">
        <v>433</v>
      </c>
      <c r="G1736" t="s">
        <v>432</v>
      </c>
      <c r="H1736">
        <v>2</v>
      </c>
      <c r="I1736">
        <v>0</v>
      </c>
      <c r="J1736">
        <v>0</v>
      </c>
      <c r="K1736">
        <v>0</v>
      </c>
      <c r="AQ1736">
        <v>2</v>
      </c>
      <c r="AR1736">
        <v>1908.9</v>
      </c>
      <c r="AS1736">
        <v>3817.8</v>
      </c>
    </row>
    <row r="1737" spans="1:45" hidden="1">
      <c r="A1737" t="s">
        <v>57</v>
      </c>
      <c r="B1737" t="s">
        <v>762</v>
      </c>
      <c r="C1737" t="s">
        <v>686</v>
      </c>
      <c r="D1737" t="s">
        <v>430</v>
      </c>
      <c r="E1737" t="s">
        <v>172</v>
      </c>
      <c r="F1737" t="s">
        <v>431</v>
      </c>
      <c r="G1737" t="s">
        <v>432</v>
      </c>
      <c r="H1737">
        <v>0</v>
      </c>
      <c r="I1737">
        <v>0</v>
      </c>
      <c r="J1737">
        <v>0</v>
      </c>
      <c r="K1737">
        <v>0</v>
      </c>
      <c r="AQ1737">
        <v>0</v>
      </c>
      <c r="AR1737">
        <v>2121</v>
      </c>
      <c r="AS1737">
        <v>0</v>
      </c>
    </row>
    <row r="1738" spans="1:45" hidden="1">
      <c r="A1738" t="s">
        <v>57</v>
      </c>
      <c r="B1738" t="s">
        <v>762</v>
      </c>
      <c r="C1738" t="s">
        <v>687</v>
      </c>
      <c r="D1738" t="s">
        <v>430</v>
      </c>
      <c r="E1738" t="s">
        <v>172</v>
      </c>
      <c r="F1738" t="s">
        <v>438</v>
      </c>
      <c r="G1738" t="s">
        <v>432</v>
      </c>
      <c r="H1738">
        <v>0</v>
      </c>
      <c r="I1738">
        <v>0</v>
      </c>
      <c r="J1738">
        <v>0</v>
      </c>
      <c r="K1738">
        <v>0</v>
      </c>
      <c r="AQ1738">
        <v>0</v>
      </c>
      <c r="AR1738">
        <v>2439.15</v>
      </c>
      <c r="AS1738">
        <v>0</v>
      </c>
    </row>
    <row r="1739" spans="1:45" hidden="1">
      <c r="A1739" t="s">
        <v>57</v>
      </c>
      <c r="B1739" t="s">
        <v>762</v>
      </c>
      <c r="C1739" t="s">
        <v>688</v>
      </c>
      <c r="D1739" t="s">
        <v>430</v>
      </c>
      <c r="E1739" t="s">
        <v>172</v>
      </c>
      <c r="F1739" t="s">
        <v>434</v>
      </c>
      <c r="G1739" t="s">
        <v>432</v>
      </c>
      <c r="H1739">
        <v>3</v>
      </c>
      <c r="I1739">
        <v>1</v>
      </c>
      <c r="J1739">
        <v>0</v>
      </c>
      <c r="K1739">
        <v>0</v>
      </c>
      <c r="AQ1739">
        <v>4</v>
      </c>
      <c r="AR1739">
        <v>2651.25</v>
      </c>
      <c r="AS1739">
        <v>10605</v>
      </c>
    </row>
    <row r="1740" spans="1:45" hidden="1">
      <c r="A1740" t="s">
        <v>57</v>
      </c>
      <c r="B1740" t="s">
        <v>762</v>
      </c>
      <c r="C1740" t="s">
        <v>645</v>
      </c>
      <c r="D1740" t="s">
        <v>435</v>
      </c>
      <c r="E1740" t="s">
        <v>172</v>
      </c>
      <c r="F1740" t="s">
        <v>436</v>
      </c>
      <c r="G1740" t="s">
        <v>437</v>
      </c>
      <c r="H1740">
        <v>0</v>
      </c>
      <c r="I1740">
        <v>0</v>
      </c>
      <c r="J1740">
        <v>0</v>
      </c>
      <c r="K1740">
        <v>0</v>
      </c>
      <c r="AQ1740">
        <v>0</v>
      </c>
      <c r="AR1740">
        <v>0.28000000000000003</v>
      </c>
    </row>
    <row r="1741" spans="1:45" hidden="1">
      <c r="A1741" t="s">
        <v>57</v>
      </c>
      <c r="B1741" t="s">
        <v>762</v>
      </c>
      <c r="C1741" t="s">
        <v>689</v>
      </c>
      <c r="D1741" t="s">
        <v>439</v>
      </c>
      <c r="E1741" t="s">
        <v>172</v>
      </c>
      <c r="F1741" t="s">
        <v>690</v>
      </c>
      <c r="G1741" t="s">
        <v>441</v>
      </c>
      <c r="H1741">
        <v>16</v>
      </c>
      <c r="I1741">
        <v>1</v>
      </c>
      <c r="J1741">
        <v>1</v>
      </c>
      <c r="K1741">
        <v>0</v>
      </c>
      <c r="AQ1741">
        <v>18</v>
      </c>
      <c r="AR1741">
        <v>318.14999999999998</v>
      </c>
      <c r="AS1741">
        <v>5726.7</v>
      </c>
    </row>
    <row r="1742" spans="1:45" hidden="1">
      <c r="A1742" t="s">
        <v>57</v>
      </c>
      <c r="B1742" t="s">
        <v>762</v>
      </c>
      <c r="C1742" t="s">
        <v>691</v>
      </c>
      <c r="D1742" t="s">
        <v>439</v>
      </c>
      <c r="E1742" t="s">
        <v>172</v>
      </c>
      <c r="F1742" t="s">
        <v>442</v>
      </c>
      <c r="G1742" t="s">
        <v>441</v>
      </c>
      <c r="H1742">
        <v>15</v>
      </c>
      <c r="I1742">
        <v>0</v>
      </c>
      <c r="J1742">
        <v>0</v>
      </c>
      <c r="K1742">
        <v>0</v>
      </c>
      <c r="AQ1742">
        <v>15</v>
      </c>
      <c r="AR1742">
        <v>1272.5999999999999</v>
      </c>
      <c r="AS1742">
        <v>19089</v>
      </c>
    </row>
    <row r="1743" spans="1:45" hidden="1">
      <c r="A1743" t="s">
        <v>57</v>
      </c>
      <c r="B1743" t="s">
        <v>762</v>
      </c>
      <c r="C1743" t="s">
        <v>692</v>
      </c>
      <c r="D1743" t="s">
        <v>439</v>
      </c>
      <c r="E1743" t="s">
        <v>172</v>
      </c>
      <c r="F1743" t="s">
        <v>443</v>
      </c>
      <c r="G1743" t="s">
        <v>441</v>
      </c>
      <c r="H1743">
        <v>1</v>
      </c>
      <c r="I1743">
        <v>0</v>
      </c>
      <c r="J1743">
        <v>0</v>
      </c>
      <c r="K1743">
        <v>0</v>
      </c>
      <c r="AQ1743">
        <v>1</v>
      </c>
      <c r="AR1743">
        <v>1590.75</v>
      </c>
      <c r="AS1743">
        <v>1590.75</v>
      </c>
    </row>
    <row r="1744" spans="1:45" hidden="1">
      <c r="A1744" t="s">
        <v>57</v>
      </c>
      <c r="B1744" t="s">
        <v>762</v>
      </c>
      <c r="C1744" t="s">
        <v>693</v>
      </c>
      <c r="D1744" t="s">
        <v>439</v>
      </c>
      <c r="E1744" t="s">
        <v>172</v>
      </c>
      <c r="F1744" t="s">
        <v>440</v>
      </c>
      <c r="G1744" t="s">
        <v>441</v>
      </c>
      <c r="H1744">
        <v>3</v>
      </c>
      <c r="I1744">
        <v>1</v>
      </c>
      <c r="J1744">
        <v>0</v>
      </c>
      <c r="K1744">
        <v>0</v>
      </c>
      <c r="AQ1744">
        <v>4</v>
      </c>
      <c r="AR1744">
        <v>1590.75</v>
      </c>
      <c r="AS1744">
        <v>6363</v>
      </c>
    </row>
    <row r="1745" spans="1:45" hidden="1">
      <c r="A1745" t="s">
        <v>57</v>
      </c>
      <c r="B1745" t="s">
        <v>762</v>
      </c>
      <c r="C1745" t="s">
        <v>694</v>
      </c>
      <c r="D1745" t="s">
        <v>439</v>
      </c>
      <c r="E1745" t="s">
        <v>172</v>
      </c>
      <c r="F1745" t="s">
        <v>695</v>
      </c>
      <c r="G1745" t="s">
        <v>441</v>
      </c>
      <c r="H1745">
        <v>0</v>
      </c>
      <c r="I1745">
        <v>0</v>
      </c>
      <c r="J1745">
        <v>0</v>
      </c>
      <c r="K1745">
        <v>0</v>
      </c>
      <c r="AQ1745">
        <v>0</v>
      </c>
      <c r="AR1745">
        <v>1802.85</v>
      </c>
      <c r="AS1745">
        <v>0</v>
      </c>
    </row>
    <row r="1746" spans="1:45" hidden="1">
      <c r="A1746" t="s">
        <v>57</v>
      </c>
      <c r="B1746" t="s">
        <v>762</v>
      </c>
      <c r="C1746" t="s">
        <v>696</v>
      </c>
      <c r="D1746" t="s">
        <v>446</v>
      </c>
      <c r="E1746" t="s">
        <v>172</v>
      </c>
      <c r="F1746" t="s">
        <v>447</v>
      </c>
      <c r="G1746" t="s">
        <v>448</v>
      </c>
      <c r="H1746">
        <v>0</v>
      </c>
      <c r="I1746">
        <v>0</v>
      </c>
      <c r="J1746">
        <v>0</v>
      </c>
      <c r="K1746">
        <v>0</v>
      </c>
      <c r="AQ1746">
        <v>0</v>
      </c>
      <c r="AR1746">
        <v>10.605</v>
      </c>
      <c r="AS1746">
        <v>0</v>
      </c>
    </row>
    <row r="1747" spans="1:45" hidden="1">
      <c r="A1747" t="s">
        <v>57</v>
      </c>
      <c r="B1747" t="s">
        <v>762</v>
      </c>
      <c r="C1747" t="s">
        <v>178</v>
      </c>
      <c r="D1747" t="s">
        <v>179</v>
      </c>
      <c r="E1747" t="s">
        <v>172</v>
      </c>
      <c r="F1747" t="s">
        <v>180</v>
      </c>
      <c r="G1747" t="s">
        <v>181</v>
      </c>
      <c r="H1747">
        <v>440</v>
      </c>
      <c r="I1747">
        <v>0</v>
      </c>
      <c r="J1747">
        <v>0</v>
      </c>
      <c r="K1747">
        <v>0</v>
      </c>
      <c r="AQ1747">
        <v>440</v>
      </c>
      <c r="AR1747">
        <v>106.05</v>
      </c>
      <c r="AS1747">
        <v>46662</v>
      </c>
    </row>
    <row r="1748" spans="1:45" hidden="1">
      <c r="A1748" t="s">
        <v>57</v>
      </c>
      <c r="B1748" t="s">
        <v>762</v>
      </c>
      <c r="C1748" t="s">
        <v>182</v>
      </c>
      <c r="D1748" t="s">
        <v>179</v>
      </c>
      <c r="E1748" t="s">
        <v>172</v>
      </c>
      <c r="F1748" t="s">
        <v>183</v>
      </c>
      <c r="G1748" t="s">
        <v>152</v>
      </c>
      <c r="H1748">
        <v>93000</v>
      </c>
      <c r="I1748">
        <v>10500</v>
      </c>
      <c r="J1748">
        <v>1900</v>
      </c>
      <c r="K1748">
        <v>862</v>
      </c>
      <c r="AQ1748">
        <v>106262</v>
      </c>
      <c r="AR1748">
        <v>0.1515</v>
      </c>
      <c r="AS1748">
        <v>16098.692999999999</v>
      </c>
    </row>
    <row r="1749" spans="1:45" hidden="1">
      <c r="A1749" t="s">
        <v>57</v>
      </c>
      <c r="B1749" t="s">
        <v>762</v>
      </c>
      <c r="C1749" t="s">
        <v>697</v>
      </c>
      <c r="D1749" t="s">
        <v>449</v>
      </c>
      <c r="E1749" t="s">
        <v>172</v>
      </c>
      <c r="F1749" t="s">
        <v>450</v>
      </c>
      <c r="G1749" t="s">
        <v>451</v>
      </c>
      <c r="H1749">
        <v>3</v>
      </c>
      <c r="I1749">
        <v>1</v>
      </c>
      <c r="J1749">
        <v>1</v>
      </c>
      <c r="K1749">
        <v>0</v>
      </c>
      <c r="AQ1749">
        <v>5</v>
      </c>
      <c r="AR1749">
        <v>1908.9</v>
      </c>
      <c r="AS1749">
        <v>9544.5</v>
      </c>
    </row>
    <row r="1750" spans="1:45" hidden="1">
      <c r="A1750" t="s">
        <v>57</v>
      </c>
      <c r="B1750" t="s">
        <v>762</v>
      </c>
      <c r="C1750" t="s">
        <v>698</v>
      </c>
      <c r="D1750" t="s">
        <v>424</v>
      </c>
      <c r="E1750" t="s">
        <v>172</v>
      </c>
      <c r="F1750" t="s">
        <v>425</v>
      </c>
      <c r="G1750" t="s">
        <v>426</v>
      </c>
      <c r="H1750">
        <v>40</v>
      </c>
      <c r="I1750">
        <v>40</v>
      </c>
      <c r="J1750">
        <v>2</v>
      </c>
      <c r="K1750">
        <v>0</v>
      </c>
      <c r="AQ1750">
        <v>82</v>
      </c>
      <c r="AR1750">
        <v>132.5625</v>
      </c>
      <c r="AS1750">
        <v>10870.125</v>
      </c>
    </row>
    <row r="1751" spans="1:45" hidden="1">
      <c r="A1751" t="s">
        <v>57</v>
      </c>
      <c r="B1751" t="s">
        <v>762</v>
      </c>
      <c r="C1751" t="s">
        <v>699</v>
      </c>
      <c r="D1751" t="s">
        <v>287</v>
      </c>
      <c r="E1751" t="s">
        <v>172</v>
      </c>
      <c r="F1751" t="s">
        <v>452</v>
      </c>
      <c r="G1751" t="s">
        <v>453</v>
      </c>
      <c r="H1751">
        <v>0</v>
      </c>
      <c r="I1751">
        <v>0</v>
      </c>
      <c r="J1751">
        <v>0</v>
      </c>
      <c r="K1751">
        <v>0</v>
      </c>
      <c r="AQ1751">
        <v>0</v>
      </c>
      <c r="AR1751">
        <v>3181.5</v>
      </c>
      <c r="AS1751">
        <v>0</v>
      </c>
    </row>
    <row r="1752" spans="1:45" hidden="1">
      <c r="A1752" t="s">
        <v>57</v>
      </c>
      <c r="B1752" t="s">
        <v>762</v>
      </c>
      <c r="C1752" t="s">
        <v>700</v>
      </c>
      <c r="D1752" t="s">
        <v>287</v>
      </c>
      <c r="E1752" t="s">
        <v>172</v>
      </c>
      <c r="F1752" t="s">
        <v>454</v>
      </c>
      <c r="G1752" t="s">
        <v>455</v>
      </c>
      <c r="H1752">
        <v>1</v>
      </c>
      <c r="I1752">
        <v>0</v>
      </c>
      <c r="J1752">
        <v>0</v>
      </c>
      <c r="K1752">
        <v>0</v>
      </c>
      <c r="AQ1752">
        <v>1</v>
      </c>
      <c r="AR1752">
        <v>318150</v>
      </c>
      <c r="AS1752">
        <v>318150</v>
      </c>
    </row>
    <row r="1753" spans="1:45" hidden="1">
      <c r="A1753" t="s">
        <v>57</v>
      </c>
      <c r="B1753" t="s">
        <v>762</v>
      </c>
      <c r="C1753" t="s">
        <v>701</v>
      </c>
      <c r="D1753" t="s">
        <v>287</v>
      </c>
      <c r="E1753" t="s">
        <v>172</v>
      </c>
      <c r="F1753" t="s">
        <v>456</v>
      </c>
      <c r="G1753" t="s">
        <v>457</v>
      </c>
      <c r="H1753">
        <v>0</v>
      </c>
      <c r="I1753">
        <v>0</v>
      </c>
      <c r="J1753">
        <v>0</v>
      </c>
      <c r="K1753">
        <v>0</v>
      </c>
      <c r="AQ1753">
        <v>0</v>
      </c>
      <c r="AR1753">
        <v>238612.5</v>
      </c>
      <c r="AS1753">
        <v>0</v>
      </c>
    </row>
    <row r="1754" spans="1:45" hidden="1">
      <c r="A1754" t="s">
        <v>57</v>
      </c>
      <c r="B1754" t="s">
        <v>762</v>
      </c>
      <c r="C1754" t="s">
        <v>184</v>
      </c>
      <c r="D1754" t="s">
        <v>185</v>
      </c>
      <c r="E1754" t="s">
        <v>186</v>
      </c>
      <c r="F1754" t="s">
        <v>187</v>
      </c>
      <c r="G1754" t="s">
        <v>188</v>
      </c>
      <c r="H1754">
        <v>4</v>
      </c>
      <c r="I1754">
        <v>1</v>
      </c>
      <c r="J1754">
        <v>1</v>
      </c>
      <c r="K1754">
        <v>1</v>
      </c>
      <c r="AQ1754">
        <v>7</v>
      </c>
      <c r="AR1754">
        <v>2121</v>
      </c>
      <c r="AS1754">
        <v>14847</v>
      </c>
    </row>
    <row r="1755" spans="1:45" hidden="1">
      <c r="A1755" t="s">
        <v>57</v>
      </c>
      <c r="B1755" t="s">
        <v>762</v>
      </c>
      <c r="C1755" t="s">
        <v>189</v>
      </c>
      <c r="D1755" t="s">
        <v>190</v>
      </c>
      <c r="E1755" t="s">
        <v>186</v>
      </c>
      <c r="F1755" t="s">
        <v>191</v>
      </c>
      <c r="G1755" t="s">
        <v>192</v>
      </c>
      <c r="H1755">
        <v>6</v>
      </c>
      <c r="I1755">
        <v>2</v>
      </c>
      <c r="J1755">
        <v>1</v>
      </c>
      <c r="K1755">
        <v>0</v>
      </c>
      <c r="AQ1755">
        <v>9</v>
      </c>
      <c r="AR1755">
        <v>1060.5</v>
      </c>
      <c r="AS1755">
        <v>9544.5</v>
      </c>
    </row>
    <row r="1756" spans="1:45" hidden="1">
      <c r="A1756" t="s">
        <v>57</v>
      </c>
      <c r="B1756" t="s">
        <v>762</v>
      </c>
      <c r="C1756" t="s">
        <v>702</v>
      </c>
      <c r="D1756" t="s">
        <v>190</v>
      </c>
      <c r="E1756" t="s">
        <v>186</v>
      </c>
      <c r="F1756" t="s">
        <v>458</v>
      </c>
      <c r="G1756" t="s">
        <v>459</v>
      </c>
      <c r="H1756">
        <v>2</v>
      </c>
      <c r="I1756">
        <v>0</v>
      </c>
      <c r="J1756">
        <v>0</v>
      </c>
      <c r="K1756">
        <v>0</v>
      </c>
      <c r="AQ1756">
        <v>2</v>
      </c>
      <c r="AR1756">
        <v>1590.75</v>
      </c>
      <c r="AS1756">
        <v>3181.5</v>
      </c>
    </row>
    <row r="1757" spans="1:45" hidden="1">
      <c r="A1757" t="s">
        <v>57</v>
      </c>
      <c r="B1757" t="s">
        <v>762</v>
      </c>
      <c r="C1757" t="s">
        <v>193</v>
      </c>
      <c r="D1757" t="s">
        <v>194</v>
      </c>
      <c r="E1757" t="s">
        <v>186</v>
      </c>
      <c r="F1757" t="s">
        <v>195</v>
      </c>
      <c r="G1757" t="s">
        <v>152</v>
      </c>
      <c r="H1757">
        <v>93000</v>
      </c>
      <c r="I1757">
        <v>10500</v>
      </c>
      <c r="J1757">
        <v>1900</v>
      </c>
      <c r="K1757">
        <v>862</v>
      </c>
      <c r="AQ1757">
        <v>106262</v>
      </c>
      <c r="AR1757">
        <v>0.63629999999999998</v>
      </c>
      <c r="AS1757">
        <v>67614.510599999994</v>
      </c>
    </row>
    <row r="1758" spans="1:45" hidden="1">
      <c r="A1758" t="s">
        <v>57</v>
      </c>
      <c r="B1758" t="s">
        <v>762</v>
      </c>
      <c r="C1758" t="s">
        <v>197</v>
      </c>
      <c r="D1758" t="s">
        <v>198</v>
      </c>
      <c r="E1758" t="s">
        <v>186</v>
      </c>
      <c r="F1758" t="s">
        <v>199</v>
      </c>
      <c r="G1758" t="s">
        <v>200</v>
      </c>
      <c r="H1758">
        <v>8</v>
      </c>
      <c r="I1758">
        <v>1</v>
      </c>
      <c r="J1758">
        <v>1</v>
      </c>
      <c r="K1758">
        <v>0</v>
      </c>
      <c r="AQ1758">
        <v>10</v>
      </c>
      <c r="AR1758">
        <v>4984.3500000000004</v>
      </c>
      <c r="AS1758">
        <v>49843.5</v>
      </c>
    </row>
    <row r="1759" spans="1:45" hidden="1">
      <c r="A1759" t="s">
        <v>57</v>
      </c>
      <c r="B1759" t="s">
        <v>762</v>
      </c>
      <c r="C1759" t="s">
        <v>201</v>
      </c>
      <c r="D1759" t="s">
        <v>202</v>
      </c>
      <c r="E1759" t="s">
        <v>186</v>
      </c>
      <c r="F1759" t="s">
        <v>203</v>
      </c>
      <c r="G1759" t="s">
        <v>204</v>
      </c>
      <c r="H1759">
        <v>250</v>
      </c>
      <c r="I1759">
        <v>50</v>
      </c>
      <c r="J1759">
        <v>0</v>
      </c>
      <c r="K1759">
        <v>0</v>
      </c>
      <c r="AQ1759">
        <v>300</v>
      </c>
      <c r="AR1759">
        <v>31.815000000000001</v>
      </c>
      <c r="AS1759">
        <v>9544.5</v>
      </c>
    </row>
    <row r="1760" spans="1:45" hidden="1">
      <c r="A1760" t="s">
        <v>57</v>
      </c>
      <c r="B1760" t="s">
        <v>762</v>
      </c>
      <c r="C1760" t="s">
        <v>703</v>
      </c>
      <c r="D1760" t="s">
        <v>460</v>
      </c>
      <c r="E1760" t="s">
        <v>186</v>
      </c>
      <c r="F1760" t="s">
        <v>461</v>
      </c>
      <c r="G1760" t="s">
        <v>462</v>
      </c>
      <c r="H1760">
        <v>0</v>
      </c>
      <c r="I1760">
        <v>0</v>
      </c>
      <c r="J1760">
        <v>0</v>
      </c>
      <c r="K1760">
        <v>0</v>
      </c>
      <c r="AQ1760">
        <v>0</v>
      </c>
      <c r="AR1760">
        <v>15907.5</v>
      </c>
      <c r="AS1760">
        <v>0</v>
      </c>
    </row>
    <row r="1761" spans="1:45" hidden="1">
      <c r="A1761" t="s">
        <v>57</v>
      </c>
      <c r="B1761" t="s">
        <v>762</v>
      </c>
      <c r="C1761" t="s">
        <v>704</v>
      </c>
      <c r="D1761" t="s">
        <v>468</v>
      </c>
      <c r="E1761" t="s">
        <v>186</v>
      </c>
      <c r="F1761" t="s">
        <v>469</v>
      </c>
      <c r="G1761" t="s">
        <v>470</v>
      </c>
      <c r="I1761">
        <v>0</v>
      </c>
      <c r="J1761">
        <v>0</v>
      </c>
      <c r="K1761">
        <v>0</v>
      </c>
      <c r="AQ1761">
        <v>0</v>
      </c>
      <c r="AR1761">
        <v>159.07499999999999</v>
      </c>
      <c r="AS1761">
        <v>0</v>
      </c>
    </row>
    <row r="1762" spans="1:45" hidden="1">
      <c r="A1762" t="s">
        <v>57</v>
      </c>
      <c r="B1762" t="s">
        <v>762</v>
      </c>
      <c r="C1762" t="s">
        <v>705</v>
      </c>
      <c r="D1762" t="s">
        <v>463</v>
      </c>
      <c r="E1762" t="s">
        <v>186</v>
      </c>
      <c r="F1762" t="s">
        <v>466</v>
      </c>
      <c r="G1762" t="s">
        <v>467</v>
      </c>
      <c r="H1762">
        <v>1</v>
      </c>
      <c r="I1762">
        <v>0</v>
      </c>
      <c r="J1762">
        <v>0</v>
      </c>
      <c r="K1762">
        <v>0</v>
      </c>
      <c r="AQ1762">
        <v>1</v>
      </c>
      <c r="AR1762">
        <v>509.04</v>
      </c>
      <c r="AS1762">
        <v>509.04</v>
      </c>
    </row>
    <row r="1763" spans="1:45" hidden="1">
      <c r="A1763" t="s">
        <v>57</v>
      </c>
      <c r="B1763" t="s">
        <v>762</v>
      </c>
      <c r="C1763" t="s">
        <v>706</v>
      </c>
      <c r="D1763" t="s">
        <v>463</v>
      </c>
      <c r="E1763" t="s">
        <v>186</v>
      </c>
      <c r="F1763" t="s">
        <v>464</v>
      </c>
      <c r="G1763" t="s">
        <v>465</v>
      </c>
      <c r="H1763">
        <v>0</v>
      </c>
      <c r="I1763">
        <v>0</v>
      </c>
      <c r="J1763">
        <v>0</v>
      </c>
      <c r="K1763">
        <v>0</v>
      </c>
      <c r="AQ1763">
        <v>0</v>
      </c>
      <c r="AR1763">
        <v>1060.5</v>
      </c>
      <c r="AS1763">
        <v>0</v>
      </c>
    </row>
    <row r="1764" spans="1:45" hidden="1">
      <c r="A1764" t="s">
        <v>57</v>
      </c>
      <c r="B1764" t="s">
        <v>762</v>
      </c>
      <c r="C1764" t="s">
        <v>707</v>
      </c>
      <c r="D1764" t="s">
        <v>471</v>
      </c>
      <c r="E1764" t="s">
        <v>186</v>
      </c>
      <c r="F1764" t="s">
        <v>472</v>
      </c>
      <c r="G1764" t="s">
        <v>473</v>
      </c>
      <c r="H1764">
        <v>0</v>
      </c>
      <c r="I1764">
        <v>0</v>
      </c>
      <c r="J1764">
        <v>0</v>
      </c>
      <c r="K1764">
        <v>0</v>
      </c>
      <c r="AQ1764">
        <v>0</v>
      </c>
      <c r="AR1764">
        <v>15377.25</v>
      </c>
      <c r="AS1764">
        <v>0</v>
      </c>
    </row>
    <row r="1765" spans="1:45" hidden="1">
      <c r="A1765" t="s">
        <v>57</v>
      </c>
      <c r="B1765" t="s">
        <v>762</v>
      </c>
      <c r="C1765" t="s">
        <v>205</v>
      </c>
      <c r="D1765" t="s">
        <v>206</v>
      </c>
      <c r="E1765" t="s">
        <v>207</v>
      </c>
      <c r="F1765" t="s">
        <v>208</v>
      </c>
      <c r="G1765" t="s">
        <v>209</v>
      </c>
      <c r="H1765">
        <v>30000</v>
      </c>
      <c r="I1765">
        <v>8500</v>
      </c>
      <c r="J1765">
        <v>1900</v>
      </c>
      <c r="K1765">
        <v>0</v>
      </c>
      <c r="AQ1765">
        <v>40400</v>
      </c>
      <c r="AR1765">
        <v>0.16159999999999999</v>
      </c>
      <c r="AS1765">
        <v>6528.64</v>
      </c>
    </row>
    <row r="1766" spans="1:45" hidden="1">
      <c r="A1766" t="s">
        <v>57</v>
      </c>
      <c r="B1766" t="s">
        <v>762</v>
      </c>
      <c r="C1766" t="s">
        <v>210</v>
      </c>
      <c r="D1766" t="s">
        <v>211</v>
      </c>
      <c r="E1766" t="s">
        <v>207</v>
      </c>
      <c r="F1766" t="s">
        <v>212</v>
      </c>
      <c r="G1766" t="s">
        <v>209</v>
      </c>
      <c r="H1766">
        <v>93000</v>
      </c>
      <c r="I1766">
        <v>10500</v>
      </c>
      <c r="J1766">
        <v>1900</v>
      </c>
      <c r="K1766">
        <v>862</v>
      </c>
      <c r="AQ1766">
        <v>106262</v>
      </c>
      <c r="AR1766">
        <v>0.63629999999999998</v>
      </c>
      <c r="AS1766">
        <v>67614.510599999994</v>
      </c>
    </row>
    <row r="1767" spans="1:45" hidden="1">
      <c r="A1767" t="s">
        <v>57</v>
      </c>
      <c r="B1767" t="s">
        <v>762</v>
      </c>
      <c r="C1767" t="s">
        <v>213</v>
      </c>
      <c r="D1767" t="s">
        <v>214</v>
      </c>
      <c r="E1767" t="s">
        <v>207</v>
      </c>
      <c r="F1767" t="s">
        <v>215</v>
      </c>
      <c r="G1767" t="s">
        <v>152</v>
      </c>
      <c r="H1767">
        <v>67000</v>
      </c>
      <c r="I1767">
        <v>10500</v>
      </c>
      <c r="J1767">
        <v>1900</v>
      </c>
      <c r="K1767">
        <v>862</v>
      </c>
      <c r="AQ1767">
        <v>80262</v>
      </c>
      <c r="AR1767">
        <v>0.32319999999999999</v>
      </c>
      <c r="AS1767">
        <v>25940.678400000001</v>
      </c>
    </row>
    <row r="1768" spans="1:45" hidden="1">
      <c r="A1768" t="s">
        <v>57</v>
      </c>
      <c r="B1768" t="s">
        <v>762</v>
      </c>
      <c r="C1768" t="s">
        <v>255</v>
      </c>
      <c r="D1768" t="s">
        <v>256</v>
      </c>
      <c r="E1768" t="s">
        <v>207</v>
      </c>
      <c r="F1768" t="s">
        <v>257</v>
      </c>
      <c r="G1768" t="s">
        <v>258</v>
      </c>
      <c r="H1768">
        <v>900</v>
      </c>
      <c r="I1768">
        <v>140</v>
      </c>
      <c r="J1768">
        <v>0</v>
      </c>
      <c r="K1768">
        <v>0</v>
      </c>
      <c r="AQ1768">
        <v>1040</v>
      </c>
      <c r="AR1768">
        <v>31.815000000000001</v>
      </c>
      <c r="AS1768">
        <v>33087.599999999999</v>
      </c>
    </row>
    <row r="1769" spans="1:45" hidden="1">
      <c r="A1769" t="s">
        <v>57</v>
      </c>
      <c r="B1769" t="s">
        <v>762</v>
      </c>
      <c r="C1769" t="s">
        <v>217</v>
      </c>
      <c r="D1769" t="s">
        <v>218</v>
      </c>
      <c r="E1769" t="s">
        <v>207</v>
      </c>
      <c r="F1769" t="s">
        <v>219</v>
      </c>
      <c r="G1769" t="s">
        <v>220</v>
      </c>
      <c r="H1769">
        <v>670</v>
      </c>
      <c r="I1769">
        <v>130</v>
      </c>
      <c r="J1769">
        <v>24</v>
      </c>
      <c r="K1769">
        <v>8</v>
      </c>
      <c r="AQ1769">
        <v>832</v>
      </c>
      <c r="AR1769">
        <v>9.5950000000000006</v>
      </c>
      <c r="AS1769">
        <v>7983.04</v>
      </c>
    </row>
    <row r="1770" spans="1:45" hidden="1">
      <c r="A1770" t="s">
        <v>57</v>
      </c>
      <c r="B1770" t="s">
        <v>762</v>
      </c>
      <c r="C1770" t="s">
        <v>708</v>
      </c>
      <c r="D1770" t="s">
        <v>474</v>
      </c>
      <c r="E1770" t="s">
        <v>207</v>
      </c>
      <c r="F1770" t="s">
        <v>475</v>
      </c>
      <c r="G1770" t="s">
        <v>476</v>
      </c>
      <c r="H1770">
        <v>20</v>
      </c>
      <c r="I1770">
        <v>10</v>
      </c>
      <c r="J1770">
        <v>0</v>
      </c>
      <c r="K1770">
        <v>0</v>
      </c>
      <c r="AQ1770">
        <v>30</v>
      </c>
      <c r="AR1770">
        <v>79.790000000000006</v>
      </c>
      <c r="AS1770">
        <v>2393.6999999999998</v>
      </c>
    </row>
    <row r="1771" spans="1:45" hidden="1">
      <c r="A1771" t="s">
        <v>57</v>
      </c>
      <c r="B1771" t="s">
        <v>762</v>
      </c>
      <c r="C1771" t="s">
        <v>709</v>
      </c>
      <c r="D1771" t="s">
        <v>477</v>
      </c>
      <c r="E1771" t="s">
        <v>207</v>
      </c>
      <c r="F1771" t="s">
        <v>478</v>
      </c>
      <c r="G1771" t="s">
        <v>479</v>
      </c>
      <c r="H1771">
        <v>5500</v>
      </c>
      <c r="I1771">
        <v>1200</v>
      </c>
      <c r="J1771">
        <v>150</v>
      </c>
      <c r="K1771">
        <v>50</v>
      </c>
      <c r="AQ1771">
        <v>6900</v>
      </c>
      <c r="AR1771">
        <v>2.121</v>
      </c>
      <c r="AS1771">
        <v>14634.9</v>
      </c>
    </row>
    <row r="1772" spans="1:45" hidden="1">
      <c r="A1772" t="s">
        <v>57</v>
      </c>
      <c r="B1772" t="s">
        <v>762</v>
      </c>
      <c r="C1772" t="s">
        <v>221</v>
      </c>
      <c r="D1772" t="s">
        <v>222</v>
      </c>
      <c r="E1772" t="s">
        <v>207</v>
      </c>
      <c r="F1772" t="s">
        <v>223</v>
      </c>
      <c r="G1772" t="s">
        <v>224</v>
      </c>
      <c r="H1772">
        <v>2</v>
      </c>
      <c r="I1772">
        <v>1</v>
      </c>
      <c r="J1772">
        <v>0</v>
      </c>
      <c r="K1772">
        <v>0</v>
      </c>
      <c r="AQ1772">
        <v>3</v>
      </c>
      <c r="AR1772">
        <v>2651.25</v>
      </c>
      <c r="AS1772">
        <v>7953.75</v>
      </c>
    </row>
    <row r="1773" spans="1:45" hidden="1">
      <c r="A1773" t="s">
        <v>57</v>
      </c>
      <c r="B1773" t="s">
        <v>762</v>
      </c>
      <c r="C1773" t="s">
        <v>225</v>
      </c>
      <c r="D1773" t="s">
        <v>226</v>
      </c>
      <c r="E1773" t="s">
        <v>207</v>
      </c>
      <c r="F1773" t="s">
        <v>227</v>
      </c>
      <c r="G1773" t="s">
        <v>228</v>
      </c>
      <c r="H1773">
        <v>230</v>
      </c>
      <c r="I1773">
        <v>28</v>
      </c>
      <c r="J1773">
        <v>10</v>
      </c>
      <c r="K1773">
        <v>3</v>
      </c>
      <c r="AQ1773">
        <v>271</v>
      </c>
      <c r="AR1773">
        <v>21.21</v>
      </c>
      <c r="AS1773">
        <v>5747.91</v>
      </c>
    </row>
    <row r="1774" spans="1:45" hidden="1">
      <c r="A1774" t="s">
        <v>57</v>
      </c>
      <c r="B1774" t="s">
        <v>762</v>
      </c>
      <c r="C1774" t="s">
        <v>710</v>
      </c>
      <c r="D1774" t="s">
        <v>480</v>
      </c>
      <c r="E1774" t="s">
        <v>207</v>
      </c>
      <c r="F1774" t="s">
        <v>481</v>
      </c>
      <c r="G1774" t="s">
        <v>482</v>
      </c>
      <c r="H1774">
        <v>3</v>
      </c>
      <c r="I1774">
        <v>2</v>
      </c>
      <c r="J1774">
        <v>0</v>
      </c>
      <c r="K1774">
        <v>0</v>
      </c>
      <c r="AQ1774">
        <v>5</v>
      </c>
      <c r="AR1774">
        <v>1272.5999999999999</v>
      </c>
      <c r="AS1774">
        <v>6363</v>
      </c>
    </row>
    <row r="1775" spans="1:45" hidden="1">
      <c r="A1775" t="s">
        <v>57</v>
      </c>
      <c r="B1775" t="s">
        <v>762</v>
      </c>
      <c r="C1775" t="s">
        <v>711</v>
      </c>
      <c r="D1775" t="s">
        <v>488</v>
      </c>
      <c r="E1775" t="s">
        <v>207</v>
      </c>
      <c r="F1775" t="s">
        <v>489</v>
      </c>
      <c r="G1775" t="s">
        <v>490</v>
      </c>
      <c r="H1775">
        <v>18000</v>
      </c>
      <c r="I1775">
        <v>2000</v>
      </c>
      <c r="J1775">
        <v>0</v>
      </c>
      <c r="K1775">
        <v>0</v>
      </c>
      <c r="AQ1775">
        <v>20000</v>
      </c>
      <c r="AR1775">
        <v>0.5353</v>
      </c>
      <c r="AS1775">
        <v>10706</v>
      </c>
    </row>
    <row r="1776" spans="1:45" hidden="1">
      <c r="A1776" t="s">
        <v>57</v>
      </c>
      <c r="B1776" t="s">
        <v>762</v>
      </c>
      <c r="C1776" t="s">
        <v>712</v>
      </c>
      <c r="D1776" t="s">
        <v>483</v>
      </c>
      <c r="E1776" t="s">
        <v>207</v>
      </c>
      <c r="F1776" t="s">
        <v>484</v>
      </c>
      <c r="G1776" t="s">
        <v>392</v>
      </c>
      <c r="H1776">
        <v>0</v>
      </c>
      <c r="I1776">
        <v>0</v>
      </c>
      <c r="J1776">
        <v>0</v>
      </c>
      <c r="K1776">
        <v>0</v>
      </c>
      <c r="AQ1776">
        <v>0</v>
      </c>
      <c r="AR1776">
        <v>2121</v>
      </c>
      <c r="AS1776">
        <v>0</v>
      </c>
    </row>
    <row r="1777" spans="1:45" hidden="1">
      <c r="A1777" t="s">
        <v>57</v>
      </c>
      <c r="B1777" t="s">
        <v>762</v>
      </c>
      <c r="C1777" t="s">
        <v>713</v>
      </c>
      <c r="D1777" t="s">
        <v>485</v>
      </c>
      <c r="E1777" t="s">
        <v>207</v>
      </c>
      <c r="F1777" t="s">
        <v>486</v>
      </c>
      <c r="G1777" t="s">
        <v>487</v>
      </c>
      <c r="H1777">
        <v>10</v>
      </c>
      <c r="I1777">
        <v>0</v>
      </c>
      <c r="J1777">
        <v>0</v>
      </c>
      <c r="K1777">
        <v>0</v>
      </c>
      <c r="AQ1777">
        <v>10</v>
      </c>
      <c r="AR1777">
        <v>265.125</v>
      </c>
      <c r="AS1777">
        <v>2651.25</v>
      </c>
    </row>
    <row r="1778" spans="1:45" hidden="1">
      <c r="A1778" t="s">
        <v>57</v>
      </c>
      <c r="B1778" t="s">
        <v>762</v>
      </c>
      <c r="C1778" t="s">
        <v>229</v>
      </c>
      <c r="D1778" t="s">
        <v>230</v>
      </c>
      <c r="E1778" t="s">
        <v>231</v>
      </c>
      <c r="F1778" t="s">
        <v>232</v>
      </c>
      <c r="G1778" t="s">
        <v>233</v>
      </c>
      <c r="H1778">
        <v>15</v>
      </c>
      <c r="I1778">
        <v>7</v>
      </c>
      <c r="J1778">
        <v>2</v>
      </c>
      <c r="K1778">
        <v>1</v>
      </c>
      <c r="AQ1778">
        <v>25</v>
      </c>
      <c r="AR1778">
        <v>1484.7</v>
      </c>
      <c r="AS1778">
        <v>37117.5</v>
      </c>
    </row>
    <row r="1779" spans="1:45" hidden="1">
      <c r="A1779" t="s">
        <v>57</v>
      </c>
      <c r="B1779" t="s">
        <v>762</v>
      </c>
      <c r="C1779" t="s">
        <v>234</v>
      </c>
      <c r="D1779" t="s">
        <v>230</v>
      </c>
      <c r="E1779" t="s">
        <v>231</v>
      </c>
      <c r="F1779" t="s">
        <v>285</v>
      </c>
      <c r="G1779" t="s">
        <v>233</v>
      </c>
      <c r="H1779">
        <v>3</v>
      </c>
      <c r="I1779">
        <v>0</v>
      </c>
      <c r="J1779">
        <v>0</v>
      </c>
      <c r="K1779">
        <v>0</v>
      </c>
      <c r="AQ1779">
        <v>3</v>
      </c>
      <c r="AR1779">
        <v>1696.8</v>
      </c>
      <c r="AS1779">
        <v>5090.3999999999996</v>
      </c>
    </row>
    <row r="1780" spans="1:45" hidden="1">
      <c r="A1780" t="s">
        <v>57</v>
      </c>
      <c r="B1780" t="s">
        <v>762</v>
      </c>
      <c r="C1780" t="s">
        <v>714</v>
      </c>
      <c r="D1780" t="s">
        <v>230</v>
      </c>
      <c r="E1780" t="s">
        <v>231</v>
      </c>
      <c r="F1780" t="s">
        <v>491</v>
      </c>
      <c r="G1780" t="s">
        <v>233</v>
      </c>
      <c r="H1780">
        <v>16</v>
      </c>
      <c r="I1780">
        <v>0</v>
      </c>
      <c r="J1780">
        <v>0</v>
      </c>
      <c r="K1780">
        <v>0</v>
      </c>
      <c r="AQ1780">
        <v>16</v>
      </c>
      <c r="AR1780">
        <v>1908.9</v>
      </c>
      <c r="AS1780">
        <v>30542.400000000001</v>
      </c>
    </row>
    <row r="1781" spans="1:45" hidden="1">
      <c r="A1781" t="s">
        <v>57</v>
      </c>
      <c r="B1781" t="s">
        <v>762</v>
      </c>
      <c r="C1781" t="s">
        <v>236</v>
      </c>
      <c r="D1781" t="s">
        <v>237</v>
      </c>
      <c r="E1781" t="s">
        <v>231</v>
      </c>
      <c r="F1781" t="s">
        <v>238</v>
      </c>
      <c r="G1781" t="s">
        <v>239</v>
      </c>
      <c r="H1781">
        <v>1</v>
      </c>
      <c r="I1781">
        <v>1</v>
      </c>
      <c r="J1781">
        <v>0</v>
      </c>
      <c r="K1781">
        <v>0</v>
      </c>
      <c r="AQ1781">
        <v>2</v>
      </c>
      <c r="AR1781">
        <v>265.125</v>
      </c>
      <c r="AS1781">
        <v>530.25</v>
      </c>
    </row>
    <row r="1782" spans="1:45" hidden="1">
      <c r="A1782" t="s">
        <v>57</v>
      </c>
      <c r="B1782" t="s">
        <v>762</v>
      </c>
      <c r="C1782" t="s">
        <v>715</v>
      </c>
      <c r="D1782" t="s">
        <v>492</v>
      </c>
      <c r="E1782" t="s">
        <v>231</v>
      </c>
      <c r="F1782" t="s">
        <v>493</v>
      </c>
      <c r="G1782" t="s">
        <v>494</v>
      </c>
      <c r="H1782">
        <v>0</v>
      </c>
      <c r="I1782">
        <v>0</v>
      </c>
      <c r="J1782">
        <v>0</v>
      </c>
      <c r="K1782">
        <v>0</v>
      </c>
      <c r="AQ1782">
        <v>0</v>
      </c>
      <c r="AR1782">
        <v>742.35</v>
      </c>
      <c r="AS1782">
        <v>0</v>
      </c>
    </row>
    <row r="1783" spans="1:45" hidden="1">
      <c r="A1783" t="s">
        <v>57</v>
      </c>
      <c r="B1783" t="s">
        <v>762</v>
      </c>
      <c r="C1783" t="s">
        <v>716</v>
      </c>
      <c r="D1783" t="s">
        <v>495</v>
      </c>
      <c r="E1783" t="s">
        <v>231</v>
      </c>
      <c r="F1783" t="s">
        <v>496</v>
      </c>
      <c r="G1783" t="s">
        <v>497</v>
      </c>
      <c r="H1783">
        <v>0</v>
      </c>
      <c r="I1783">
        <v>0</v>
      </c>
      <c r="J1783">
        <v>0</v>
      </c>
      <c r="K1783">
        <v>0</v>
      </c>
      <c r="AQ1783">
        <v>0</v>
      </c>
      <c r="AR1783">
        <v>848.4</v>
      </c>
      <c r="AS1783">
        <v>0</v>
      </c>
    </row>
    <row r="1784" spans="1:45" hidden="1">
      <c r="A1784" t="s">
        <v>57</v>
      </c>
      <c r="B1784" t="s">
        <v>762</v>
      </c>
      <c r="C1784" t="s">
        <v>717</v>
      </c>
      <c r="D1784" t="s">
        <v>498</v>
      </c>
      <c r="E1784" t="s">
        <v>242</v>
      </c>
      <c r="F1784" t="s">
        <v>499</v>
      </c>
      <c r="G1784" t="s">
        <v>500</v>
      </c>
      <c r="H1784">
        <v>93000</v>
      </c>
      <c r="I1784">
        <v>8500</v>
      </c>
      <c r="J1784">
        <v>1900</v>
      </c>
      <c r="K1784">
        <v>862</v>
      </c>
      <c r="AQ1784">
        <v>104262</v>
      </c>
      <c r="AR1784">
        <v>1.4341999999999999</v>
      </c>
      <c r="AS1784">
        <v>149532.56039999999</v>
      </c>
    </row>
    <row r="1785" spans="1:45" hidden="1">
      <c r="A1785" t="s">
        <v>57</v>
      </c>
      <c r="B1785" t="s">
        <v>762</v>
      </c>
      <c r="C1785" t="s">
        <v>718</v>
      </c>
      <c r="D1785" t="s">
        <v>504</v>
      </c>
      <c r="E1785" t="s">
        <v>242</v>
      </c>
      <c r="F1785" t="s">
        <v>505</v>
      </c>
      <c r="G1785" t="s">
        <v>506</v>
      </c>
      <c r="H1785">
        <v>17000</v>
      </c>
      <c r="I1785">
        <v>2000</v>
      </c>
      <c r="J1785">
        <v>3500</v>
      </c>
      <c r="K1785">
        <v>100</v>
      </c>
      <c r="AQ1785">
        <v>22600</v>
      </c>
      <c r="AR1785">
        <v>0.84840000000000004</v>
      </c>
      <c r="AS1785">
        <v>19173.84</v>
      </c>
    </row>
    <row r="1786" spans="1:45" hidden="1">
      <c r="A1786" t="s">
        <v>57</v>
      </c>
      <c r="B1786" t="s">
        <v>762</v>
      </c>
      <c r="C1786" t="s">
        <v>719</v>
      </c>
      <c r="D1786" t="s">
        <v>501</v>
      </c>
      <c r="E1786" t="s">
        <v>242</v>
      </c>
      <c r="F1786" t="s">
        <v>502</v>
      </c>
      <c r="G1786" t="s">
        <v>503</v>
      </c>
      <c r="H1786">
        <v>6</v>
      </c>
      <c r="I1786">
        <v>1</v>
      </c>
      <c r="J1786">
        <v>0</v>
      </c>
      <c r="K1786">
        <v>0</v>
      </c>
      <c r="AQ1786">
        <v>7</v>
      </c>
      <c r="AR1786">
        <v>1272.5999999999999</v>
      </c>
      <c r="AS1786">
        <v>8908.2000000000007</v>
      </c>
    </row>
    <row r="1787" spans="1:45" hidden="1">
      <c r="A1787" t="s">
        <v>57</v>
      </c>
      <c r="B1787" t="s">
        <v>762</v>
      </c>
      <c r="C1787" t="s">
        <v>720</v>
      </c>
      <c r="D1787" t="s">
        <v>518</v>
      </c>
      <c r="E1787" t="s">
        <v>242</v>
      </c>
      <c r="F1787" t="s">
        <v>519</v>
      </c>
      <c r="G1787" t="s">
        <v>517</v>
      </c>
      <c r="H1787">
        <v>2</v>
      </c>
      <c r="I1787">
        <v>1</v>
      </c>
      <c r="J1787">
        <v>0</v>
      </c>
      <c r="K1787">
        <v>0</v>
      </c>
      <c r="AQ1787">
        <v>3</v>
      </c>
      <c r="AR1787">
        <v>3181.5</v>
      </c>
      <c r="AS1787">
        <v>9544.5</v>
      </c>
    </row>
    <row r="1788" spans="1:45" hidden="1">
      <c r="A1788" t="s">
        <v>57</v>
      </c>
      <c r="B1788" t="s">
        <v>762</v>
      </c>
      <c r="C1788" t="s">
        <v>721</v>
      </c>
      <c r="D1788" t="s">
        <v>520</v>
      </c>
      <c r="E1788" t="s">
        <v>242</v>
      </c>
      <c r="F1788" t="s">
        <v>521</v>
      </c>
      <c r="G1788" t="s">
        <v>517</v>
      </c>
      <c r="H1788">
        <v>0</v>
      </c>
      <c r="I1788">
        <v>0</v>
      </c>
      <c r="J1788">
        <v>0</v>
      </c>
      <c r="K1788">
        <v>0</v>
      </c>
      <c r="AQ1788">
        <v>0</v>
      </c>
      <c r="AR1788">
        <v>2651.25</v>
      </c>
      <c r="AS1788">
        <v>0</v>
      </c>
    </row>
    <row r="1789" spans="1:45" hidden="1">
      <c r="A1789" t="s">
        <v>57</v>
      </c>
      <c r="B1789" t="s">
        <v>762</v>
      </c>
      <c r="C1789" t="s">
        <v>240</v>
      </c>
      <c r="D1789" t="s">
        <v>241</v>
      </c>
      <c r="E1789" t="s">
        <v>242</v>
      </c>
      <c r="F1789" t="s">
        <v>243</v>
      </c>
      <c r="G1789" t="s">
        <v>244</v>
      </c>
      <c r="H1789">
        <v>26</v>
      </c>
      <c r="I1789">
        <v>2</v>
      </c>
      <c r="J1789">
        <v>2</v>
      </c>
      <c r="K1789">
        <v>0</v>
      </c>
      <c r="AQ1789">
        <v>30</v>
      </c>
      <c r="AR1789">
        <v>318.14999999999998</v>
      </c>
      <c r="AS1789">
        <v>9544.5</v>
      </c>
    </row>
    <row r="1790" spans="1:45" hidden="1">
      <c r="A1790" t="s">
        <v>57</v>
      </c>
      <c r="B1790" t="s">
        <v>762</v>
      </c>
      <c r="C1790" t="s">
        <v>245</v>
      </c>
      <c r="D1790" t="s">
        <v>246</v>
      </c>
      <c r="E1790" t="s">
        <v>242</v>
      </c>
      <c r="F1790" t="s">
        <v>247</v>
      </c>
      <c r="G1790" t="s">
        <v>248</v>
      </c>
      <c r="H1790">
        <v>6</v>
      </c>
      <c r="I1790">
        <v>1</v>
      </c>
      <c r="J1790">
        <v>1</v>
      </c>
      <c r="K1790">
        <v>0</v>
      </c>
      <c r="AQ1790">
        <v>8</v>
      </c>
      <c r="AR1790">
        <v>265.125</v>
      </c>
      <c r="AS1790">
        <v>2121</v>
      </c>
    </row>
    <row r="1791" spans="1:45" hidden="1">
      <c r="A1791" t="s">
        <v>57</v>
      </c>
      <c r="B1791" t="s">
        <v>762</v>
      </c>
      <c r="C1791" t="s">
        <v>259</v>
      </c>
      <c r="D1791" t="s">
        <v>260</v>
      </c>
      <c r="E1791" t="s">
        <v>242</v>
      </c>
      <c r="F1791" t="s">
        <v>261</v>
      </c>
      <c r="G1791" t="s">
        <v>262</v>
      </c>
      <c r="H1791">
        <v>18</v>
      </c>
      <c r="I1791">
        <v>0</v>
      </c>
      <c r="J1791">
        <v>0</v>
      </c>
      <c r="K1791">
        <v>0</v>
      </c>
      <c r="AQ1791">
        <v>18</v>
      </c>
      <c r="AR1791">
        <v>318.14999999999998</v>
      </c>
      <c r="AS1791">
        <v>5726.7</v>
      </c>
    </row>
    <row r="1792" spans="1:45" hidden="1">
      <c r="A1792" t="s">
        <v>57</v>
      </c>
      <c r="B1792" t="s">
        <v>762</v>
      </c>
      <c r="C1792" t="s">
        <v>722</v>
      </c>
      <c r="D1792" t="s">
        <v>507</v>
      </c>
      <c r="E1792" t="s">
        <v>242</v>
      </c>
      <c r="F1792" t="s">
        <v>508</v>
      </c>
      <c r="G1792" t="s">
        <v>509</v>
      </c>
      <c r="H1792">
        <v>10</v>
      </c>
      <c r="I1792">
        <v>0</v>
      </c>
      <c r="J1792">
        <v>0</v>
      </c>
      <c r="K1792">
        <v>0</v>
      </c>
      <c r="AQ1792">
        <v>10</v>
      </c>
      <c r="AR1792">
        <v>2121</v>
      </c>
      <c r="AS1792">
        <v>21210</v>
      </c>
    </row>
    <row r="1793" spans="1:45" hidden="1">
      <c r="A1793" t="s">
        <v>57</v>
      </c>
      <c r="B1793" t="s">
        <v>762</v>
      </c>
      <c r="C1793" t="s">
        <v>723</v>
      </c>
      <c r="D1793" t="s">
        <v>510</v>
      </c>
      <c r="E1793" t="s">
        <v>242</v>
      </c>
      <c r="F1793" t="s">
        <v>511</v>
      </c>
      <c r="G1793" t="s">
        <v>512</v>
      </c>
      <c r="H1793">
        <v>10</v>
      </c>
      <c r="I1793">
        <v>0</v>
      </c>
      <c r="J1793">
        <v>1</v>
      </c>
      <c r="K1793">
        <v>0</v>
      </c>
      <c r="AQ1793">
        <v>11</v>
      </c>
      <c r="AR1793">
        <v>212.1</v>
      </c>
      <c r="AS1793">
        <v>2333.1</v>
      </c>
    </row>
    <row r="1794" spans="1:45" hidden="1">
      <c r="A1794" t="s">
        <v>57</v>
      </c>
      <c r="B1794" t="s">
        <v>762</v>
      </c>
      <c r="C1794" t="s">
        <v>724</v>
      </c>
      <c r="D1794" t="s">
        <v>526</v>
      </c>
      <c r="E1794" t="s">
        <v>242</v>
      </c>
      <c r="F1794" t="s">
        <v>527</v>
      </c>
      <c r="G1794" t="s">
        <v>528</v>
      </c>
      <c r="H1794">
        <v>0</v>
      </c>
      <c r="I1794">
        <v>0</v>
      </c>
      <c r="J1794">
        <v>0</v>
      </c>
      <c r="K1794">
        <v>0</v>
      </c>
      <c r="AQ1794">
        <v>0</v>
      </c>
      <c r="AR1794">
        <v>0.42420000000000002</v>
      </c>
      <c r="AS1794">
        <v>0</v>
      </c>
    </row>
    <row r="1795" spans="1:45" hidden="1">
      <c r="A1795" t="s">
        <v>57</v>
      </c>
      <c r="B1795" t="s">
        <v>762</v>
      </c>
      <c r="C1795" t="s">
        <v>725</v>
      </c>
      <c r="D1795" t="s">
        <v>529</v>
      </c>
      <c r="E1795" t="s">
        <v>242</v>
      </c>
      <c r="F1795" t="s">
        <v>530</v>
      </c>
      <c r="G1795" t="s">
        <v>531</v>
      </c>
      <c r="H1795">
        <v>5</v>
      </c>
      <c r="I1795">
        <v>2</v>
      </c>
      <c r="J1795">
        <v>1</v>
      </c>
      <c r="K1795">
        <v>1</v>
      </c>
      <c r="AQ1795">
        <v>9</v>
      </c>
      <c r="AR1795">
        <v>212.1</v>
      </c>
      <c r="AS1795">
        <v>1908.9</v>
      </c>
    </row>
    <row r="1796" spans="1:45" hidden="1">
      <c r="A1796" t="s">
        <v>57</v>
      </c>
      <c r="B1796" t="s">
        <v>762</v>
      </c>
      <c r="C1796" t="s">
        <v>726</v>
      </c>
      <c r="D1796" t="s">
        <v>532</v>
      </c>
      <c r="E1796" t="s">
        <v>242</v>
      </c>
      <c r="F1796" t="s">
        <v>533</v>
      </c>
      <c r="G1796" t="s">
        <v>534</v>
      </c>
      <c r="H1796">
        <v>0</v>
      </c>
      <c r="I1796">
        <v>0</v>
      </c>
      <c r="J1796">
        <v>0</v>
      </c>
      <c r="K1796">
        <v>0</v>
      </c>
      <c r="AQ1796">
        <v>0</v>
      </c>
      <c r="AR1796">
        <v>21.21</v>
      </c>
      <c r="AS1796">
        <v>0</v>
      </c>
    </row>
    <row r="1797" spans="1:45" hidden="1">
      <c r="A1797" t="s">
        <v>57</v>
      </c>
      <c r="B1797" t="s">
        <v>762</v>
      </c>
      <c r="C1797" t="s">
        <v>727</v>
      </c>
      <c r="D1797" t="s">
        <v>287</v>
      </c>
      <c r="E1797" t="s">
        <v>242</v>
      </c>
      <c r="F1797" t="s">
        <v>537</v>
      </c>
      <c r="G1797" t="s">
        <v>538</v>
      </c>
      <c r="H1797">
        <v>0</v>
      </c>
      <c r="I1797">
        <v>0</v>
      </c>
      <c r="J1797">
        <v>0</v>
      </c>
      <c r="K1797">
        <v>0</v>
      </c>
      <c r="AQ1797">
        <v>0</v>
      </c>
      <c r="AR1797">
        <v>127.26</v>
      </c>
      <c r="AS1797">
        <v>0</v>
      </c>
    </row>
    <row r="1798" spans="1:45" hidden="1">
      <c r="A1798" t="s">
        <v>57</v>
      </c>
      <c r="B1798" t="s">
        <v>762</v>
      </c>
      <c r="C1798" t="s">
        <v>728</v>
      </c>
      <c r="D1798" t="s">
        <v>287</v>
      </c>
      <c r="E1798" t="s">
        <v>242</v>
      </c>
      <c r="F1798" t="s">
        <v>535</v>
      </c>
      <c r="G1798" t="s">
        <v>536</v>
      </c>
      <c r="H1798">
        <v>0</v>
      </c>
      <c r="I1798">
        <v>0</v>
      </c>
      <c r="J1798">
        <v>0</v>
      </c>
      <c r="K1798">
        <v>0</v>
      </c>
      <c r="AQ1798">
        <v>0</v>
      </c>
      <c r="AR1798">
        <v>424.2</v>
      </c>
      <c r="AS1798">
        <v>0</v>
      </c>
    </row>
    <row r="1799" spans="1:45" hidden="1">
      <c r="A1799" t="s">
        <v>57</v>
      </c>
      <c r="B1799" t="s">
        <v>762</v>
      </c>
      <c r="C1799" t="s">
        <v>729</v>
      </c>
      <c r="D1799" t="s">
        <v>522</v>
      </c>
      <c r="E1799" t="s">
        <v>242</v>
      </c>
      <c r="F1799" t="s">
        <v>523</v>
      </c>
      <c r="G1799" t="s">
        <v>517</v>
      </c>
      <c r="H1799">
        <v>0</v>
      </c>
      <c r="I1799">
        <v>0</v>
      </c>
      <c r="J1799">
        <v>0</v>
      </c>
      <c r="K1799">
        <v>0</v>
      </c>
      <c r="AQ1799">
        <v>0</v>
      </c>
      <c r="AR1799">
        <v>1272.5999999999999</v>
      </c>
      <c r="AS1799">
        <v>0</v>
      </c>
    </row>
    <row r="1800" spans="1:45" hidden="1">
      <c r="A1800" t="s">
        <v>57</v>
      </c>
      <c r="B1800" t="s">
        <v>762</v>
      </c>
      <c r="C1800" t="s">
        <v>730</v>
      </c>
      <c r="D1800" t="s">
        <v>515</v>
      </c>
      <c r="E1800" t="s">
        <v>242</v>
      </c>
      <c r="F1800" t="s">
        <v>516</v>
      </c>
      <c r="G1800" t="s">
        <v>517</v>
      </c>
      <c r="H1800">
        <v>0</v>
      </c>
      <c r="I1800">
        <v>0</v>
      </c>
      <c r="J1800">
        <v>0</v>
      </c>
      <c r="K1800">
        <v>0</v>
      </c>
      <c r="AQ1800">
        <v>0</v>
      </c>
      <c r="AR1800">
        <v>3181.5</v>
      </c>
      <c r="AS1800">
        <v>0</v>
      </c>
    </row>
    <row r="1801" spans="1:45" hidden="1">
      <c r="A1801" t="s">
        <v>57</v>
      </c>
      <c r="B1801" t="s">
        <v>762</v>
      </c>
      <c r="C1801" t="s">
        <v>731</v>
      </c>
      <c r="D1801" t="s">
        <v>524</v>
      </c>
      <c r="E1801" t="s">
        <v>242</v>
      </c>
      <c r="F1801" t="s">
        <v>525</v>
      </c>
      <c r="G1801" t="s">
        <v>503</v>
      </c>
      <c r="H1801">
        <v>0</v>
      </c>
      <c r="I1801">
        <v>0</v>
      </c>
      <c r="J1801">
        <v>0</v>
      </c>
      <c r="K1801">
        <v>0</v>
      </c>
      <c r="AQ1801">
        <v>0</v>
      </c>
      <c r="AR1801">
        <v>15907.5</v>
      </c>
      <c r="AS1801">
        <v>0</v>
      </c>
    </row>
    <row r="1802" spans="1:45" hidden="1">
      <c r="A1802" t="s">
        <v>57</v>
      </c>
      <c r="B1802" t="s">
        <v>762</v>
      </c>
      <c r="C1802" t="s">
        <v>732</v>
      </c>
      <c r="D1802" t="s">
        <v>513</v>
      </c>
      <c r="E1802" t="s">
        <v>242</v>
      </c>
      <c r="F1802" t="s">
        <v>514</v>
      </c>
      <c r="G1802" t="s">
        <v>453</v>
      </c>
      <c r="H1802">
        <v>0</v>
      </c>
      <c r="I1802">
        <v>0</v>
      </c>
      <c r="J1802">
        <v>0</v>
      </c>
      <c r="K1802">
        <v>0</v>
      </c>
      <c r="AQ1802">
        <v>0</v>
      </c>
      <c r="AR1802">
        <v>848.4</v>
      </c>
      <c r="AS1802">
        <v>0</v>
      </c>
    </row>
    <row r="1803" spans="1:45" hidden="1">
      <c r="A1803" t="s">
        <v>57</v>
      </c>
      <c r="B1803" t="s">
        <v>762</v>
      </c>
      <c r="C1803" t="s">
        <v>733</v>
      </c>
      <c r="D1803" t="s">
        <v>287</v>
      </c>
      <c r="E1803" t="s">
        <v>242</v>
      </c>
      <c r="F1803" t="s">
        <v>539</v>
      </c>
      <c r="G1803" t="s">
        <v>540</v>
      </c>
      <c r="H1803">
        <v>0</v>
      </c>
      <c r="I1803">
        <v>0</v>
      </c>
      <c r="J1803">
        <v>0</v>
      </c>
      <c r="K1803">
        <v>0</v>
      </c>
      <c r="AQ1803">
        <v>0</v>
      </c>
      <c r="AR1803">
        <v>8.08</v>
      </c>
      <c r="AS1803">
        <v>0</v>
      </c>
    </row>
    <row r="1804" spans="1:45" hidden="1">
      <c r="A1804" t="s">
        <v>57</v>
      </c>
      <c r="B1804" t="s">
        <v>762</v>
      </c>
      <c r="C1804" t="s">
        <v>734</v>
      </c>
      <c r="D1804" t="s">
        <v>287</v>
      </c>
      <c r="E1804" t="s">
        <v>242</v>
      </c>
      <c r="F1804" t="s">
        <v>541</v>
      </c>
      <c r="G1804" t="s">
        <v>540</v>
      </c>
      <c r="H1804">
        <v>0</v>
      </c>
      <c r="I1804">
        <v>0</v>
      </c>
      <c r="J1804">
        <v>0</v>
      </c>
      <c r="K1804">
        <v>0</v>
      </c>
      <c r="AQ1804">
        <v>0</v>
      </c>
      <c r="AR1804">
        <v>7.4740000000000002</v>
      </c>
      <c r="AS1804">
        <v>0</v>
      </c>
    </row>
    <row r="1805" spans="1:45" hidden="1">
      <c r="A1805" t="s">
        <v>57</v>
      </c>
      <c r="B1805" t="s">
        <v>762</v>
      </c>
      <c r="C1805" t="s">
        <v>735</v>
      </c>
      <c r="D1805" t="s">
        <v>543</v>
      </c>
      <c r="E1805" t="s">
        <v>542</v>
      </c>
      <c r="F1805" t="s">
        <v>544</v>
      </c>
      <c r="G1805" t="s">
        <v>545</v>
      </c>
      <c r="H1805">
        <v>0</v>
      </c>
      <c r="I1805">
        <v>0</v>
      </c>
      <c r="J1805">
        <v>0</v>
      </c>
      <c r="K1805">
        <v>0</v>
      </c>
      <c r="AQ1805">
        <v>0</v>
      </c>
      <c r="AR1805">
        <v>0</v>
      </c>
      <c r="AS1805">
        <v>0</v>
      </c>
    </row>
    <row r="1806" spans="1:45" hidden="1">
      <c r="A1806" t="s">
        <v>57</v>
      </c>
      <c r="B1806" t="s">
        <v>762</v>
      </c>
      <c r="C1806" t="s">
        <v>286</v>
      </c>
      <c r="D1806" t="s">
        <v>287</v>
      </c>
      <c r="E1806" t="s">
        <v>288</v>
      </c>
      <c r="F1806" t="s">
        <v>289</v>
      </c>
      <c r="G1806" t="s">
        <v>547</v>
      </c>
      <c r="AQ1806">
        <v>0</v>
      </c>
      <c r="AR1806">
        <v>0.05</v>
      </c>
      <c r="AS1806">
        <v>121306.08448</v>
      </c>
    </row>
    <row r="1807" spans="1:45" hidden="1">
      <c r="A1807" t="s">
        <v>57</v>
      </c>
      <c r="B1807" t="s">
        <v>762</v>
      </c>
      <c r="C1807" t="s">
        <v>291</v>
      </c>
      <c r="D1807" t="s">
        <v>287</v>
      </c>
      <c r="E1807" t="s">
        <v>288</v>
      </c>
      <c r="F1807" t="s">
        <v>292</v>
      </c>
      <c r="G1807" t="s">
        <v>293</v>
      </c>
      <c r="H1807">
        <v>93000</v>
      </c>
      <c r="I1807">
        <v>10500</v>
      </c>
      <c r="J1807">
        <v>1900</v>
      </c>
      <c r="K1807">
        <v>862</v>
      </c>
      <c r="AQ1807">
        <v>106262</v>
      </c>
      <c r="AR1807">
        <v>6.0600000000000001E-2</v>
      </c>
      <c r="AS1807">
        <v>6439.4772000000003</v>
      </c>
    </row>
    <row r="1808" spans="1:45" hidden="1">
      <c r="A1808" t="s">
        <v>57</v>
      </c>
      <c r="B1808" t="s">
        <v>762</v>
      </c>
      <c r="C1808" t="s">
        <v>736</v>
      </c>
      <c r="D1808" t="s">
        <v>287</v>
      </c>
      <c r="E1808" t="s">
        <v>288</v>
      </c>
      <c r="F1808" t="s">
        <v>550</v>
      </c>
      <c r="G1808" t="s">
        <v>293</v>
      </c>
      <c r="H1808">
        <v>93000</v>
      </c>
      <c r="I1808">
        <v>10500</v>
      </c>
      <c r="J1808">
        <v>1900</v>
      </c>
      <c r="K1808">
        <v>862</v>
      </c>
      <c r="AQ1808">
        <v>106262</v>
      </c>
      <c r="AR1808">
        <v>5.0500000000000003E-2</v>
      </c>
      <c r="AS1808">
        <v>5366.2309999999998</v>
      </c>
    </row>
    <row r="1809" spans="1:45" hidden="1">
      <c r="A1809" t="s">
        <v>57</v>
      </c>
      <c r="B1809" t="s">
        <v>762</v>
      </c>
      <c r="C1809" t="s">
        <v>737</v>
      </c>
      <c r="D1809" t="s">
        <v>287</v>
      </c>
      <c r="E1809" t="s">
        <v>288</v>
      </c>
      <c r="F1809" t="s">
        <v>548</v>
      </c>
      <c r="G1809" t="s">
        <v>293</v>
      </c>
      <c r="H1809">
        <v>93000</v>
      </c>
      <c r="I1809">
        <v>10500</v>
      </c>
      <c r="J1809">
        <v>1900</v>
      </c>
      <c r="K1809">
        <v>862</v>
      </c>
      <c r="AQ1809">
        <v>106262</v>
      </c>
      <c r="AR1809">
        <v>0.1111</v>
      </c>
      <c r="AS1809">
        <v>11805.708199999999</v>
      </c>
    </row>
    <row r="1810" spans="1:45" hidden="1">
      <c r="A1810" t="s">
        <v>57</v>
      </c>
      <c r="B1810" t="s">
        <v>762</v>
      </c>
      <c r="C1810" t="s">
        <v>738</v>
      </c>
      <c r="D1810" t="s">
        <v>287</v>
      </c>
      <c r="E1810" t="s">
        <v>288</v>
      </c>
      <c r="F1810" t="s">
        <v>549</v>
      </c>
      <c r="G1810" t="s">
        <v>293</v>
      </c>
      <c r="H1810">
        <v>93000</v>
      </c>
      <c r="I1810">
        <v>10500</v>
      </c>
      <c r="J1810">
        <v>1900</v>
      </c>
      <c r="K1810">
        <v>862</v>
      </c>
      <c r="AQ1810">
        <v>106262</v>
      </c>
      <c r="AR1810">
        <v>0.10100000000000001</v>
      </c>
      <c r="AS1810">
        <v>10732.462</v>
      </c>
    </row>
    <row r="1811" spans="1:45" hidden="1">
      <c r="A1811" t="s">
        <v>320</v>
      </c>
      <c r="B1811" t="s">
        <v>748</v>
      </c>
      <c r="C1811" t="s">
        <v>641</v>
      </c>
      <c r="D1811" t="s">
        <v>324</v>
      </c>
      <c r="E1811" t="s">
        <v>323</v>
      </c>
      <c r="F1811" t="s">
        <v>325</v>
      </c>
      <c r="G1811" t="s">
        <v>326</v>
      </c>
      <c r="H1811">
        <v>635605</v>
      </c>
      <c r="I1811">
        <v>718027</v>
      </c>
      <c r="J1811">
        <v>0</v>
      </c>
      <c r="K1811">
        <v>0</v>
      </c>
      <c r="L1811">
        <v>0</v>
      </c>
      <c r="M1811">
        <v>17540</v>
      </c>
      <c r="N1811">
        <v>0</v>
      </c>
      <c r="O1811">
        <v>0</v>
      </c>
      <c r="P1811">
        <v>230</v>
      </c>
      <c r="Q1811">
        <v>0</v>
      </c>
      <c r="AQ1811">
        <v>1371402</v>
      </c>
      <c r="AR1811">
        <v>1.35E-2</v>
      </c>
      <c r="AS1811">
        <v>18513.927</v>
      </c>
    </row>
    <row r="1812" spans="1:45" hidden="1">
      <c r="A1812" t="s">
        <v>320</v>
      </c>
      <c r="B1812" t="s">
        <v>748</v>
      </c>
      <c r="C1812" t="s">
        <v>642</v>
      </c>
      <c r="D1812" t="s">
        <v>327</v>
      </c>
      <c r="E1812" t="s">
        <v>323</v>
      </c>
      <c r="F1812" t="s">
        <v>328</v>
      </c>
      <c r="G1812" t="s">
        <v>329</v>
      </c>
      <c r="H1812">
        <v>2000</v>
      </c>
      <c r="I1812">
        <v>1000</v>
      </c>
      <c r="J1812">
        <v>0</v>
      </c>
      <c r="K1812">
        <v>0</v>
      </c>
      <c r="L1812">
        <v>0</v>
      </c>
      <c r="M1812">
        <v>0</v>
      </c>
      <c r="N1812">
        <v>0</v>
      </c>
      <c r="O1812">
        <v>0</v>
      </c>
      <c r="P1812">
        <v>60</v>
      </c>
      <c r="Q1812">
        <v>0</v>
      </c>
      <c r="AQ1812">
        <v>3060</v>
      </c>
      <c r="AR1812">
        <v>5.9330000000000001E-2</v>
      </c>
      <c r="AS1812">
        <v>181.5498</v>
      </c>
    </row>
    <row r="1813" spans="1:45" hidden="1">
      <c r="A1813" t="s">
        <v>320</v>
      </c>
      <c r="B1813" t="s">
        <v>748</v>
      </c>
      <c r="C1813" t="s">
        <v>643</v>
      </c>
      <c r="D1813" t="s">
        <v>330</v>
      </c>
      <c r="E1813" t="s">
        <v>323</v>
      </c>
      <c r="F1813" t="s">
        <v>331</v>
      </c>
      <c r="G1813" t="s">
        <v>740</v>
      </c>
      <c r="H1813">
        <v>0</v>
      </c>
      <c r="I1813">
        <v>0</v>
      </c>
      <c r="J1813">
        <v>0</v>
      </c>
      <c r="K1813">
        <v>0</v>
      </c>
      <c r="L1813">
        <v>0</v>
      </c>
      <c r="M1813">
        <v>0</v>
      </c>
      <c r="N1813">
        <v>0</v>
      </c>
      <c r="O1813">
        <v>0</v>
      </c>
      <c r="P1813">
        <v>0</v>
      </c>
      <c r="Q1813">
        <v>0</v>
      </c>
      <c r="AQ1813">
        <v>0</v>
      </c>
      <c r="AR1813">
        <v>0.1</v>
      </c>
      <c r="AS1813">
        <v>0</v>
      </c>
    </row>
    <row r="1814" spans="1:45" hidden="1">
      <c r="A1814" t="s">
        <v>320</v>
      </c>
      <c r="B1814" t="s">
        <v>748</v>
      </c>
      <c r="C1814" t="s">
        <v>644</v>
      </c>
      <c r="D1814" t="s">
        <v>332</v>
      </c>
      <c r="E1814" t="s">
        <v>323</v>
      </c>
      <c r="F1814" t="s">
        <v>333</v>
      </c>
      <c r="G1814" t="s">
        <v>740</v>
      </c>
      <c r="H1814">
        <v>9017219</v>
      </c>
      <c r="I1814">
        <v>0</v>
      </c>
      <c r="J1814">
        <v>634139</v>
      </c>
      <c r="K1814">
        <v>1510550</v>
      </c>
      <c r="L1814">
        <v>3021100</v>
      </c>
      <c r="M1814">
        <v>0</v>
      </c>
      <c r="N1814">
        <v>0</v>
      </c>
      <c r="O1814">
        <v>0</v>
      </c>
      <c r="P1814">
        <v>0</v>
      </c>
      <c r="Q1814">
        <v>0</v>
      </c>
      <c r="AQ1814">
        <v>14183008</v>
      </c>
      <c r="AR1814">
        <v>0.125</v>
      </c>
      <c r="AS1814">
        <v>1772876</v>
      </c>
    </row>
    <row r="1815" spans="1:45" hidden="1">
      <c r="A1815" t="s">
        <v>320</v>
      </c>
      <c r="B1815" t="s">
        <v>748</v>
      </c>
      <c r="C1815" t="s">
        <v>645</v>
      </c>
      <c r="D1815" t="s">
        <v>334</v>
      </c>
      <c r="E1815" t="s">
        <v>323</v>
      </c>
      <c r="F1815" t="s">
        <v>335</v>
      </c>
      <c r="G1815" t="s">
        <v>329</v>
      </c>
      <c r="H1815">
        <v>0</v>
      </c>
      <c r="I1815">
        <v>0</v>
      </c>
      <c r="J1815">
        <v>0</v>
      </c>
      <c r="K1815">
        <v>0</v>
      </c>
      <c r="L1815">
        <v>0</v>
      </c>
      <c r="M1815">
        <v>0</v>
      </c>
      <c r="N1815">
        <v>0</v>
      </c>
      <c r="O1815">
        <v>0</v>
      </c>
      <c r="P1815">
        <v>0</v>
      </c>
      <c r="Q1815">
        <v>0</v>
      </c>
      <c r="AQ1815">
        <v>0</v>
      </c>
      <c r="AR1815">
        <v>0.28000000000000003</v>
      </c>
    </row>
    <row r="1816" spans="1:45" hidden="1">
      <c r="A1816" t="s">
        <v>320</v>
      </c>
      <c r="B1816" t="s">
        <v>748</v>
      </c>
      <c r="C1816" t="s">
        <v>646</v>
      </c>
      <c r="D1816" t="s">
        <v>137</v>
      </c>
      <c r="E1816" t="s">
        <v>138</v>
      </c>
      <c r="F1816" t="s">
        <v>337</v>
      </c>
      <c r="G1816" t="s">
        <v>140</v>
      </c>
      <c r="H1816">
        <v>0</v>
      </c>
      <c r="I1816">
        <v>7</v>
      </c>
      <c r="J1816">
        <v>0</v>
      </c>
      <c r="K1816">
        <v>0</v>
      </c>
      <c r="L1816">
        <v>0</v>
      </c>
      <c r="M1816">
        <v>3</v>
      </c>
      <c r="N1816">
        <v>0</v>
      </c>
      <c r="O1816">
        <v>0</v>
      </c>
      <c r="P1816">
        <v>0</v>
      </c>
      <c r="Q1816">
        <v>0</v>
      </c>
      <c r="AQ1816">
        <v>10</v>
      </c>
      <c r="AR1816">
        <v>212.1</v>
      </c>
      <c r="AS1816">
        <v>2121</v>
      </c>
    </row>
    <row r="1817" spans="1:45" hidden="1">
      <c r="A1817" t="s">
        <v>320</v>
      </c>
      <c r="B1817" t="s">
        <v>748</v>
      </c>
      <c r="C1817" t="s">
        <v>136</v>
      </c>
      <c r="D1817" t="s">
        <v>137</v>
      </c>
      <c r="E1817" t="s">
        <v>138</v>
      </c>
      <c r="F1817" t="s">
        <v>139</v>
      </c>
      <c r="G1817" t="s">
        <v>140</v>
      </c>
      <c r="H1817">
        <v>0</v>
      </c>
      <c r="I1817">
        <v>0</v>
      </c>
      <c r="J1817">
        <v>0</v>
      </c>
      <c r="K1817">
        <v>0</v>
      </c>
      <c r="L1817">
        <v>0</v>
      </c>
      <c r="M1817">
        <v>0</v>
      </c>
      <c r="N1817">
        <v>0</v>
      </c>
      <c r="O1817">
        <v>0</v>
      </c>
      <c r="P1817">
        <v>0</v>
      </c>
      <c r="Q1817">
        <v>0</v>
      </c>
      <c r="AQ1817">
        <v>0</v>
      </c>
      <c r="AR1817">
        <v>1696.8</v>
      </c>
      <c r="AS1817">
        <v>0</v>
      </c>
    </row>
    <row r="1818" spans="1:45" hidden="1">
      <c r="A1818" t="s">
        <v>320</v>
      </c>
      <c r="B1818" t="s">
        <v>748</v>
      </c>
      <c r="C1818" t="s">
        <v>143</v>
      </c>
      <c r="D1818" t="s">
        <v>137</v>
      </c>
      <c r="E1818" t="s">
        <v>138</v>
      </c>
      <c r="F1818" t="s">
        <v>277</v>
      </c>
      <c r="G1818" t="s">
        <v>140</v>
      </c>
      <c r="H1818">
        <v>0</v>
      </c>
      <c r="I1818">
        <v>0</v>
      </c>
      <c r="J1818">
        <v>0</v>
      </c>
      <c r="K1818">
        <v>0</v>
      </c>
      <c r="L1818">
        <v>0</v>
      </c>
      <c r="M1818">
        <v>0</v>
      </c>
      <c r="N1818">
        <v>0</v>
      </c>
      <c r="O1818">
        <v>0</v>
      </c>
      <c r="P1818">
        <v>0</v>
      </c>
      <c r="Q1818">
        <v>0</v>
      </c>
      <c r="AQ1818">
        <v>0</v>
      </c>
      <c r="AR1818">
        <v>3923.85</v>
      </c>
      <c r="AS1818">
        <v>0</v>
      </c>
    </row>
    <row r="1819" spans="1:45" hidden="1">
      <c r="A1819" t="s">
        <v>320</v>
      </c>
      <c r="B1819" t="s">
        <v>748</v>
      </c>
      <c r="C1819" t="s">
        <v>647</v>
      </c>
      <c r="D1819" t="s">
        <v>137</v>
      </c>
      <c r="E1819" t="s">
        <v>138</v>
      </c>
      <c r="F1819" t="s">
        <v>338</v>
      </c>
      <c r="G1819" t="s">
        <v>140</v>
      </c>
      <c r="H1819">
        <v>2</v>
      </c>
      <c r="I1819">
        <v>2</v>
      </c>
      <c r="J1819">
        <v>0</v>
      </c>
      <c r="K1819">
        <v>0</v>
      </c>
      <c r="L1819">
        <v>0</v>
      </c>
      <c r="M1819">
        <v>0</v>
      </c>
      <c r="N1819">
        <v>0</v>
      </c>
      <c r="O1819">
        <v>0</v>
      </c>
      <c r="P1819">
        <v>0</v>
      </c>
      <c r="Q1819">
        <v>0</v>
      </c>
      <c r="AQ1819">
        <v>4</v>
      </c>
      <c r="AR1819">
        <v>6893.25</v>
      </c>
      <c r="AS1819">
        <v>27573</v>
      </c>
    </row>
    <row r="1820" spans="1:45" hidden="1">
      <c r="A1820" t="s">
        <v>320</v>
      </c>
      <c r="B1820" t="s">
        <v>748</v>
      </c>
      <c r="C1820" t="s">
        <v>648</v>
      </c>
      <c r="D1820" t="s">
        <v>342</v>
      </c>
      <c r="E1820" t="s">
        <v>138</v>
      </c>
      <c r="F1820" t="s">
        <v>343</v>
      </c>
      <c r="G1820" t="s">
        <v>140</v>
      </c>
      <c r="H1820">
        <v>1</v>
      </c>
      <c r="I1820">
        <v>1</v>
      </c>
      <c r="J1820">
        <v>0</v>
      </c>
      <c r="K1820">
        <v>0</v>
      </c>
      <c r="L1820">
        <v>0</v>
      </c>
      <c r="M1820">
        <v>0</v>
      </c>
      <c r="N1820">
        <v>0</v>
      </c>
      <c r="O1820">
        <v>0</v>
      </c>
      <c r="P1820">
        <v>0</v>
      </c>
      <c r="Q1820">
        <v>0</v>
      </c>
      <c r="AQ1820">
        <v>2</v>
      </c>
      <c r="AR1820">
        <v>13786.5</v>
      </c>
      <c r="AS1820">
        <v>27573</v>
      </c>
    </row>
    <row r="1821" spans="1:45" hidden="1">
      <c r="A1821" t="s">
        <v>320</v>
      </c>
      <c r="B1821" t="s">
        <v>748</v>
      </c>
      <c r="C1821" t="s">
        <v>649</v>
      </c>
      <c r="D1821" t="s">
        <v>344</v>
      </c>
      <c r="E1821" t="s">
        <v>138</v>
      </c>
      <c r="F1821" t="s">
        <v>345</v>
      </c>
      <c r="G1821" t="s">
        <v>346</v>
      </c>
      <c r="H1821">
        <v>0</v>
      </c>
      <c r="I1821">
        <v>0</v>
      </c>
      <c r="J1821">
        <v>0</v>
      </c>
      <c r="K1821">
        <v>0</v>
      </c>
      <c r="L1821">
        <v>0</v>
      </c>
      <c r="M1821">
        <v>0</v>
      </c>
      <c r="N1821">
        <v>0</v>
      </c>
      <c r="O1821">
        <v>0</v>
      </c>
      <c r="P1821">
        <v>0</v>
      </c>
      <c r="Q1821">
        <v>0</v>
      </c>
      <c r="AQ1821">
        <v>0</v>
      </c>
      <c r="AR1821">
        <v>11.11</v>
      </c>
      <c r="AS1821">
        <v>0</v>
      </c>
    </row>
    <row r="1822" spans="1:45" hidden="1">
      <c r="A1822" t="s">
        <v>320</v>
      </c>
      <c r="B1822" t="s">
        <v>748</v>
      </c>
      <c r="C1822" t="s">
        <v>650</v>
      </c>
      <c r="D1822" t="s">
        <v>339</v>
      </c>
      <c r="E1822" t="s">
        <v>138</v>
      </c>
      <c r="F1822" t="s">
        <v>340</v>
      </c>
      <c r="G1822" t="s">
        <v>341</v>
      </c>
      <c r="H1822">
        <v>2</v>
      </c>
      <c r="I1822">
        <v>3</v>
      </c>
      <c r="J1822">
        <v>0</v>
      </c>
      <c r="K1822">
        <v>0</v>
      </c>
      <c r="L1822">
        <v>0</v>
      </c>
      <c r="M1822">
        <v>0</v>
      </c>
      <c r="N1822">
        <v>0</v>
      </c>
      <c r="O1822">
        <v>0</v>
      </c>
      <c r="P1822">
        <v>0</v>
      </c>
      <c r="Q1822">
        <v>0</v>
      </c>
      <c r="AQ1822">
        <v>5</v>
      </c>
      <c r="AR1822">
        <v>557.52</v>
      </c>
      <c r="AS1822">
        <v>2787.6</v>
      </c>
    </row>
    <row r="1823" spans="1:45" hidden="1">
      <c r="A1823" t="s">
        <v>320</v>
      </c>
      <c r="B1823" t="s">
        <v>748</v>
      </c>
      <c r="C1823" t="s">
        <v>651</v>
      </c>
      <c r="D1823" t="s">
        <v>347</v>
      </c>
      <c r="E1823" t="s">
        <v>138</v>
      </c>
      <c r="F1823" t="s">
        <v>350</v>
      </c>
      <c r="G1823" t="s">
        <v>349</v>
      </c>
      <c r="H1823">
        <v>0</v>
      </c>
      <c r="I1823">
        <v>2</v>
      </c>
      <c r="J1823">
        <v>0</v>
      </c>
      <c r="K1823">
        <v>0</v>
      </c>
      <c r="L1823">
        <v>0</v>
      </c>
      <c r="M1823">
        <v>0</v>
      </c>
      <c r="N1823">
        <v>0</v>
      </c>
      <c r="O1823">
        <v>0</v>
      </c>
      <c r="P1823">
        <v>0</v>
      </c>
      <c r="Q1823">
        <v>0</v>
      </c>
      <c r="AQ1823">
        <v>2</v>
      </c>
      <c r="AR1823">
        <v>234.32</v>
      </c>
      <c r="AS1823">
        <v>468.64</v>
      </c>
    </row>
    <row r="1824" spans="1:45" hidden="1">
      <c r="A1824" t="s">
        <v>320</v>
      </c>
      <c r="B1824" t="s">
        <v>748</v>
      </c>
      <c r="C1824" t="s">
        <v>652</v>
      </c>
      <c r="D1824" t="s">
        <v>347</v>
      </c>
      <c r="E1824" t="s">
        <v>138</v>
      </c>
      <c r="F1824" t="s">
        <v>348</v>
      </c>
      <c r="G1824" t="s">
        <v>349</v>
      </c>
      <c r="H1824">
        <v>6</v>
      </c>
      <c r="I1824">
        <v>4</v>
      </c>
      <c r="J1824">
        <v>1</v>
      </c>
      <c r="K1824">
        <v>1</v>
      </c>
      <c r="L1824">
        <v>1</v>
      </c>
      <c r="M1824">
        <v>0</v>
      </c>
      <c r="N1824">
        <v>0</v>
      </c>
      <c r="O1824">
        <v>0</v>
      </c>
      <c r="P1824">
        <v>0</v>
      </c>
      <c r="Q1824">
        <v>0</v>
      </c>
      <c r="AQ1824">
        <v>13</v>
      </c>
      <c r="AR1824">
        <v>456.52</v>
      </c>
      <c r="AS1824">
        <v>5934.76</v>
      </c>
    </row>
    <row r="1825" spans="1:45" hidden="1">
      <c r="A1825" t="s">
        <v>320</v>
      </c>
      <c r="B1825" t="s">
        <v>748</v>
      </c>
      <c r="C1825" t="s">
        <v>653</v>
      </c>
      <c r="D1825" t="s">
        <v>347</v>
      </c>
      <c r="E1825" t="s">
        <v>138</v>
      </c>
      <c r="F1825" t="s">
        <v>351</v>
      </c>
      <c r="G1825" t="s">
        <v>349</v>
      </c>
      <c r="H1825">
        <v>5</v>
      </c>
      <c r="I1825">
        <v>0</v>
      </c>
      <c r="J1825">
        <v>0</v>
      </c>
      <c r="K1825">
        <v>0</v>
      </c>
      <c r="L1825">
        <v>0</v>
      </c>
      <c r="M1825">
        <v>0</v>
      </c>
      <c r="N1825">
        <v>0</v>
      </c>
      <c r="O1825">
        <v>0</v>
      </c>
      <c r="P1825">
        <v>0</v>
      </c>
      <c r="Q1825">
        <v>0</v>
      </c>
      <c r="AQ1825">
        <v>5</v>
      </c>
      <c r="AR1825">
        <v>679.73</v>
      </c>
      <c r="AS1825">
        <v>3398.65</v>
      </c>
    </row>
    <row r="1826" spans="1:45" hidden="1">
      <c r="A1826" t="s">
        <v>320</v>
      </c>
      <c r="B1826" t="s">
        <v>748</v>
      </c>
      <c r="C1826" t="s">
        <v>654</v>
      </c>
      <c r="D1826" t="s">
        <v>352</v>
      </c>
      <c r="E1826" t="s">
        <v>138</v>
      </c>
      <c r="F1826" t="s">
        <v>353</v>
      </c>
      <c r="G1826" t="s">
        <v>354</v>
      </c>
      <c r="H1826">
        <v>2</v>
      </c>
      <c r="I1826">
        <v>2</v>
      </c>
      <c r="J1826">
        <v>0</v>
      </c>
      <c r="K1826">
        <v>0</v>
      </c>
      <c r="L1826">
        <v>0</v>
      </c>
      <c r="M1826">
        <v>0</v>
      </c>
      <c r="N1826">
        <v>0</v>
      </c>
      <c r="O1826">
        <v>0</v>
      </c>
      <c r="P1826">
        <v>0</v>
      </c>
      <c r="Q1826">
        <v>0</v>
      </c>
      <c r="AQ1826">
        <v>4</v>
      </c>
      <c r="AR1826">
        <v>3923.85</v>
      </c>
      <c r="AS1826">
        <v>15695.4</v>
      </c>
    </row>
    <row r="1827" spans="1:45" hidden="1">
      <c r="A1827" t="s">
        <v>320</v>
      </c>
      <c r="B1827" t="s">
        <v>748</v>
      </c>
      <c r="C1827" t="s">
        <v>655</v>
      </c>
      <c r="D1827" t="s">
        <v>355</v>
      </c>
      <c r="E1827" t="s">
        <v>138</v>
      </c>
      <c r="F1827" t="s">
        <v>356</v>
      </c>
      <c r="G1827" t="s">
        <v>357</v>
      </c>
      <c r="H1827">
        <v>0</v>
      </c>
      <c r="I1827">
        <v>0</v>
      </c>
      <c r="J1827">
        <v>0</v>
      </c>
      <c r="K1827">
        <v>0</v>
      </c>
      <c r="L1827">
        <v>0</v>
      </c>
      <c r="M1827">
        <v>0</v>
      </c>
      <c r="N1827">
        <v>0</v>
      </c>
      <c r="O1827">
        <v>0</v>
      </c>
      <c r="P1827">
        <v>0</v>
      </c>
      <c r="Q1827">
        <v>0</v>
      </c>
      <c r="AQ1827">
        <v>0</v>
      </c>
      <c r="AR1827">
        <v>556.51</v>
      </c>
      <c r="AS1827">
        <v>0</v>
      </c>
    </row>
    <row r="1828" spans="1:45" hidden="1">
      <c r="A1828" t="s">
        <v>320</v>
      </c>
      <c r="B1828" t="s">
        <v>748</v>
      </c>
      <c r="C1828" t="s">
        <v>656</v>
      </c>
      <c r="D1828" t="s">
        <v>358</v>
      </c>
      <c r="E1828" t="s">
        <v>138</v>
      </c>
      <c r="F1828" t="s">
        <v>359</v>
      </c>
      <c r="G1828" t="s">
        <v>360</v>
      </c>
      <c r="H1828">
        <v>0</v>
      </c>
      <c r="I1828">
        <v>0</v>
      </c>
      <c r="J1828">
        <v>0</v>
      </c>
      <c r="K1828">
        <v>0</v>
      </c>
      <c r="L1828">
        <v>0</v>
      </c>
      <c r="M1828">
        <v>0</v>
      </c>
      <c r="N1828">
        <v>0</v>
      </c>
      <c r="O1828">
        <v>0</v>
      </c>
      <c r="P1828">
        <v>0</v>
      </c>
      <c r="Q1828">
        <v>0</v>
      </c>
      <c r="AQ1828">
        <v>0</v>
      </c>
      <c r="AR1828">
        <v>334.31</v>
      </c>
      <c r="AS1828">
        <v>0</v>
      </c>
    </row>
    <row r="1829" spans="1:45" hidden="1">
      <c r="A1829" t="s">
        <v>320</v>
      </c>
      <c r="B1829" t="s">
        <v>748</v>
      </c>
      <c r="C1829" t="s">
        <v>657</v>
      </c>
      <c r="D1829" t="s">
        <v>361</v>
      </c>
      <c r="E1829" t="s">
        <v>138</v>
      </c>
      <c r="F1829" t="s">
        <v>362</v>
      </c>
      <c r="G1829" t="s">
        <v>363</v>
      </c>
      <c r="H1829">
        <v>0</v>
      </c>
      <c r="I1829">
        <v>0</v>
      </c>
      <c r="J1829">
        <v>0</v>
      </c>
      <c r="K1829">
        <v>0</v>
      </c>
      <c r="L1829">
        <v>0</v>
      </c>
      <c r="M1829">
        <v>0</v>
      </c>
      <c r="N1829">
        <v>0</v>
      </c>
      <c r="O1829">
        <v>0</v>
      </c>
      <c r="P1829">
        <v>0</v>
      </c>
      <c r="Q1829">
        <v>0</v>
      </c>
      <c r="AQ1829">
        <v>0</v>
      </c>
      <c r="AR1829">
        <v>1.0605</v>
      </c>
      <c r="AS1829">
        <v>0</v>
      </c>
    </row>
    <row r="1830" spans="1:45" hidden="1">
      <c r="A1830" t="s">
        <v>320</v>
      </c>
      <c r="B1830" t="s">
        <v>748</v>
      </c>
      <c r="C1830" t="s">
        <v>658</v>
      </c>
      <c r="D1830" t="s">
        <v>364</v>
      </c>
      <c r="E1830" t="s">
        <v>138</v>
      </c>
      <c r="F1830" t="s">
        <v>366</v>
      </c>
      <c r="G1830" t="s">
        <v>363</v>
      </c>
      <c r="H1830">
        <v>0</v>
      </c>
      <c r="I1830">
        <v>0</v>
      </c>
      <c r="J1830">
        <v>0</v>
      </c>
      <c r="K1830">
        <v>0</v>
      </c>
      <c r="L1830">
        <v>0</v>
      </c>
      <c r="M1830">
        <v>0</v>
      </c>
      <c r="N1830">
        <v>0</v>
      </c>
      <c r="O1830">
        <v>0</v>
      </c>
      <c r="P1830">
        <v>0</v>
      </c>
      <c r="Q1830">
        <v>0</v>
      </c>
      <c r="AQ1830">
        <v>0</v>
      </c>
      <c r="AR1830">
        <v>4.242</v>
      </c>
      <c r="AS1830">
        <v>0</v>
      </c>
    </row>
    <row r="1831" spans="1:45" hidden="1">
      <c r="A1831" t="s">
        <v>320</v>
      </c>
      <c r="B1831" t="s">
        <v>748</v>
      </c>
      <c r="C1831" t="s">
        <v>659</v>
      </c>
      <c r="D1831" t="s">
        <v>364</v>
      </c>
      <c r="E1831" t="s">
        <v>138</v>
      </c>
      <c r="F1831" t="s">
        <v>365</v>
      </c>
      <c r="G1831" t="s">
        <v>363</v>
      </c>
      <c r="H1831">
        <v>0</v>
      </c>
      <c r="I1831">
        <v>0</v>
      </c>
      <c r="J1831">
        <v>0</v>
      </c>
      <c r="K1831">
        <v>0</v>
      </c>
      <c r="L1831">
        <v>0</v>
      </c>
      <c r="M1831">
        <v>0</v>
      </c>
      <c r="N1831">
        <v>0</v>
      </c>
      <c r="O1831">
        <v>0</v>
      </c>
      <c r="P1831">
        <v>0</v>
      </c>
      <c r="Q1831">
        <v>0</v>
      </c>
      <c r="AQ1831">
        <v>0</v>
      </c>
      <c r="AR1831">
        <v>8.484</v>
      </c>
      <c r="AS1831">
        <v>0</v>
      </c>
    </row>
    <row r="1832" spans="1:45" hidden="1">
      <c r="A1832" t="s">
        <v>320</v>
      </c>
      <c r="B1832" t="s">
        <v>748</v>
      </c>
      <c r="C1832" t="s">
        <v>660</v>
      </c>
      <c r="D1832" t="s">
        <v>364</v>
      </c>
      <c r="E1832" t="s">
        <v>138</v>
      </c>
      <c r="F1832" t="s">
        <v>367</v>
      </c>
      <c r="G1832" t="s">
        <v>363</v>
      </c>
      <c r="H1832">
        <v>0</v>
      </c>
      <c r="I1832">
        <v>0</v>
      </c>
      <c r="J1832">
        <v>0</v>
      </c>
      <c r="K1832">
        <v>0</v>
      </c>
      <c r="L1832">
        <v>0</v>
      </c>
      <c r="M1832">
        <v>0</v>
      </c>
      <c r="N1832">
        <v>0</v>
      </c>
      <c r="O1832">
        <v>0</v>
      </c>
      <c r="P1832">
        <v>0</v>
      </c>
      <c r="Q1832">
        <v>0</v>
      </c>
      <c r="AQ1832">
        <v>0</v>
      </c>
      <c r="AR1832">
        <v>21.21</v>
      </c>
      <c r="AS1832">
        <v>0</v>
      </c>
    </row>
    <row r="1833" spans="1:45" hidden="1">
      <c r="A1833" t="s">
        <v>320</v>
      </c>
      <c r="B1833" t="s">
        <v>748</v>
      </c>
      <c r="C1833" t="s">
        <v>278</v>
      </c>
      <c r="D1833" t="s">
        <v>146</v>
      </c>
      <c r="E1833" t="s">
        <v>138</v>
      </c>
      <c r="F1833" t="s">
        <v>279</v>
      </c>
      <c r="G1833" t="s">
        <v>148</v>
      </c>
      <c r="H1833">
        <v>0</v>
      </c>
      <c r="I1833">
        <v>0</v>
      </c>
      <c r="J1833">
        <v>0</v>
      </c>
      <c r="K1833">
        <v>0</v>
      </c>
      <c r="L1833">
        <v>0</v>
      </c>
      <c r="M1833">
        <v>0</v>
      </c>
      <c r="N1833">
        <v>0</v>
      </c>
      <c r="O1833">
        <v>0</v>
      </c>
      <c r="P1833">
        <v>0</v>
      </c>
      <c r="Q1833">
        <v>0</v>
      </c>
      <c r="AQ1833">
        <v>0</v>
      </c>
      <c r="AR1833">
        <v>1272.5999999999999</v>
      </c>
      <c r="AS1833">
        <v>0</v>
      </c>
    </row>
    <row r="1834" spans="1:45" hidden="1">
      <c r="A1834" t="s">
        <v>320</v>
      </c>
      <c r="B1834" t="s">
        <v>748</v>
      </c>
      <c r="C1834" t="s">
        <v>661</v>
      </c>
      <c r="D1834" t="s">
        <v>146</v>
      </c>
      <c r="E1834" t="s">
        <v>138</v>
      </c>
      <c r="F1834" t="s">
        <v>368</v>
      </c>
      <c r="G1834" t="s">
        <v>148</v>
      </c>
      <c r="H1834">
        <v>0</v>
      </c>
      <c r="I1834">
        <v>0</v>
      </c>
      <c r="J1834">
        <v>0</v>
      </c>
      <c r="K1834">
        <v>0</v>
      </c>
      <c r="L1834">
        <v>0</v>
      </c>
      <c r="M1834">
        <v>0</v>
      </c>
      <c r="N1834">
        <v>0</v>
      </c>
      <c r="O1834">
        <v>0</v>
      </c>
      <c r="P1834">
        <v>0</v>
      </c>
      <c r="Q1834">
        <v>0</v>
      </c>
      <c r="AQ1834">
        <v>0</v>
      </c>
      <c r="AR1834">
        <v>2333.1</v>
      </c>
      <c r="AS1834">
        <v>0</v>
      </c>
    </row>
    <row r="1835" spans="1:45" hidden="1">
      <c r="A1835" t="s">
        <v>320</v>
      </c>
      <c r="B1835" t="s">
        <v>748</v>
      </c>
      <c r="C1835" t="s">
        <v>662</v>
      </c>
      <c r="D1835" t="s">
        <v>146</v>
      </c>
      <c r="E1835" t="s">
        <v>138</v>
      </c>
      <c r="F1835" t="s">
        <v>369</v>
      </c>
      <c r="G1835" t="s">
        <v>148</v>
      </c>
      <c r="H1835">
        <v>1</v>
      </c>
      <c r="I1835">
        <v>3</v>
      </c>
      <c r="J1835">
        <v>0</v>
      </c>
      <c r="K1835">
        <v>0</v>
      </c>
      <c r="L1835">
        <v>0</v>
      </c>
      <c r="M1835">
        <v>0</v>
      </c>
      <c r="N1835">
        <v>0</v>
      </c>
      <c r="O1835">
        <v>0</v>
      </c>
      <c r="P1835">
        <v>0</v>
      </c>
      <c r="Q1835">
        <v>0</v>
      </c>
      <c r="AQ1835">
        <v>4</v>
      </c>
      <c r="AR1835">
        <v>3711.75</v>
      </c>
      <c r="AS1835">
        <v>14847</v>
      </c>
    </row>
    <row r="1836" spans="1:45" hidden="1">
      <c r="A1836" t="s">
        <v>320</v>
      </c>
      <c r="B1836" t="s">
        <v>748</v>
      </c>
      <c r="C1836" t="s">
        <v>663</v>
      </c>
      <c r="D1836" t="s">
        <v>146</v>
      </c>
      <c r="E1836" t="s">
        <v>138</v>
      </c>
      <c r="F1836" t="s">
        <v>370</v>
      </c>
      <c r="G1836" t="s">
        <v>148</v>
      </c>
      <c r="H1836">
        <v>3</v>
      </c>
      <c r="I1836">
        <v>0</v>
      </c>
      <c r="J1836">
        <v>0</v>
      </c>
      <c r="K1836">
        <v>0</v>
      </c>
      <c r="L1836">
        <v>0</v>
      </c>
      <c r="M1836">
        <v>0</v>
      </c>
      <c r="N1836">
        <v>0</v>
      </c>
      <c r="O1836">
        <v>0</v>
      </c>
      <c r="P1836">
        <v>0</v>
      </c>
      <c r="Q1836">
        <v>0</v>
      </c>
      <c r="AQ1836">
        <v>3</v>
      </c>
      <c r="AR1836">
        <v>5832.75</v>
      </c>
      <c r="AS1836">
        <v>17498.25</v>
      </c>
    </row>
    <row r="1837" spans="1:45" hidden="1">
      <c r="A1837" t="s">
        <v>320</v>
      </c>
      <c r="B1837" t="s">
        <v>748</v>
      </c>
      <c r="C1837" t="s">
        <v>664</v>
      </c>
      <c r="D1837" t="s">
        <v>371</v>
      </c>
      <c r="E1837" t="s">
        <v>138</v>
      </c>
      <c r="F1837" t="s">
        <v>372</v>
      </c>
      <c r="G1837" t="s">
        <v>373</v>
      </c>
      <c r="H1837">
        <v>4</v>
      </c>
      <c r="I1837">
        <v>0</v>
      </c>
      <c r="J1837">
        <v>0</v>
      </c>
      <c r="K1837">
        <v>0</v>
      </c>
      <c r="L1837">
        <v>0</v>
      </c>
      <c r="M1837">
        <v>0</v>
      </c>
      <c r="N1837">
        <v>0</v>
      </c>
      <c r="O1837">
        <v>0</v>
      </c>
      <c r="P1837">
        <v>0</v>
      </c>
      <c r="Q1837">
        <v>0</v>
      </c>
      <c r="AQ1837">
        <v>4</v>
      </c>
      <c r="AR1837">
        <v>3711.75</v>
      </c>
      <c r="AS1837">
        <v>14847</v>
      </c>
    </row>
    <row r="1838" spans="1:45" hidden="1">
      <c r="A1838" t="s">
        <v>320</v>
      </c>
      <c r="B1838" t="s">
        <v>748</v>
      </c>
      <c r="C1838" t="s">
        <v>149</v>
      </c>
      <c r="D1838" t="s">
        <v>280</v>
      </c>
      <c r="E1838" t="s">
        <v>138</v>
      </c>
      <c r="F1838" t="s">
        <v>151</v>
      </c>
      <c r="G1838" t="s">
        <v>152</v>
      </c>
      <c r="H1838">
        <v>55417</v>
      </c>
      <c r="I1838">
        <v>12426</v>
      </c>
      <c r="J1838">
        <v>3315</v>
      </c>
      <c r="K1838">
        <v>472</v>
      </c>
      <c r="L1838">
        <v>944</v>
      </c>
      <c r="M1838">
        <v>543</v>
      </c>
      <c r="N1838">
        <v>638</v>
      </c>
      <c r="O1838">
        <v>618</v>
      </c>
      <c r="P1838">
        <v>996</v>
      </c>
      <c r="Q1838">
        <v>424</v>
      </c>
      <c r="AQ1838">
        <v>75793</v>
      </c>
      <c r="AR1838">
        <v>1.111</v>
      </c>
      <c r="AS1838">
        <v>84206.023000000001</v>
      </c>
    </row>
    <row r="1839" spans="1:45" hidden="1">
      <c r="A1839" t="s">
        <v>320</v>
      </c>
      <c r="B1839" t="s">
        <v>748</v>
      </c>
      <c r="C1839" t="s">
        <v>153</v>
      </c>
      <c r="D1839" t="s">
        <v>154</v>
      </c>
      <c r="E1839" t="s">
        <v>138</v>
      </c>
      <c r="F1839" t="s">
        <v>155</v>
      </c>
      <c r="G1839" t="s">
        <v>156</v>
      </c>
      <c r="H1839">
        <v>140</v>
      </c>
      <c r="I1839">
        <v>6</v>
      </c>
      <c r="J1839">
        <v>0</v>
      </c>
      <c r="K1839">
        <v>0</v>
      </c>
      <c r="L1839">
        <v>0</v>
      </c>
      <c r="M1839">
        <v>0</v>
      </c>
      <c r="N1839">
        <v>0</v>
      </c>
      <c r="O1839">
        <v>0</v>
      </c>
      <c r="P1839">
        <v>0</v>
      </c>
      <c r="Q1839">
        <v>0</v>
      </c>
      <c r="AQ1839">
        <v>146</v>
      </c>
      <c r="AR1839">
        <v>116.655</v>
      </c>
      <c r="AS1839">
        <v>17031.63</v>
      </c>
    </row>
    <row r="1840" spans="1:45" hidden="1">
      <c r="A1840" t="s">
        <v>320</v>
      </c>
      <c r="B1840" t="s">
        <v>748</v>
      </c>
      <c r="C1840" t="s">
        <v>665</v>
      </c>
      <c r="D1840" t="s">
        <v>375</v>
      </c>
      <c r="E1840" t="s">
        <v>138</v>
      </c>
      <c r="F1840" t="s">
        <v>376</v>
      </c>
      <c r="G1840" t="s">
        <v>377</v>
      </c>
      <c r="H1840">
        <v>3</v>
      </c>
      <c r="I1840">
        <v>0</v>
      </c>
      <c r="J1840">
        <v>0</v>
      </c>
      <c r="K1840">
        <v>0</v>
      </c>
      <c r="L1840">
        <v>0</v>
      </c>
      <c r="M1840">
        <v>0</v>
      </c>
      <c r="N1840">
        <v>0</v>
      </c>
      <c r="O1840">
        <v>0</v>
      </c>
      <c r="P1840">
        <v>0</v>
      </c>
      <c r="Q1840">
        <v>0</v>
      </c>
      <c r="AQ1840">
        <v>3</v>
      </c>
      <c r="AR1840">
        <v>89.081999999999994</v>
      </c>
      <c r="AS1840">
        <v>267.24599999999998</v>
      </c>
    </row>
    <row r="1841" spans="1:45" hidden="1">
      <c r="A1841" t="s">
        <v>320</v>
      </c>
      <c r="B1841" t="s">
        <v>748</v>
      </c>
      <c r="C1841" t="s">
        <v>158</v>
      </c>
      <c r="D1841" t="s">
        <v>159</v>
      </c>
      <c r="E1841" t="s">
        <v>138</v>
      </c>
      <c r="F1841" t="s">
        <v>160</v>
      </c>
      <c r="G1841" t="s">
        <v>161</v>
      </c>
      <c r="H1841">
        <v>288</v>
      </c>
      <c r="I1841">
        <v>115</v>
      </c>
      <c r="J1841">
        <v>48</v>
      </c>
      <c r="K1841">
        <v>13</v>
      </c>
      <c r="L1841">
        <v>24</v>
      </c>
      <c r="M1841">
        <v>6</v>
      </c>
      <c r="N1841">
        <v>5</v>
      </c>
      <c r="O1841">
        <v>0</v>
      </c>
      <c r="P1841">
        <v>4</v>
      </c>
      <c r="Q1841">
        <v>0</v>
      </c>
      <c r="AQ1841">
        <v>503</v>
      </c>
      <c r="AR1841">
        <v>66.66</v>
      </c>
      <c r="AS1841">
        <v>33529.980000000003</v>
      </c>
    </row>
    <row r="1842" spans="1:45" hidden="1">
      <c r="A1842" t="s">
        <v>320</v>
      </c>
      <c r="B1842" t="s">
        <v>748</v>
      </c>
      <c r="C1842" t="s">
        <v>666</v>
      </c>
      <c r="D1842" t="s">
        <v>378</v>
      </c>
      <c r="E1842" t="s">
        <v>138</v>
      </c>
      <c r="F1842" t="s">
        <v>379</v>
      </c>
      <c r="G1842" t="s">
        <v>380</v>
      </c>
      <c r="H1842">
        <v>66</v>
      </c>
      <c r="I1842">
        <v>8</v>
      </c>
      <c r="J1842">
        <v>2</v>
      </c>
      <c r="K1842">
        <v>1</v>
      </c>
      <c r="L1842">
        <v>2</v>
      </c>
      <c r="M1842">
        <v>0</v>
      </c>
      <c r="N1842">
        <v>0</v>
      </c>
      <c r="O1842">
        <v>0</v>
      </c>
      <c r="P1842">
        <v>4</v>
      </c>
      <c r="Q1842">
        <v>0</v>
      </c>
      <c r="AQ1842">
        <v>83</v>
      </c>
      <c r="AR1842">
        <v>389.86</v>
      </c>
      <c r="AS1842">
        <v>32358.38</v>
      </c>
    </row>
    <row r="1843" spans="1:45" hidden="1">
      <c r="A1843" t="s">
        <v>320</v>
      </c>
      <c r="B1843" t="s">
        <v>748</v>
      </c>
      <c r="C1843" t="s">
        <v>667</v>
      </c>
      <c r="D1843" t="s">
        <v>281</v>
      </c>
      <c r="E1843" t="s">
        <v>138</v>
      </c>
      <c r="F1843" t="s">
        <v>384</v>
      </c>
      <c r="G1843" t="s">
        <v>165</v>
      </c>
      <c r="H1843">
        <v>18</v>
      </c>
      <c r="I1843">
        <v>3</v>
      </c>
      <c r="J1843">
        <v>0</v>
      </c>
      <c r="K1843">
        <v>0</v>
      </c>
      <c r="L1843">
        <v>0</v>
      </c>
      <c r="M1843">
        <v>0</v>
      </c>
      <c r="N1843">
        <v>0</v>
      </c>
      <c r="O1843">
        <v>0</v>
      </c>
      <c r="P1843">
        <v>0</v>
      </c>
      <c r="Q1843">
        <v>0</v>
      </c>
      <c r="AQ1843">
        <v>21</v>
      </c>
      <c r="AR1843">
        <v>2227.0500000000002</v>
      </c>
      <c r="AS1843">
        <v>46768.05</v>
      </c>
    </row>
    <row r="1844" spans="1:45" hidden="1">
      <c r="A1844" t="s">
        <v>320</v>
      </c>
      <c r="B1844" t="s">
        <v>748</v>
      </c>
      <c r="C1844" t="s">
        <v>162</v>
      </c>
      <c r="D1844" t="s">
        <v>281</v>
      </c>
      <c r="E1844" t="s">
        <v>138</v>
      </c>
      <c r="F1844" t="s">
        <v>164</v>
      </c>
      <c r="G1844" t="s">
        <v>165</v>
      </c>
      <c r="H1844">
        <v>8</v>
      </c>
      <c r="I1844">
        <v>0</v>
      </c>
      <c r="J1844">
        <v>0</v>
      </c>
      <c r="K1844">
        <v>0</v>
      </c>
      <c r="L1844">
        <v>0</v>
      </c>
      <c r="M1844">
        <v>0</v>
      </c>
      <c r="N1844">
        <v>0</v>
      </c>
      <c r="O1844">
        <v>0</v>
      </c>
      <c r="P1844">
        <v>0</v>
      </c>
      <c r="Q1844">
        <v>0</v>
      </c>
      <c r="AQ1844">
        <v>8</v>
      </c>
      <c r="AR1844">
        <v>4242</v>
      </c>
      <c r="AS1844">
        <v>33936</v>
      </c>
    </row>
    <row r="1845" spans="1:45" hidden="1">
      <c r="A1845" t="s">
        <v>320</v>
      </c>
      <c r="B1845" t="s">
        <v>748</v>
      </c>
      <c r="C1845" t="s">
        <v>668</v>
      </c>
      <c r="D1845" t="s">
        <v>381</v>
      </c>
      <c r="E1845" t="s">
        <v>138</v>
      </c>
      <c r="F1845" t="s">
        <v>382</v>
      </c>
      <c r="G1845" t="s">
        <v>383</v>
      </c>
      <c r="H1845">
        <v>0</v>
      </c>
      <c r="I1845">
        <v>0</v>
      </c>
      <c r="J1845">
        <v>0</v>
      </c>
      <c r="K1845">
        <v>0</v>
      </c>
      <c r="L1845">
        <v>0</v>
      </c>
      <c r="M1845">
        <v>0</v>
      </c>
      <c r="N1845">
        <v>0</v>
      </c>
      <c r="O1845">
        <v>0</v>
      </c>
      <c r="P1845">
        <v>0</v>
      </c>
      <c r="Q1845">
        <v>0</v>
      </c>
      <c r="AQ1845">
        <v>0</v>
      </c>
      <c r="AR1845">
        <v>39.39</v>
      </c>
      <c r="AS1845">
        <v>0</v>
      </c>
    </row>
    <row r="1846" spans="1:45" hidden="1">
      <c r="A1846" t="s">
        <v>320</v>
      </c>
      <c r="B1846" t="s">
        <v>748</v>
      </c>
      <c r="C1846" t="s">
        <v>166</v>
      </c>
      <c r="D1846" t="s">
        <v>282</v>
      </c>
      <c r="E1846" t="s">
        <v>138</v>
      </c>
      <c r="F1846" t="s">
        <v>168</v>
      </c>
      <c r="G1846" t="s">
        <v>169</v>
      </c>
      <c r="H1846">
        <v>55417</v>
      </c>
      <c r="I1846">
        <v>12426</v>
      </c>
      <c r="J1846">
        <v>0</v>
      </c>
      <c r="K1846">
        <v>0</v>
      </c>
      <c r="L1846">
        <v>0</v>
      </c>
      <c r="M1846">
        <v>0</v>
      </c>
      <c r="N1846">
        <v>0</v>
      </c>
      <c r="O1846">
        <v>0</v>
      </c>
      <c r="P1846">
        <v>0</v>
      </c>
      <c r="Q1846">
        <v>0</v>
      </c>
      <c r="AQ1846">
        <v>67843</v>
      </c>
      <c r="AR1846">
        <v>1.111</v>
      </c>
      <c r="AS1846">
        <v>75373.573000000004</v>
      </c>
    </row>
    <row r="1847" spans="1:45" hidden="1">
      <c r="A1847" t="s">
        <v>320</v>
      </c>
      <c r="B1847" t="s">
        <v>748</v>
      </c>
      <c r="C1847" t="s">
        <v>669</v>
      </c>
      <c r="D1847" t="s">
        <v>385</v>
      </c>
      <c r="E1847" t="s">
        <v>138</v>
      </c>
      <c r="F1847" t="s">
        <v>386</v>
      </c>
      <c r="G1847" t="s">
        <v>387</v>
      </c>
      <c r="H1847">
        <v>1</v>
      </c>
      <c r="I1847">
        <v>0</v>
      </c>
      <c r="J1847">
        <v>0</v>
      </c>
      <c r="K1847">
        <v>0</v>
      </c>
      <c r="L1847">
        <v>0</v>
      </c>
      <c r="M1847">
        <v>0</v>
      </c>
      <c r="N1847">
        <v>0</v>
      </c>
      <c r="O1847">
        <v>0</v>
      </c>
      <c r="P1847">
        <v>0</v>
      </c>
      <c r="Q1847">
        <v>0</v>
      </c>
      <c r="AQ1847">
        <v>1</v>
      </c>
      <c r="AR1847">
        <v>22270.5</v>
      </c>
      <c r="AS1847">
        <v>22270.5</v>
      </c>
    </row>
    <row r="1848" spans="1:45" hidden="1">
      <c r="A1848" t="s">
        <v>320</v>
      </c>
      <c r="B1848" t="s">
        <v>748</v>
      </c>
      <c r="C1848" t="s">
        <v>670</v>
      </c>
      <c r="D1848" t="s">
        <v>385</v>
      </c>
      <c r="E1848" t="s">
        <v>138</v>
      </c>
      <c r="F1848" t="s">
        <v>388</v>
      </c>
      <c r="G1848" t="s">
        <v>389</v>
      </c>
      <c r="H1848">
        <v>8</v>
      </c>
      <c r="I1848">
        <v>0</v>
      </c>
      <c r="J1848">
        <v>0</v>
      </c>
      <c r="K1848">
        <v>0</v>
      </c>
      <c r="L1848">
        <v>0</v>
      </c>
      <c r="M1848">
        <v>0</v>
      </c>
      <c r="N1848">
        <v>0</v>
      </c>
      <c r="O1848">
        <v>0</v>
      </c>
      <c r="P1848">
        <v>0</v>
      </c>
      <c r="Q1848">
        <v>0</v>
      </c>
      <c r="AQ1848">
        <v>8</v>
      </c>
      <c r="AR1848">
        <v>0.22220000000000001</v>
      </c>
      <c r="AS1848">
        <v>1.7776000000000001</v>
      </c>
    </row>
    <row r="1849" spans="1:45" hidden="1">
      <c r="A1849" t="s">
        <v>320</v>
      </c>
      <c r="B1849" t="s">
        <v>748</v>
      </c>
      <c r="C1849" t="s">
        <v>671</v>
      </c>
      <c r="D1849" t="s">
        <v>393</v>
      </c>
      <c r="E1849" t="s">
        <v>138</v>
      </c>
      <c r="F1849" t="s">
        <v>394</v>
      </c>
      <c r="G1849" t="s">
        <v>395</v>
      </c>
      <c r="H1849">
        <v>2</v>
      </c>
      <c r="I1849">
        <v>0</v>
      </c>
      <c r="J1849">
        <v>0</v>
      </c>
      <c r="K1849">
        <v>0</v>
      </c>
      <c r="L1849">
        <v>0</v>
      </c>
      <c r="M1849">
        <v>0</v>
      </c>
      <c r="N1849">
        <v>0</v>
      </c>
      <c r="O1849">
        <v>0</v>
      </c>
      <c r="P1849">
        <v>0</v>
      </c>
      <c r="Q1849">
        <v>0</v>
      </c>
      <c r="AQ1849">
        <v>2</v>
      </c>
      <c r="AR1849">
        <v>99.99</v>
      </c>
      <c r="AS1849">
        <v>199.98</v>
      </c>
    </row>
    <row r="1850" spans="1:45" hidden="1">
      <c r="A1850" t="s">
        <v>320</v>
      </c>
      <c r="B1850" t="s">
        <v>748</v>
      </c>
      <c r="C1850" t="s">
        <v>672</v>
      </c>
      <c r="D1850" t="s">
        <v>393</v>
      </c>
      <c r="E1850" t="s">
        <v>138</v>
      </c>
      <c r="F1850" t="s">
        <v>396</v>
      </c>
      <c r="G1850" t="s">
        <v>395</v>
      </c>
      <c r="H1850">
        <v>0</v>
      </c>
      <c r="I1850">
        <v>0</v>
      </c>
      <c r="J1850">
        <v>0</v>
      </c>
      <c r="K1850">
        <v>0</v>
      </c>
      <c r="L1850">
        <v>0</v>
      </c>
      <c r="M1850">
        <v>0</v>
      </c>
      <c r="N1850">
        <v>0</v>
      </c>
      <c r="O1850">
        <v>0</v>
      </c>
      <c r="P1850">
        <v>0</v>
      </c>
      <c r="Q1850">
        <v>0</v>
      </c>
      <c r="AQ1850">
        <v>0</v>
      </c>
      <c r="AR1850">
        <v>99.99</v>
      </c>
      <c r="AS1850">
        <v>0</v>
      </c>
    </row>
    <row r="1851" spans="1:45" hidden="1">
      <c r="A1851" t="s">
        <v>320</v>
      </c>
      <c r="B1851" t="s">
        <v>748</v>
      </c>
      <c r="C1851" t="s">
        <v>673</v>
      </c>
      <c r="D1851" t="s">
        <v>393</v>
      </c>
      <c r="E1851" t="s">
        <v>138</v>
      </c>
      <c r="F1851" t="s">
        <v>397</v>
      </c>
      <c r="G1851" t="s">
        <v>395</v>
      </c>
      <c r="H1851">
        <v>2</v>
      </c>
      <c r="I1851">
        <v>0</v>
      </c>
      <c r="J1851">
        <v>0</v>
      </c>
      <c r="K1851">
        <v>0</v>
      </c>
      <c r="L1851">
        <v>0</v>
      </c>
      <c r="M1851">
        <v>0</v>
      </c>
      <c r="N1851">
        <v>0</v>
      </c>
      <c r="O1851">
        <v>0</v>
      </c>
      <c r="P1851">
        <v>0</v>
      </c>
      <c r="Q1851">
        <v>0</v>
      </c>
      <c r="AQ1851">
        <v>2</v>
      </c>
      <c r="AR1851">
        <v>66.66</v>
      </c>
      <c r="AS1851">
        <v>133.32</v>
      </c>
    </row>
    <row r="1852" spans="1:45" hidden="1">
      <c r="A1852" t="s">
        <v>320</v>
      </c>
      <c r="B1852" t="s">
        <v>748</v>
      </c>
      <c r="C1852" t="s">
        <v>674</v>
      </c>
      <c r="D1852" t="s">
        <v>287</v>
      </c>
      <c r="E1852" t="s">
        <v>138</v>
      </c>
      <c r="F1852" t="s">
        <v>402</v>
      </c>
      <c r="G1852" t="s">
        <v>403</v>
      </c>
      <c r="H1852">
        <v>1</v>
      </c>
      <c r="I1852">
        <v>0</v>
      </c>
      <c r="J1852">
        <v>0</v>
      </c>
      <c r="K1852">
        <v>0</v>
      </c>
      <c r="L1852">
        <v>0</v>
      </c>
      <c r="M1852">
        <v>0</v>
      </c>
      <c r="N1852">
        <v>0</v>
      </c>
      <c r="O1852">
        <v>0</v>
      </c>
      <c r="P1852">
        <v>0</v>
      </c>
      <c r="Q1852">
        <v>0</v>
      </c>
      <c r="AQ1852">
        <v>1</v>
      </c>
      <c r="AR1852">
        <v>318150</v>
      </c>
      <c r="AS1852">
        <v>318150</v>
      </c>
    </row>
    <row r="1853" spans="1:45" hidden="1">
      <c r="A1853" t="s">
        <v>320</v>
      </c>
      <c r="B1853" t="s">
        <v>748</v>
      </c>
      <c r="C1853" t="s">
        <v>675</v>
      </c>
      <c r="D1853" t="s">
        <v>390</v>
      </c>
      <c r="E1853" t="s">
        <v>138</v>
      </c>
      <c r="F1853" t="s">
        <v>391</v>
      </c>
      <c r="G1853" t="s">
        <v>392</v>
      </c>
      <c r="H1853">
        <v>1</v>
      </c>
      <c r="I1853">
        <v>0</v>
      </c>
      <c r="J1853">
        <v>0</v>
      </c>
      <c r="K1853">
        <v>0</v>
      </c>
      <c r="L1853">
        <v>0</v>
      </c>
      <c r="M1853">
        <v>0</v>
      </c>
      <c r="N1853">
        <v>0</v>
      </c>
      <c r="O1853">
        <v>0</v>
      </c>
      <c r="P1853">
        <v>0</v>
      </c>
      <c r="Q1853">
        <v>0</v>
      </c>
      <c r="AQ1853">
        <v>1</v>
      </c>
      <c r="AR1853">
        <v>1336.23</v>
      </c>
      <c r="AS1853">
        <v>1336.23</v>
      </c>
    </row>
    <row r="1854" spans="1:45" hidden="1">
      <c r="A1854" t="s">
        <v>320</v>
      </c>
      <c r="B1854" t="s">
        <v>748</v>
      </c>
      <c r="C1854" t="s">
        <v>676</v>
      </c>
      <c r="D1854" t="s">
        <v>398</v>
      </c>
      <c r="E1854" t="s">
        <v>138</v>
      </c>
      <c r="F1854" t="s">
        <v>399</v>
      </c>
      <c r="G1854" t="s">
        <v>400</v>
      </c>
      <c r="H1854">
        <v>2</v>
      </c>
      <c r="I1854">
        <v>0</v>
      </c>
      <c r="J1854">
        <v>0</v>
      </c>
      <c r="K1854">
        <v>0</v>
      </c>
      <c r="L1854">
        <v>0</v>
      </c>
      <c r="M1854">
        <v>0</v>
      </c>
      <c r="N1854">
        <v>0</v>
      </c>
      <c r="O1854">
        <v>0</v>
      </c>
      <c r="P1854">
        <v>2</v>
      </c>
      <c r="Q1854">
        <v>0</v>
      </c>
      <c r="AQ1854">
        <v>4</v>
      </c>
      <c r="AR1854">
        <v>14475.825000000001</v>
      </c>
      <c r="AS1854">
        <v>57903.3</v>
      </c>
    </row>
    <row r="1855" spans="1:45" hidden="1">
      <c r="A1855" t="s">
        <v>320</v>
      </c>
      <c r="B1855" t="s">
        <v>748</v>
      </c>
      <c r="C1855" t="s">
        <v>170</v>
      </c>
      <c r="D1855" t="s">
        <v>171</v>
      </c>
      <c r="E1855" t="s">
        <v>172</v>
      </c>
      <c r="F1855" t="s">
        <v>173</v>
      </c>
      <c r="G1855" t="s">
        <v>152</v>
      </c>
      <c r="H1855">
        <v>55417</v>
      </c>
      <c r="I1855">
        <v>12426</v>
      </c>
      <c r="J1855">
        <v>3315</v>
      </c>
      <c r="K1855">
        <v>472</v>
      </c>
      <c r="L1855">
        <v>944</v>
      </c>
      <c r="M1855">
        <v>543</v>
      </c>
      <c r="N1855">
        <v>638</v>
      </c>
      <c r="O1855">
        <v>618</v>
      </c>
      <c r="P1855">
        <v>996</v>
      </c>
      <c r="Q1855">
        <v>424</v>
      </c>
      <c r="AQ1855">
        <v>75793</v>
      </c>
      <c r="AR1855">
        <v>1.2726</v>
      </c>
      <c r="AS1855">
        <v>96454.171799999996</v>
      </c>
    </row>
    <row r="1856" spans="1:45" hidden="1">
      <c r="A1856" t="s">
        <v>320</v>
      </c>
      <c r="B1856" t="s">
        <v>748</v>
      </c>
      <c r="C1856" t="s">
        <v>677</v>
      </c>
      <c r="D1856" t="s">
        <v>405</v>
      </c>
      <c r="E1856" t="s">
        <v>172</v>
      </c>
      <c r="F1856" t="s">
        <v>406</v>
      </c>
      <c r="G1856" t="s">
        <v>407</v>
      </c>
      <c r="H1856">
        <v>180</v>
      </c>
      <c r="I1856">
        <v>20</v>
      </c>
      <c r="J1856">
        <v>8</v>
      </c>
      <c r="K1856">
        <v>0</v>
      </c>
      <c r="L1856">
        <v>11</v>
      </c>
      <c r="M1856">
        <v>0</v>
      </c>
      <c r="N1856">
        <v>2</v>
      </c>
      <c r="O1856">
        <v>0</v>
      </c>
      <c r="P1856">
        <v>5</v>
      </c>
      <c r="Q1856">
        <v>0</v>
      </c>
      <c r="AQ1856">
        <v>226</v>
      </c>
      <c r="AR1856">
        <v>47.47</v>
      </c>
      <c r="AS1856">
        <v>10728.22</v>
      </c>
    </row>
    <row r="1857" spans="1:45" hidden="1">
      <c r="A1857" t="s">
        <v>320</v>
      </c>
      <c r="B1857" t="s">
        <v>748</v>
      </c>
      <c r="C1857" t="s">
        <v>678</v>
      </c>
      <c r="D1857" t="s">
        <v>408</v>
      </c>
      <c r="E1857" t="s">
        <v>172</v>
      </c>
      <c r="F1857" t="s">
        <v>409</v>
      </c>
      <c r="G1857" t="s">
        <v>410</v>
      </c>
      <c r="H1857">
        <v>0</v>
      </c>
      <c r="I1857">
        <v>0</v>
      </c>
      <c r="J1857">
        <v>0</v>
      </c>
      <c r="K1857">
        <v>0</v>
      </c>
      <c r="L1857">
        <v>0</v>
      </c>
      <c r="M1857">
        <v>0</v>
      </c>
      <c r="N1857">
        <v>0</v>
      </c>
      <c r="O1857">
        <v>0</v>
      </c>
      <c r="P1857">
        <v>0</v>
      </c>
      <c r="Q1857">
        <v>0</v>
      </c>
      <c r="AQ1857">
        <v>0</v>
      </c>
      <c r="AR1857">
        <v>1.0605</v>
      </c>
      <c r="AS1857">
        <v>0</v>
      </c>
    </row>
    <row r="1858" spans="1:45" hidden="1">
      <c r="A1858" t="s">
        <v>320</v>
      </c>
      <c r="B1858" t="s">
        <v>748</v>
      </c>
      <c r="C1858" t="s">
        <v>679</v>
      </c>
      <c r="D1858" t="s">
        <v>411</v>
      </c>
      <c r="E1858" t="s">
        <v>172</v>
      </c>
      <c r="F1858" t="s">
        <v>412</v>
      </c>
      <c r="G1858" t="s">
        <v>413</v>
      </c>
      <c r="H1858">
        <v>409</v>
      </c>
      <c r="I1858">
        <v>75</v>
      </c>
      <c r="J1858">
        <v>0</v>
      </c>
      <c r="K1858">
        <v>9</v>
      </c>
      <c r="L1858">
        <v>0</v>
      </c>
      <c r="M1858">
        <v>0</v>
      </c>
      <c r="N1858">
        <v>0</v>
      </c>
      <c r="O1858">
        <v>0</v>
      </c>
      <c r="P1858">
        <v>0</v>
      </c>
      <c r="Q1858">
        <v>0</v>
      </c>
      <c r="AQ1858">
        <v>493</v>
      </c>
      <c r="AR1858">
        <v>37.1175</v>
      </c>
      <c r="AS1858">
        <v>18298.927500000002</v>
      </c>
    </row>
    <row r="1859" spans="1:45" hidden="1">
      <c r="A1859" t="s">
        <v>320</v>
      </c>
      <c r="B1859" t="s">
        <v>748</v>
      </c>
      <c r="C1859" t="s">
        <v>680</v>
      </c>
      <c r="D1859" t="s">
        <v>414</v>
      </c>
      <c r="E1859" t="s">
        <v>172</v>
      </c>
      <c r="F1859" t="s">
        <v>415</v>
      </c>
      <c r="G1859" t="s">
        <v>224</v>
      </c>
      <c r="H1859">
        <v>1</v>
      </c>
      <c r="I1859">
        <v>0</v>
      </c>
      <c r="J1859">
        <v>0</v>
      </c>
      <c r="K1859">
        <v>0</v>
      </c>
      <c r="L1859">
        <v>0</v>
      </c>
      <c r="M1859">
        <v>0</v>
      </c>
      <c r="N1859">
        <v>0</v>
      </c>
      <c r="O1859">
        <v>0</v>
      </c>
      <c r="P1859">
        <v>0</v>
      </c>
      <c r="Q1859">
        <v>0</v>
      </c>
      <c r="AQ1859">
        <v>1</v>
      </c>
      <c r="AR1859">
        <v>42.42</v>
      </c>
      <c r="AS1859">
        <v>42.42</v>
      </c>
    </row>
    <row r="1860" spans="1:45" hidden="1">
      <c r="A1860" t="s">
        <v>320</v>
      </c>
      <c r="B1860" t="s">
        <v>748</v>
      </c>
      <c r="C1860" t="s">
        <v>681</v>
      </c>
      <c r="D1860" t="s">
        <v>416</v>
      </c>
      <c r="E1860" t="s">
        <v>172</v>
      </c>
      <c r="F1860" t="s">
        <v>417</v>
      </c>
      <c r="G1860" t="s">
        <v>418</v>
      </c>
      <c r="H1860">
        <v>3040</v>
      </c>
      <c r="I1860">
        <v>0</v>
      </c>
      <c r="J1860">
        <v>3315</v>
      </c>
      <c r="K1860">
        <v>0</v>
      </c>
      <c r="L1860">
        <v>0</v>
      </c>
      <c r="M1860">
        <v>0</v>
      </c>
      <c r="N1860">
        <v>0</v>
      </c>
      <c r="O1860">
        <v>0</v>
      </c>
      <c r="P1860">
        <v>996</v>
      </c>
      <c r="Q1860">
        <v>424</v>
      </c>
      <c r="AQ1860">
        <v>7775</v>
      </c>
      <c r="AR1860">
        <v>0.32319999999999999</v>
      </c>
      <c r="AS1860">
        <v>2512.88</v>
      </c>
    </row>
    <row r="1861" spans="1:45" hidden="1">
      <c r="A1861" t="s">
        <v>320</v>
      </c>
      <c r="B1861" t="s">
        <v>748</v>
      </c>
      <c r="C1861" t="s">
        <v>682</v>
      </c>
      <c r="D1861" t="s">
        <v>419</v>
      </c>
      <c r="E1861" t="s">
        <v>172</v>
      </c>
      <c r="F1861" t="s">
        <v>420</v>
      </c>
      <c r="G1861" t="s">
        <v>421</v>
      </c>
      <c r="H1861">
        <v>1</v>
      </c>
      <c r="I1861">
        <v>1</v>
      </c>
      <c r="J1861">
        <v>0</v>
      </c>
      <c r="K1861">
        <v>0</v>
      </c>
      <c r="L1861">
        <v>0</v>
      </c>
      <c r="M1861">
        <v>0</v>
      </c>
      <c r="N1861">
        <v>0</v>
      </c>
      <c r="O1861">
        <v>0</v>
      </c>
      <c r="P1861">
        <v>0</v>
      </c>
      <c r="Q1861">
        <v>0</v>
      </c>
      <c r="AQ1861">
        <v>2</v>
      </c>
      <c r="AR1861">
        <v>42.42</v>
      </c>
      <c r="AS1861">
        <v>84.84</v>
      </c>
    </row>
    <row r="1862" spans="1:45" hidden="1">
      <c r="A1862" t="s">
        <v>320</v>
      </c>
      <c r="B1862" t="s">
        <v>748</v>
      </c>
      <c r="C1862" t="s">
        <v>683</v>
      </c>
      <c r="D1862" t="s">
        <v>422</v>
      </c>
      <c r="E1862" t="s">
        <v>172</v>
      </c>
      <c r="F1862" t="s">
        <v>423</v>
      </c>
      <c r="G1862" t="s">
        <v>407</v>
      </c>
      <c r="H1862">
        <v>0</v>
      </c>
      <c r="I1862">
        <v>0</v>
      </c>
      <c r="J1862">
        <v>0</v>
      </c>
      <c r="K1862">
        <v>0</v>
      </c>
      <c r="L1862">
        <v>0</v>
      </c>
      <c r="M1862">
        <v>0</v>
      </c>
      <c r="N1862">
        <v>0</v>
      </c>
      <c r="O1862">
        <v>0</v>
      </c>
      <c r="P1862">
        <v>0</v>
      </c>
      <c r="Q1862">
        <v>0</v>
      </c>
      <c r="AQ1862">
        <v>0</v>
      </c>
      <c r="AR1862">
        <v>47.47</v>
      </c>
      <c r="AS1862">
        <v>0</v>
      </c>
    </row>
    <row r="1863" spans="1:45" hidden="1">
      <c r="A1863" t="s">
        <v>320</v>
      </c>
      <c r="B1863" t="s">
        <v>748</v>
      </c>
      <c r="C1863" t="s">
        <v>684</v>
      </c>
      <c r="D1863" t="s">
        <v>427</v>
      </c>
      <c r="E1863" t="s">
        <v>172</v>
      </c>
      <c r="F1863" t="s">
        <v>428</v>
      </c>
      <c r="G1863" t="s">
        <v>429</v>
      </c>
      <c r="H1863">
        <v>7</v>
      </c>
      <c r="I1863">
        <v>2</v>
      </c>
      <c r="J1863">
        <v>0</v>
      </c>
      <c r="K1863">
        <v>0</v>
      </c>
      <c r="L1863">
        <v>0</v>
      </c>
      <c r="M1863">
        <v>0</v>
      </c>
      <c r="N1863">
        <v>0</v>
      </c>
      <c r="O1863">
        <v>0</v>
      </c>
      <c r="P1863">
        <v>0</v>
      </c>
      <c r="Q1863">
        <v>0</v>
      </c>
      <c r="AQ1863">
        <v>9</v>
      </c>
      <c r="AR1863">
        <v>636.29999999999995</v>
      </c>
      <c r="AS1863">
        <v>5726.7</v>
      </c>
    </row>
    <row r="1864" spans="1:45" hidden="1">
      <c r="A1864" t="s">
        <v>320</v>
      </c>
      <c r="B1864" t="s">
        <v>748</v>
      </c>
      <c r="C1864" t="s">
        <v>174</v>
      </c>
      <c r="D1864" t="s">
        <v>175</v>
      </c>
      <c r="E1864" t="s">
        <v>172</v>
      </c>
      <c r="F1864" t="s">
        <v>176</v>
      </c>
      <c r="G1864" t="s">
        <v>177</v>
      </c>
      <c r="H1864">
        <v>8</v>
      </c>
      <c r="I1864">
        <v>1</v>
      </c>
      <c r="J1864">
        <v>1</v>
      </c>
      <c r="K1864">
        <v>0</v>
      </c>
      <c r="L1864">
        <v>0</v>
      </c>
      <c r="M1864">
        <v>0</v>
      </c>
      <c r="N1864">
        <v>0</v>
      </c>
      <c r="O1864">
        <v>0</v>
      </c>
      <c r="P1864">
        <v>0</v>
      </c>
      <c r="Q1864">
        <v>0</v>
      </c>
      <c r="AQ1864">
        <v>10</v>
      </c>
      <c r="AR1864">
        <v>424.2</v>
      </c>
      <c r="AS1864">
        <v>4242</v>
      </c>
    </row>
    <row r="1865" spans="1:45" hidden="1">
      <c r="A1865" t="s">
        <v>320</v>
      </c>
      <c r="B1865" t="s">
        <v>748</v>
      </c>
      <c r="C1865" t="s">
        <v>685</v>
      </c>
      <c r="D1865" t="s">
        <v>430</v>
      </c>
      <c r="E1865" t="s">
        <v>172</v>
      </c>
      <c r="F1865" t="s">
        <v>433</v>
      </c>
      <c r="G1865" t="s">
        <v>432</v>
      </c>
      <c r="H1865">
        <v>0</v>
      </c>
      <c r="I1865">
        <v>0</v>
      </c>
      <c r="J1865">
        <v>0</v>
      </c>
      <c r="K1865">
        <v>0</v>
      </c>
      <c r="L1865">
        <v>0</v>
      </c>
      <c r="M1865">
        <v>0</v>
      </c>
      <c r="N1865">
        <v>0</v>
      </c>
      <c r="O1865">
        <v>0</v>
      </c>
      <c r="P1865">
        <v>1</v>
      </c>
      <c r="Q1865">
        <v>0</v>
      </c>
      <c r="AQ1865">
        <v>1</v>
      </c>
      <c r="AR1865">
        <v>1908.9</v>
      </c>
      <c r="AS1865">
        <v>1908.9</v>
      </c>
    </row>
    <row r="1866" spans="1:45" hidden="1">
      <c r="A1866" t="s">
        <v>320</v>
      </c>
      <c r="B1866" t="s">
        <v>748</v>
      </c>
      <c r="C1866" t="s">
        <v>686</v>
      </c>
      <c r="D1866" t="s">
        <v>430</v>
      </c>
      <c r="E1866" t="s">
        <v>172</v>
      </c>
      <c r="F1866" t="s">
        <v>431</v>
      </c>
      <c r="G1866" t="s">
        <v>432</v>
      </c>
      <c r="H1866">
        <v>0</v>
      </c>
      <c r="I1866">
        <v>0</v>
      </c>
      <c r="J1866">
        <v>0</v>
      </c>
      <c r="K1866">
        <v>0</v>
      </c>
      <c r="L1866">
        <v>0</v>
      </c>
      <c r="M1866">
        <v>0</v>
      </c>
      <c r="N1866">
        <v>0</v>
      </c>
      <c r="O1866">
        <v>0</v>
      </c>
      <c r="P1866">
        <v>0</v>
      </c>
      <c r="Q1866">
        <v>0</v>
      </c>
      <c r="AQ1866">
        <v>0</v>
      </c>
      <c r="AR1866">
        <v>2121</v>
      </c>
      <c r="AS1866">
        <v>0</v>
      </c>
    </row>
    <row r="1867" spans="1:45" hidden="1">
      <c r="A1867" t="s">
        <v>320</v>
      </c>
      <c r="B1867" t="s">
        <v>748</v>
      </c>
      <c r="C1867" t="s">
        <v>687</v>
      </c>
      <c r="D1867" t="s">
        <v>430</v>
      </c>
      <c r="E1867" t="s">
        <v>172</v>
      </c>
      <c r="F1867" t="s">
        <v>438</v>
      </c>
      <c r="G1867" t="s">
        <v>432</v>
      </c>
      <c r="H1867">
        <v>0</v>
      </c>
      <c r="I1867">
        <v>1</v>
      </c>
      <c r="J1867">
        <v>0</v>
      </c>
      <c r="K1867">
        <v>0</v>
      </c>
      <c r="L1867">
        <v>0</v>
      </c>
      <c r="M1867">
        <v>0</v>
      </c>
      <c r="N1867">
        <v>0</v>
      </c>
      <c r="O1867">
        <v>0</v>
      </c>
      <c r="P1867">
        <v>0</v>
      </c>
      <c r="Q1867">
        <v>0</v>
      </c>
      <c r="AQ1867">
        <v>1</v>
      </c>
      <c r="AR1867">
        <v>2439.15</v>
      </c>
      <c r="AS1867">
        <v>2439.15</v>
      </c>
    </row>
    <row r="1868" spans="1:45" hidden="1">
      <c r="A1868" t="s">
        <v>320</v>
      </c>
      <c r="B1868" t="s">
        <v>748</v>
      </c>
      <c r="C1868" t="s">
        <v>688</v>
      </c>
      <c r="D1868" t="s">
        <v>430</v>
      </c>
      <c r="E1868" t="s">
        <v>172</v>
      </c>
      <c r="F1868" t="s">
        <v>434</v>
      </c>
      <c r="G1868" t="s">
        <v>432</v>
      </c>
      <c r="H1868">
        <v>2</v>
      </c>
      <c r="I1868">
        <v>0</v>
      </c>
      <c r="J1868">
        <v>0</v>
      </c>
      <c r="K1868">
        <v>0</v>
      </c>
      <c r="L1868">
        <v>0</v>
      </c>
      <c r="M1868">
        <v>0</v>
      </c>
      <c r="N1868">
        <v>0</v>
      </c>
      <c r="O1868">
        <v>0</v>
      </c>
      <c r="P1868">
        <v>0</v>
      </c>
      <c r="Q1868">
        <v>0</v>
      </c>
      <c r="AQ1868">
        <v>2</v>
      </c>
      <c r="AR1868">
        <v>2651.25</v>
      </c>
      <c r="AS1868">
        <v>5302.5</v>
      </c>
    </row>
    <row r="1869" spans="1:45" hidden="1">
      <c r="A1869" t="s">
        <v>320</v>
      </c>
      <c r="B1869" t="s">
        <v>748</v>
      </c>
      <c r="C1869" t="s">
        <v>645</v>
      </c>
      <c r="D1869" t="s">
        <v>435</v>
      </c>
      <c r="E1869" t="s">
        <v>172</v>
      </c>
      <c r="F1869" t="s">
        <v>436</v>
      </c>
      <c r="G1869" t="s">
        <v>437</v>
      </c>
      <c r="H1869">
        <v>0</v>
      </c>
      <c r="I1869">
        <v>0</v>
      </c>
      <c r="J1869">
        <v>0</v>
      </c>
      <c r="K1869">
        <v>0</v>
      </c>
      <c r="L1869">
        <v>0</v>
      </c>
      <c r="M1869">
        <v>0</v>
      </c>
      <c r="N1869">
        <v>0</v>
      </c>
      <c r="O1869">
        <v>0</v>
      </c>
      <c r="P1869">
        <v>0</v>
      </c>
      <c r="Q1869">
        <v>0</v>
      </c>
      <c r="AQ1869">
        <v>0</v>
      </c>
      <c r="AR1869">
        <v>0.28000000000000003</v>
      </c>
    </row>
    <row r="1870" spans="1:45" hidden="1">
      <c r="A1870" t="s">
        <v>320</v>
      </c>
      <c r="B1870" t="s">
        <v>748</v>
      </c>
      <c r="C1870" t="s">
        <v>689</v>
      </c>
      <c r="D1870" t="s">
        <v>439</v>
      </c>
      <c r="E1870" t="s">
        <v>172</v>
      </c>
      <c r="F1870" t="s">
        <v>690</v>
      </c>
      <c r="G1870" t="s">
        <v>441</v>
      </c>
      <c r="H1870">
        <v>9</v>
      </c>
      <c r="I1870">
        <v>1</v>
      </c>
      <c r="J1870">
        <v>0</v>
      </c>
      <c r="K1870">
        <v>0</v>
      </c>
      <c r="L1870">
        <v>0</v>
      </c>
      <c r="M1870">
        <v>0</v>
      </c>
      <c r="N1870">
        <v>0</v>
      </c>
      <c r="O1870">
        <v>0</v>
      </c>
      <c r="P1870">
        <v>1</v>
      </c>
      <c r="Q1870">
        <v>0</v>
      </c>
      <c r="AQ1870">
        <v>11</v>
      </c>
      <c r="AR1870">
        <v>318.14999999999998</v>
      </c>
      <c r="AS1870">
        <v>3499.65</v>
      </c>
    </row>
    <row r="1871" spans="1:45" hidden="1">
      <c r="A1871" t="s">
        <v>320</v>
      </c>
      <c r="B1871" t="s">
        <v>748</v>
      </c>
      <c r="C1871" t="s">
        <v>691</v>
      </c>
      <c r="D1871" t="s">
        <v>439</v>
      </c>
      <c r="E1871" t="s">
        <v>172</v>
      </c>
      <c r="F1871" t="s">
        <v>442</v>
      </c>
      <c r="G1871" t="s">
        <v>441</v>
      </c>
      <c r="H1871">
        <v>4</v>
      </c>
      <c r="I1871">
        <v>2</v>
      </c>
      <c r="J1871">
        <v>0</v>
      </c>
      <c r="K1871">
        <v>0</v>
      </c>
      <c r="L1871">
        <v>0</v>
      </c>
      <c r="M1871">
        <v>0</v>
      </c>
      <c r="N1871">
        <v>0</v>
      </c>
      <c r="O1871">
        <v>0</v>
      </c>
      <c r="P1871">
        <v>0</v>
      </c>
      <c r="Q1871">
        <v>0</v>
      </c>
      <c r="AQ1871">
        <v>6</v>
      </c>
      <c r="AR1871">
        <v>1272.5999999999999</v>
      </c>
      <c r="AS1871">
        <v>7635.6</v>
      </c>
    </row>
    <row r="1872" spans="1:45" hidden="1">
      <c r="A1872" t="s">
        <v>320</v>
      </c>
      <c r="B1872" t="s">
        <v>748</v>
      </c>
      <c r="C1872" t="s">
        <v>692</v>
      </c>
      <c r="D1872" t="s">
        <v>439</v>
      </c>
      <c r="E1872" t="s">
        <v>172</v>
      </c>
      <c r="F1872" t="s">
        <v>443</v>
      </c>
      <c r="G1872" t="s">
        <v>441</v>
      </c>
      <c r="H1872">
        <v>3</v>
      </c>
      <c r="I1872">
        <v>0</v>
      </c>
      <c r="J1872">
        <v>0</v>
      </c>
      <c r="K1872">
        <v>0</v>
      </c>
      <c r="L1872">
        <v>0</v>
      </c>
      <c r="M1872">
        <v>0</v>
      </c>
      <c r="N1872">
        <v>0</v>
      </c>
      <c r="O1872">
        <v>0</v>
      </c>
      <c r="P1872">
        <v>0</v>
      </c>
      <c r="Q1872">
        <v>0</v>
      </c>
      <c r="AQ1872">
        <v>3</v>
      </c>
      <c r="AR1872">
        <v>1590.75</v>
      </c>
      <c r="AS1872">
        <v>4772.25</v>
      </c>
    </row>
    <row r="1873" spans="1:45" hidden="1">
      <c r="A1873" t="s">
        <v>320</v>
      </c>
      <c r="B1873" t="s">
        <v>748</v>
      </c>
      <c r="C1873" t="s">
        <v>693</v>
      </c>
      <c r="D1873" t="s">
        <v>439</v>
      </c>
      <c r="E1873" t="s">
        <v>172</v>
      </c>
      <c r="F1873" t="s">
        <v>440</v>
      </c>
      <c r="G1873" t="s">
        <v>441</v>
      </c>
      <c r="H1873">
        <v>3</v>
      </c>
      <c r="I1873">
        <v>0</v>
      </c>
      <c r="J1873">
        <v>0</v>
      </c>
      <c r="K1873">
        <v>0</v>
      </c>
      <c r="L1873">
        <v>0</v>
      </c>
      <c r="M1873">
        <v>0</v>
      </c>
      <c r="N1873">
        <v>0</v>
      </c>
      <c r="O1873">
        <v>0</v>
      </c>
      <c r="P1873">
        <v>0</v>
      </c>
      <c r="Q1873">
        <v>0</v>
      </c>
      <c r="AQ1873">
        <v>3</v>
      </c>
      <c r="AR1873">
        <v>1590.75</v>
      </c>
      <c r="AS1873">
        <v>4772.25</v>
      </c>
    </row>
    <row r="1874" spans="1:45" hidden="1">
      <c r="A1874" t="s">
        <v>320</v>
      </c>
      <c r="B1874" t="s">
        <v>748</v>
      </c>
      <c r="C1874" t="s">
        <v>694</v>
      </c>
      <c r="D1874" t="s">
        <v>439</v>
      </c>
      <c r="E1874" t="s">
        <v>172</v>
      </c>
      <c r="F1874" t="s">
        <v>695</v>
      </c>
      <c r="G1874" t="s">
        <v>441</v>
      </c>
      <c r="H1874">
        <v>0</v>
      </c>
      <c r="I1874">
        <v>0</v>
      </c>
      <c r="J1874">
        <v>0</v>
      </c>
      <c r="K1874">
        <v>0</v>
      </c>
      <c r="L1874">
        <v>0</v>
      </c>
      <c r="M1874">
        <v>0</v>
      </c>
      <c r="N1874">
        <v>0</v>
      </c>
      <c r="O1874">
        <v>0</v>
      </c>
      <c r="P1874">
        <v>0</v>
      </c>
      <c r="Q1874">
        <v>0</v>
      </c>
      <c r="AQ1874">
        <v>0</v>
      </c>
      <c r="AR1874">
        <v>1802.85</v>
      </c>
      <c r="AS1874">
        <v>0</v>
      </c>
    </row>
    <row r="1875" spans="1:45" hidden="1">
      <c r="A1875" t="s">
        <v>320</v>
      </c>
      <c r="B1875" t="s">
        <v>748</v>
      </c>
      <c r="C1875" t="s">
        <v>696</v>
      </c>
      <c r="D1875" t="s">
        <v>446</v>
      </c>
      <c r="E1875" t="s">
        <v>172</v>
      </c>
      <c r="F1875" t="s">
        <v>447</v>
      </c>
      <c r="G1875" t="s">
        <v>448</v>
      </c>
      <c r="H1875">
        <v>0</v>
      </c>
      <c r="I1875">
        <v>0</v>
      </c>
      <c r="J1875">
        <v>0</v>
      </c>
      <c r="K1875">
        <v>0</v>
      </c>
      <c r="L1875">
        <v>0</v>
      </c>
      <c r="M1875">
        <v>0</v>
      </c>
      <c r="N1875">
        <v>0</v>
      </c>
      <c r="O1875">
        <v>0</v>
      </c>
      <c r="P1875">
        <v>0</v>
      </c>
      <c r="Q1875">
        <v>0</v>
      </c>
      <c r="AQ1875">
        <v>0</v>
      </c>
      <c r="AR1875">
        <v>10.605</v>
      </c>
      <c r="AS1875">
        <v>0</v>
      </c>
    </row>
    <row r="1876" spans="1:45" hidden="1">
      <c r="A1876" t="s">
        <v>320</v>
      </c>
      <c r="B1876" t="s">
        <v>748</v>
      </c>
      <c r="C1876" t="s">
        <v>178</v>
      </c>
      <c r="D1876" t="s">
        <v>179</v>
      </c>
      <c r="E1876" t="s">
        <v>172</v>
      </c>
      <c r="F1876" t="s">
        <v>180</v>
      </c>
      <c r="G1876" t="s">
        <v>181</v>
      </c>
      <c r="H1876">
        <v>398</v>
      </c>
      <c r="I1876">
        <v>51</v>
      </c>
      <c r="J1876">
        <v>0</v>
      </c>
      <c r="K1876">
        <v>0</v>
      </c>
      <c r="L1876">
        <v>2</v>
      </c>
      <c r="M1876">
        <v>0</v>
      </c>
      <c r="N1876">
        <v>0</v>
      </c>
      <c r="O1876">
        <v>0</v>
      </c>
      <c r="P1876">
        <v>0</v>
      </c>
      <c r="Q1876">
        <v>0</v>
      </c>
      <c r="AQ1876">
        <v>451</v>
      </c>
      <c r="AR1876">
        <v>106.05</v>
      </c>
      <c r="AS1876">
        <v>47828.55</v>
      </c>
    </row>
    <row r="1877" spans="1:45" hidden="1">
      <c r="A1877" t="s">
        <v>320</v>
      </c>
      <c r="B1877" t="s">
        <v>748</v>
      </c>
      <c r="C1877" t="s">
        <v>182</v>
      </c>
      <c r="D1877" t="s">
        <v>179</v>
      </c>
      <c r="E1877" t="s">
        <v>172</v>
      </c>
      <c r="F1877" t="s">
        <v>183</v>
      </c>
      <c r="G1877" t="s">
        <v>152</v>
      </c>
      <c r="H1877">
        <v>55417</v>
      </c>
      <c r="I1877">
        <v>12426</v>
      </c>
      <c r="J1877">
        <v>3315</v>
      </c>
      <c r="K1877">
        <v>472</v>
      </c>
      <c r="L1877">
        <v>944</v>
      </c>
      <c r="M1877">
        <v>543</v>
      </c>
      <c r="N1877">
        <v>638</v>
      </c>
      <c r="O1877">
        <v>618</v>
      </c>
      <c r="P1877">
        <v>996</v>
      </c>
      <c r="Q1877">
        <v>424</v>
      </c>
      <c r="AQ1877">
        <v>75793</v>
      </c>
      <c r="AR1877">
        <v>0.1515</v>
      </c>
      <c r="AS1877">
        <v>11482.639499999999</v>
      </c>
    </row>
    <row r="1878" spans="1:45" hidden="1">
      <c r="A1878" t="s">
        <v>320</v>
      </c>
      <c r="B1878" t="s">
        <v>748</v>
      </c>
      <c r="C1878" t="s">
        <v>697</v>
      </c>
      <c r="D1878" t="s">
        <v>449</v>
      </c>
      <c r="E1878" t="s">
        <v>172</v>
      </c>
      <c r="F1878" t="s">
        <v>450</v>
      </c>
      <c r="G1878" t="s">
        <v>451</v>
      </c>
      <c r="H1878">
        <v>4</v>
      </c>
      <c r="I1878">
        <v>1</v>
      </c>
      <c r="J1878">
        <v>0</v>
      </c>
      <c r="K1878">
        <v>0</v>
      </c>
      <c r="L1878">
        <v>0</v>
      </c>
      <c r="M1878">
        <v>0</v>
      </c>
      <c r="N1878">
        <v>0</v>
      </c>
      <c r="O1878">
        <v>0</v>
      </c>
      <c r="P1878">
        <v>0</v>
      </c>
      <c r="Q1878">
        <v>0</v>
      </c>
      <c r="AQ1878">
        <v>5</v>
      </c>
      <c r="AR1878">
        <v>1908.9</v>
      </c>
      <c r="AS1878">
        <v>9544.5</v>
      </c>
    </row>
    <row r="1879" spans="1:45" hidden="1">
      <c r="A1879" t="s">
        <v>320</v>
      </c>
      <c r="B1879" t="s">
        <v>748</v>
      </c>
      <c r="C1879" t="s">
        <v>698</v>
      </c>
      <c r="D1879" t="s">
        <v>424</v>
      </c>
      <c r="E1879" t="s">
        <v>172</v>
      </c>
      <c r="F1879" t="s">
        <v>425</v>
      </c>
      <c r="G1879" t="s">
        <v>426</v>
      </c>
      <c r="H1879">
        <v>5</v>
      </c>
      <c r="I1879">
        <v>3</v>
      </c>
      <c r="J1879">
        <v>1</v>
      </c>
      <c r="K1879">
        <v>1</v>
      </c>
      <c r="L1879">
        <v>1</v>
      </c>
      <c r="M1879">
        <v>1</v>
      </c>
      <c r="N1879">
        <v>1</v>
      </c>
      <c r="O1879">
        <v>1</v>
      </c>
      <c r="P1879">
        <v>1</v>
      </c>
      <c r="Q1879">
        <v>1</v>
      </c>
      <c r="AQ1879">
        <v>16</v>
      </c>
      <c r="AR1879">
        <v>132.5625</v>
      </c>
      <c r="AS1879">
        <v>2121</v>
      </c>
    </row>
    <row r="1880" spans="1:45" hidden="1">
      <c r="A1880" t="s">
        <v>320</v>
      </c>
      <c r="B1880" t="s">
        <v>748</v>
      </c>
      <c r="C1880" t="s">
        <v>699</v>
      </c>
      <c r="D1880" t="s">
        <v>287</v>
      </c>
      <c r="E1880" t="s">
        <v>172</v>
      </c>
      <c r="F1880" t="s">
        <v>452</v>
      </c>
      <c r="G1880" t="s">
        <v>453</v>
      </c>
      <c r="H1880">
        <v>1</v>
      </c>
      <c r="I1880">
        <v>0</v>
      </c>
      <c r="J1880">
        <v>0</v>
      </c>
      <c r="K1880">
        <v>0</v>
      </c>
      <c r="L1880">
        <v>0</v>
      </c>
      <c r="M1880">
        <v>0</v>
      </c>
      <c r="N1880">
        <v>0</v>
      </c>
      <c r="O1880">
        <v>0</v>
      </c>
      <c r="P1880">
        <v>0</v>
      </c>
      <c r="Q1880">
        <v>0</v>
      </c>
      <c r="AQ1880">
        <v>1</v>
      </c>
      <c r="AR1880">
        <v>3181.5</v>
      </c>
      <c r="AS1880">
        <v>3181.5</v>
      </c>
    </row>
    <row r="1881" spans="1:45" hidden="1">
      <c r="A1881" t="s">
        <v>320</v>
      </c>
      <c r="B1881" t="s">
        <v>748</v>
      </c>
      <c r="C1881" t="s">
        <v>700</v>
      </c>
      <c r="D1881" t="s">
        <v>287</v>
      </c>
      <c r="E1881" t="s">
        <v>172</v>
      </c>
      <c r="F1881" t="s">
        <v>454</v>
      </c>
      <c r="G1881" t="s">
        <v>455</v>
      </c>
      <c r="H1881">
        <v>2</v>
      </c>
      <c r="I1881">
        <v>0</v>
      </c>
      <c r="J1881">
        <v>0</v>
      </c>
      <c r="K1881">
        <v>0</v>
      </c>
      <c r="L1881">
        <v>0</v>
      </c>
      <c r="M1881">
        <v>0</v>
      </c>
      <c r="N1881">
        <v>0</v>
      </c>
      <c r="O1881">
        <v>0</v>
      </c>
      <c r="P1881">
        <v>0</v>
      </c>
      <c r="Q1881">
        <v>0</v>
      </c>
      <c r="AQ1881">
        <v>2</v>
      </c>
      <c r="AR1881">
        <v>318150</v>
      </c>
      <c r="AS1881">
        <v>636300</v>
      </c>
    </row>
    <row r="1882" spans="1:45" hidden="1">
      <c r="A1882" t="s">
        <v>320</v>
      </c>
      <c r="B1882" t="s">
        <v>748</v>
      </c>
      <c r="C1882" t="s">
        <v>701</v>
      </c>
      <c r="D1882" t="s">
        <v>287</v>
      </c>
      <c r="E1882" t="s">
        <v>172</v>
      </c>
      <c r="F1882" t="s">
        <v>456</v>
      </c>
      <c r="G1882" t="s">
        <v>457</v>
      </c>
      <c r="H1882">
        <v>1</v>
      </c>
      <c r="I1882">
        <v>0</v>
      </c>
      <c r="J1882">
        <v>0</v>
      </c>
      <c r="K1882">
        <v>0</v>
      </c>
      <c r="L1882">
        <v>0</v>
      </c>
      <c r="M1882">
        <v>0</v>
      </c>
      <c r="N1882">
        <v>0</v>
      </c>
      <c r="O1882">
        <v>0</v>
      </c>
      <c r="P1882">
        <v>0</v>
      </c>
      <c r="Q1882">
        <v>0</v>
      </c>
      <c r="AQ1882">
        <v>1</v>
      </c>
      <c r="AR1882">
        <v>238612.5</v>
      </c>
      <c r="AS1882">
        <v>238612.5</v>
      </c>
    </row>
    <row r="1883" spans="1:45" hidden="1">
      <c r="A1883" t="s">
        <v>320</v>
      </c>
      <c r="B1883" t="s">
        <v>748</v>
      </c>
      <c r="C1883" t="s">
        <v>184</v>
      </c>
      <c r="D1883" t="s">
        <v>185</v>
      </c>
      <c r="E1883" t="s">
        <v>186</v>
      </c>
      <c r="F1883" t="s">
        <v>187</v>
      </c>
      <c r="G1883" t="s">
        <v>188</v>
      </c>
      <c r="H1883">
        <v>4</v>
      </c>
      <c r="I1883">
        <v>2</v>
      </c>
      <c r="J1883">
        <v>1</v>
      </c>
      <c r="K1883">
        <v>0</v>
      </c>
      <c r="L1883">
        <v>1</v>
      </c>
      <c r="M1883">
        <v>0</v>
      </c>
      <c r="N1883">
        <v>0</v>
      </c>
      <c r="O1883">
        <v>0</v>
      </c>
      <c r="P1883">
        <v>0</v>
      </c>
      <c r="Q1883">
        <v>0</v>
      </c>
      <c r="AQ1883">
        <v>8</v>
      </c>
      <c r="AR1883">
        <v>2121</v>
      </c>
      <c r="AS1883">
        <v>16968</v>
      </c>
    </row>
    <row r="1884" spans="1:45" hidden="1">
      <c r="A1884" t="s">
        <v>320</v>
      </c>
      <c r="B1884" t="s">
        <v>748</v>
      </c>
      <c r="C1884" t="s">
        <v>189</v>
      </c>
      <c r="D1884" t="s">
        <v>190</v>
      </c>
      <c r="E1884" t="s">
        <v>186</v>
      </c>
      <c r="F1884" t="s">
        <v>191</v>
      </c>
      <c r="G1884" t="s">
        <v>192</v>
      </c>
      <c r="H1884">
        <v>9</v>
      </c>
      <c r="I1884">
        <v>3</v>
      </c>
      <c r="J1884">
        <v>0</v>
      </c>
      <c r="K1884">
        <v>0</v>
      </c>
      <c r="L1884">
        <v>0</v>
      </c>
      <c r="M1884">
        <v>0</v>
      </c>
      <c r="N1884">
        <v>0</v>
      </c>
      <c r="O1884">
        <v>0</v>
      </c>
      <c r="P1884">
        <v>0</v>
      </c>
      <c r="Q1884">
        <v>0</v>
      </c>
      <c r="AQ1884">
        <v>12</v>
      </c>
      <c r="AR1884">
        <v>1060.5</v>
      </c>
      <c r="AS1884">
        <v>12726</v>
      </c>
    </row>
    <row r="1885" spans="1:45" hidden="1">
      <c r="A1885" t="s">
        <v>320</v>
      </c>
      <c r="B1885" t="s">
        <v>748</v>
      </c>
      <c r="C1885" t="s">
        <v>702</v>
      </c>
      <c r="D1885" t="s">
        <v>190</v>
      </c>
      <c r="E1885" t="s">
        <v>186</v>
      </c>
      <c r="F1885" t="s">
        <v>458</v>
      </c>
      <c r="G1885" t="s">
        <v>459</v>
      </c>
      <c r="H1885">
        <v>2</v>
      </c>
      <c r="I1885">
        <v>2</v>
      </c>
      <c r="J1885">
        <v>0</v>
      </c>
      <c r="K1885">
        <v>0</v>
      </c>
      <c r="L1885">
        <v>0</v>
      </c>
      <c r="M1885">
        <v>0</v>
      </c>
      <c r="N1885">
        <v>0</v>
      </c>
      <c r="O1885">
        <v>0</v>
      </c>
      <c r="P1885">
        <v>0</v>
      </c>
      <c r="Q1885">
        <v>0</v>
      </c>
      <c r="AQ1885">
        <v>4</v>
      </c>
      <c r="AR1885">
        <v>1590.75</v>
      </c>
      <c r="AS1885">
        <v>6363</v>
      </c>
    </row>
    <row r="1886" spans="1:45" hidden="1">
      <c r="A1886" t="s">
        <v>320</v>
      </c>
      <c r="B1886" t="s">
        <v>748</v>
      </c>
      <c r="C1886" t="s">
        <v>193</v>
      </c>
      <c r="D1886" t="s">
        <v>194</v>
      </c>
      <c r="E1886" t="s">
        <v>186</v>
      </c>
      <c r="F1886" t="s">
        <v>195</v>
      </c>
      <c r="G1886" t="s">
        <v>152</v>
      </c>
      <c r="H1886">
        <v>55417</v>
      </c>
      <c r="I1886">
        <v>12426</v>
      </c>
      <c r="J1886">
        <v>3315</v>
      </c>
      <c r="K1886">
        <v>472</v>
      </c>
      <c r="L1886">
        <v>944</v>
      </c>
      <c r="M1886">
        <v>543</v>
      </c>
      <c r="N1886">
        <v>638</v>
      </c>
      <c r="O1886">
        <v>618</v>
      </c>
      <c r="P1886">
        <v>996</v>
      </c>
      <c r="Q1886">
        <v>424</v>
      </c>
      <c r="AQ1886">
        <v>75793</v>
      </c>
      <c r="AR1886">
        <v>0.63629999999999998</v>
      </c>
      <c r="AS1886">
        <v>48227.085899999998</v>
      </c>
    </row>
    <row r="1887" spans="1:45" hidden="1">
      <c r="A1887" t="s">
        <v>320</v>
      </c>
      <c r="B1887" t="s">
        <v>748</v>
      </c>
      <c r="C1887" t="s">
        <v>197</v>
      </c>
      <c r="D1887" t="s">
        <v>198</v>
      </c>
      <c r="E1887" t="s">
        <v>186</v>
      </c>
      <c r="F1887" t="s">
        <v>199</v>
      </c>
      <c r="G1887" t="s">
        <v>200</v>
      </c>
      <c r="H1887">
        <v>5</v>
      </c>
      <c r="I1887">
        <v>1</v>
      </c>
      <c r="J1887">
        <v>0</v>
      </c>
      <c r="K1887">
        <v>0</v>
      </c>
      <c r="L1887">
        <v>1</v>
      </c>
      <c r="M1887">
        <v>0</v>
      </c>
      <c r="N1887">
        <v>0</v>
      </c>
      <c r="O1887">
        <v>0</v>
      </c>
      <c r="P1887">
        <v>0</v>
      </c>
      <c r="Q1887">
        <v>0</v>
      </c>
      <c r="AQ1887">
        <v>7</v>
      </c>
      <c r="AR1887">
        <v>4984.3500000000004</v>
      </c>
      <c r="AS1887">
        <v>34890.449999999997</v>
      </c>
    </row>
    <row r="1888" spans="1:45" hidden="1">
      <c r="A1888" t="s">
        <v>320</v>
      </c>
      <c r="B1888" t="s">
        <v>748</v>
      </c>
      <c r="C1888" t="s">
        <v>201</v>
      </c>
      <c r="D1888" t="s">
        <v>202</v>
      </c>
      <c r="E1888" t="s">
        <v>186</v>
      </c>
      <c r="F1888" t="s">
        <v>203</v>
      </c>
      <c r="G1888" t="s">
        <v>204</v>
      </c>
      <c r="H1888">
        <v>48</v>
      </c>
      <c r="I1888">
        <v>12</v>
      </c>
      <c r="J1888">
        <v>0</v>
      </c>
      <c r="K1888">
        <v>0</v>
      </c>
      <c r="L1888">
        <v>12</v>
      </c>
      <c r="M1888">
        <v>0</v>
      </c>
      <c r="N1888">
        <v>0</v>
      </c>
      <c r="O1888">
        <v>0</v>
      </c>
      <c r="P1888">
        <v>0</v>
      </c>
      <c r="Q1888">
        <v>0</v>
      </c>
      <c r="AQ1888">
        <v>72</v>
      </c>
      <c r="AR1888">
        <v>31.815000000000001</v>
      </c>
      <c r="AS1888">
        <v>2290.6799999999998</v>
      </c>
    </row>
    <row r="1889" spans="1:45" hidden="1">
      <c r="A1889" t="s">
        <v>320</v>
      </c>
      <c r="B1889" t="s">
        <v>748</v>
      </c>
      <c r="C1889" t="s">
        <v>703</v>
      </c>
      <c r="D1889" t="s">
        <v>460</v>
      </c>
      <c r="E1889" t="s">
        <v>186</v>
      </c>
      <c r="F1889" t="s">
        <v>461</v>
      </c>
      <c r="G1889" t="s">
        <v>462</v>
      </c>
      <c r="H1889">
        <v>2</v>
      </c>
      <c r="I1889">
        <v>2</v>
      </c>
      <c r="J1889">
        <v>0</v>
      </c>
      <c r="K1889">
        <v>0</v>
      </c>
      <c r="L1889">
        <v>0</v>
      </c>
      <c r="M1889">
        <v>0</v>
      </c>
      <c r="N1889">
        <v>0</v>
      </c>
      <c r="O1889">
        <v>0</v>
      </c>
      <c r="P1889">
        <v>0</v>
      </c>
      <c r="Q1889">
        <v>0</v>
      </c>
      <c r="AQ1889">
        <v>4</v>
      </c>
      <c r="AR1889">
        <v>15907.5</v>
      </c>
      <c r="AS1889">
        <v>63630</v>
      </c>
    </row>
    <row r="1890" spans="1:45" hidden="1">
      <c r="A1890" t="s">
        <v>320</v>
      </c>
      <c r="B1890" t="s">
        <v>748</v>
      </c>
      <c r="C1890" t="s">
        <v>704</v>
      </c>
      <c r="D1890" t="s">
        <v>468</v>
      </c>
      <c r="E1890" t="s">
        <v>186</v>
      </c>
      <c r="F1890" t="s">
        <v>469</v>
      </c>
      <c r="G1890" t="s">
        <v>470</v>
      </c>
      <c r="H1890">
        <v>139</v>
      </c>
      <c r="I1890">
        <v>25</v>
      </c>
      <c r="J1890">
        <v>0</v>
      </c>
      <c r="K1890">
        <v>3</v>
      </c>
      <c r="L1890">
        <v>0</v>
      </c>
      <c r="M1890">
        <v>0</v>
      </c>
      <c r="N1890">
        <v>0</v>
      </c>
      <c r="O1890">
        <v>0</v>
      </c>
      <c r="P1890">
        <v>2</v>
      </c>
      <c r="Q1890">
        <v>0</v>
      </c>
      <c r="AQ1890">
        <v>169</v>
      </c>
      <c r="AR1890">
        <v>159.07499999999999</v>
      </c>
      <c r="AS1890">
        <v>26883.674999999999</v>
      </c>
    </row>
    <row r="1891" spans="1:45" hidden="1">
      <c r="A1891" t="s">
        <v>320</v>
      </c>
      <c r="B1891" t="s">
        <v>748</v>
      </c>
      <c r="C1891" t="s">
        <v>705</v>
      </c>
      <c r="D1891" t="s">
        <v>463</v>
      </c>
      <c r="E1891" t="s">
        <v>186</v>
      </c>
      <c r="F1891" t="s">
        <v>466</v>
      </c>
      <c r="G1891" t="s">
        <v>467</v>
      </c>
      <c r="H1891">
        <v>0</v>
      </c>
      <c r="I1891">
        <v>0</v>
      </c>
      <c r="J1891">
        <v>0</v>
      </c>
      <c r="K1891">
        <v>0</v>
      </c>
      <c r="L1891">
        <v>0</v>
      </c>
      <c r="M1891">
        <v>0</v>
      </c>
      <c r="N1891">
        <v>0</v>
      </c>
      <c r="O1891">
        <v>0</v>
      </c>
      <c r="P1891">
        <v>0</v>
      </c>
      <c r="Q1891">
        <v>0</v>
      </c>
      <c r="AQ1891">
        <v>0</v>
      </c>
      <c r="AR1891">
        <v>509.04</v>
      </c>
      <c r="AS1891">
        <v>0</v>
      </c>
    </row>
    <row r="1892" spans="1:45" hidden="1">
      <c r="A1892" t="s">
        <v>320</v>
      </c>
      <c r="B1892" t="s">
        <v>748</v>
      </c>
      <c r="C1892" t="s">
        <v>706</v>
      </c>
      <c r="D1892" t="s">
        <v>463</v>
      </c>
      <c r="E1892" t="s">
        <v>186</v>
      </c>
      <c r="F1892" t="s">
        <v>464</v>
      </c>
      <c r="G1892" t="s">
        <v>465</v>
      </c>
      <c r="H1892">
        <v>0</v>
      </c>
      <c r="I1892">
        <v>0</v>
      </c>
      <c r="J1892">
        <v>0</v>
      </c>
      <c r="K1892">
        <v>0</v>
      </c>
      <c r="L1892">
        <v>0</v>
      </c>
      <c r="M1892">
        <v>0</v>
      </c>
      <c r="N1892">
        <v>0</v>
      </c>
      <c r="O1892">
        <v>0</v>
      </c>
      <c r="P1892">
        <v>0</v>
      </c>
      <c r="Q1892">
        <v>0</v>
      </c>
      <c r="AQ1892">
        <v>0</v>
      </c>
      <c r="AR1892">
        <v>1060.5</v>
      </c>
      <c r="AS1892">
        <v>0</v>
      </c>
    </row>
    <row r="1893" spans="1:45" hidden="1">
      <c r="A1893" t="s">
        <v>320</v>
      </c>
      <c r="B1893" t="s">
        <v>748</v>
      </c>
      <c r="C1893" t="s">
        <v>707</v>
      </c>
      <c r="D1893" t="s">
        <v>471</v>
      </c>
      <c r="E1893" t="s">
        <v>186</v>
      </c>
      <c r="F1893" t="s">
        <v>472</v>
      </c>
      <c r="G1893" t="s">
        <v>473</v>
      </c>
      <c r="H1893">
        <v>0</v>
      </c>
      <c r="I1893">
        <v>0</v>
      </c>
      <c r="J1893">
        <v>0</v>
      </c>
      <c r="K1893">
        <v>0</v>
      </c>
      <c r="L1893">
        <v>0</v>
      </c>
      <c r="M1893">
        <v>0</v>
      </c>
      <c r="N1893">
        <v>0</v>
      </c>
      <c r="O1893">
        <v>0</v>
      </c>
      <c r="P1893">
        <v>0</v>
      </c>
      <c r="Q1893">
        <v>0</v>
      </c>
      <c r="AQ1893">
        <v>0</v>
      </c>
      <c r="AR1893">
        <v>15377.25</v>
      </c>
      <c r="AS1893">
        <v>0</v>
      </c>
    </row>
    <row r="1894" spans="1:45" hidden="1">
      <c r="A1894" t="s">
        <v>320</v>
      </c>
      <c r="B1894" t="s">
        <v>748</v>
      </c>
      <c r="C1894" t="s">
        <v>205</v>
      </c>
      <c r="D1894" t="s">
        <v>206</v>
      </c>
      <c r="E1894" t="s">
        <v>207</v>
      </c>
      <c r="F1894" t="s">
        <v>208</v>
      </c>
      <c r="G1894" t="s">
        <v>209</v>
      </c>
      <c r="H1894">
        <v>55417</v>
      </c>
      <c r="I1894">
        <v>12426</v>
      </c>
      <c r="J1894">
        <v>3315</v>
      </c>
      <c r="K1894">
        <v>472</v>
      </c>
      <c r="L1894">
        <v>944</v>
      </c>
      <c r="M1894">
        <v>543</v>
      </c>
      <c r="N1894">
        <v>638</v>
      </c>
      <c r="O1894">
        <v>618</v>
      </c>
      <c r="P1894">
        <v>996</v>
      </c>
      <c r="Q1894">
        <v>424</v>
      </c>
      <c r="AQ1894">
        <v>75793</v>
      </c>
      <c r="AR1894">
        <v>0.16159999999999999</v>
      </c>
      <c r="AS1894">
        <v>12248.148800000001</v>
      </c>
    </row>
    <row r="1895" spans="1:45" hidden="1">
      <c r="A1895" t="s">
        <v>320</v>
      </c>
      <c r="B1895" t="s">
        <v>748</v>
      </c>
      <c r="C1895" t="s">
        <v>210</v>
      </c>
      <c r="D1895" t="s">
        <v>211</v>
      </c>
      <c r="E1895" t="s">
        <v>207</v>
      </c>
      <c r="F1895" t="s">
        <v>212</v>
      </c>
      <c r="G1895" t="s">
        <v>209</v>
      </c>
      <c r="H1895">
        <v>55417</v>
      </c>
      <c r="I1895">
        <v>12426</v>
      </c>
      <c r="J1895">
        <v>3315</v>
      </c>
      <c r="K1895">
        <v>472</v>
      </c>
      <c r="L1895">
        <v>944</v>
      </c>
      <c r="M1895">
        <v>543</v>
      </c>
      <c r="N1895">
        <v>638</v>
      </c>
      <c r="O1895">
        <v>618</v>
      </c>
      <c r="P1895">
        <v>996</v>
      </c>
      <c r="Q1895">
        <v>424</v>
      </c>
      <c r="AQ1895">
        <v>75793</v>
      </c>
      <c r="AR1895">
        <v>0.63629999999999998</v>
      </c>
      <c r="AS1895">
        <v>48227.085899999998</v>
      </c>
    </row>
    <row r="1896" spans="1:45" hidden="1">
      <c r="A1896" t="s">
        <v>320</v>
      </c>
      <c r="B1896" t="s">
        <v>748</v>
      </c>
      <c r="C1896" t="s">
        <v>213</v>
      </c>
      <c r="D1896" t="s">
        <v>214</v>
      </c>
      <c r="E1896" t="s">
        <v>207</v>
      </c>
      <c r="F1896" t="s">
        <v>215</v>
      </c>
      <c r="G1896" t="s">
        <v>152</v>
      </c>
      <c r="H1896">
        <v>55417</v>
      </c>
      <c r="I1896">
        <v>12426</v>
      </c>
      <c r="J1896">
        <v>3315</v>
      </c>
      <c r="K1896">
        <v>472</v>
      </c>
      <c r="L1896">
        <v>944</v>
      </c>
      <c r="M1896">
        <v>543</v>
      </c>
      <c r="N1896">
        <v>638</v>
      </c>
      <c r="O1896">
        <v>618</v>
      </c>
      <c r="P1896">
        <v>996</v>
      </c>
      <c r="Q1896">
        <v>424</v>
      </c>
      <c r="AQ1896">
        <v>75793</v>
      </c>
      <c r="AR1896">
        <v>0.32319999999999999</v>
      </c>
      <c r="AS1896">
        <v>24496.297600000002</v>
      </c>
    </row>
    <row r="1897" spans="1:45" hidden="1">
      <c r="A1897" t="s">
        <v>320</v>
      </c>
      <c r="B1897" t="s">
        <v>748</v>
      </c>
      <c r="C1897" t="s">
        <v>255</v>
      </c>
      <c r="D1897" t="s">
        <v>256</v>
      </c>
      <c r="E1897" t="s">
        <v>207</v>
      </c>
      <c r="F1897" t="s">
        <v>257</v>
      </c>
      <c r="G1897" t="s">
        <v>258</v>
      </c>
      <c r="H1897">
        <v>490</v>
      </c>
      <c r="I1897">
        <v>99</v>
      </c>
      <c r="J1897">
        <v>0</v>
      </c>
      <c r="K1897">
        <v>0</v>
      </c>
      <c r="L1897">
        <v>4</v>
      </c>
      <c r="M1897">
        <v>0</v>
      </c>
      <c r="N1897">
        <v>0</v>
      </c>
      <c r="O1897">
        <v>0</v>
      </c>
      <c r="P1897">
        <v>0</v>
      </c>
      <c r="Q1897">
        <v>0</v>
      </c>
      <c r="AQ1897">
        <v>593</v>
      </c>
      <c r="AR1897">
        <v>31.815000000000001</v>
      </c>
      <c r="AS1897">
        <v>18866.294999999998</v>
      </c>
    </row>
    <row r="1898" spans="1:45" hidden="1">
      <c r="A1898" t="s">
        <v>320</v>
      </c>
      <c r="B1898" t="s">
        <v>748</v>
      </c>
      <c r="C1898" t="s">
        <v>217</v>
      </c>
      <c r="D1898" t="s">
        <v>218</v>
      </c>
      <c r="E1898" t="s">
        <v>207</v>
      </c>
      <c r="F1898" t="s">
        <v>219</v>
      </c>
      <c r="G1898" t="s">
        <v>220</v>
      </c>
      <c r="H1898">
        <v>546</v>
      </c>
      <c r="I1898">
        <v>103</v>
      </c>
      <c r="J1898">
        <v>35</v>
      </c>
      <c r="K1898">
        <v>6</v>
      </c>
      <c r="L1898">
        <v>10</v>
      </c>
      <c r="M1898">
        <v>7</v>
      </c>
      <c r="N1898">
        <v>7</v>
      </c>
      <c r="O1898">
        <v>9</v>
      </c>
      <c r="P1898">
        <v>14</v>
      </c>
      <c r="Q1898">
        <v>3</v>
      </c>
      <c r="AQ1898">
        <v>740</v>
      </c>
      <c r="AR1898">
        <v>9.5950000000000006</v>
      </c>
      <c r="AS1898">
        <v>7100.3</v>
      </c>
    </row>
    <row r="1899" spans="1:45" hidden="1">
      <c r="A1899" t="s">
        <v>320</v>
      </c>
      <c r="B1899" t="s">
        <v>748</v>
      </c>
      <c r="C1899" t="s">
        <v>708</v>
      </c>
      <c r="D1899" t="s">
        <v>474</v>
      </c>
      <c r="E1899" t="s">
        <v>207</v>
      </c>
      <c r="F1899" t="s">
        <v>475</v>
      </c>
      <c r="G1899" t="s">
        <v>476</v>
      </c>
      <c r="H1899">
        <v>2</v>
      </c>
      <c r="I1899">
        <v>0</v>
      </c>
      <c r="J1899">
        <v>0</v>
      </c>
      <c r="K1899">
        <v>0</v>
      </c>
      <c r="L1899">
        <v>0</v>
      </c>
      <c r="M1899">
        <v>0</v>
      </c>
      <c r="N1899">
        <v>0</v>
      </c>
      <c r="O1899">
        <v>0</v>
      </c>
      <c r="P1899">
        <v>0</v>
      </c>
      <c r="Q1899">
        <v>0</v>
      </c>
      <c r="AQ1899">
        <v>2</v>
      </c>
      <c r="AR1899">
        <v>79.790000000000006</v>
      </c>
      <c r="AS1899">
        <v>159.58000000000001</v>
      </c>
    </row>
    <row r="1900" spans="1:45" hidden="1">
      <c r="A1900" t="s">
        <v>320</v>
      </c>
      <c r="B1900" t="s">
        <v>748</v>
      </c>
      <c r="C1900" t="s">
        <v>709</v>
      </c>
      <c r="D1900" t="s">
        <v>477</v>
      </c>
      <c r="E1900" t="s">
        <v>207</v>
      </c>
      <c r="F1900" t="s">
        <v>478</v>
      </c>
      <c r="G1900" t="s">
        <v>479</v>
      </c>
      <c r="H1900">
        <v>2</v>
      </c>
      <c r="I1900">
        <v>1</v>
      </c>
      <c r="J1900">
        <v>0</v>
      </c>
      <c r="K1900">
        <v>0</v>
      </c>
      <c r="L1900">
        <v>0</v>
      </c>
      <c r="M1900">
        <v>0</v>
      </c>
      <c r="N1900">
        <v>0</v>
      </c>
      <c r="O1900">
        <v>0</v>
      </c>
      <c r="P1900">
        <v>1</v>
      </c>
      <c r="Q1900">
        <v>1</v>
      </c>
      <c r="AQ1900">
        <v>5</v>
      </c>
      <c r="AR1900">
        <v>2.121</v>
      </c>
      <c r="AS1900">
        <v>10.605</v>
      </c>
    </row>
    <row r="1901" spans="1:45" hidden="1">
      <c r="A1901" t="s">
        <v>320</v>
      </c>
      <c r="B1901" t="s">
        <v>748</v>
      </c>
      <c r="C1901" t="s">
        <v>221</v>
      </c>
      <c r="D1901" t="s">
        <v>222</v>
      </c>
      <c r="E1901" t="s">
        <v>207</v>
      </c>
      <c r="F1901" t="s">
        <v>223</v>
      </c>
      <c r="G1901" t="s">
        <v>224</v>
      </c>
      <c r="H1901">
        <v>1</v>
      </c>
      <c r="I1901">
        <v>1</v>
      </c>
      <c r="J1901">
        <v>0</v>
      </c>
      <c r="K1901">
        <v>0</v>
      </c>
      <c r="L1901">
        <v>0</v>
      </c>
      <c r="M1901">
        <v>0</v>
      </c>
      <c r="N1901">
        <v>0</v>
      </c>
      <c r="O1901">
        <v>0</v>
      </c>
      <c r="P1901">
        <v>0</v>
      </c>
      <c r="Q1901">
        <v>0</v>
      </c>
      <c r="AQ1901">
        <v>2</v>
      </c>
      <c r="AR1901">
        <v>2651.25</v>
      </c>
      <c r="AS1901">
        <v>5302.5</v>
      </c>
    </row>
    <row r="1902" spans="1:45" hidden="1">
      <c r="A1902" t="s">
        <v>320</v>
      </c>
      <c r="B1902" t="s">
        <v>748</v>
      </c>
      <c r="C1902" t="s">
        <v>225</v>
      </c>
      <c r="D1902" t="s">
        <v>226</v>
      </c>
      <c r="E1902" t="s">
        <v>207</v>
      </c>
      <c r="F1902" t="s">
        <v>227</v>
      </c>
      <c r="G1902" t="s">
        <v>228</v>
      </c>
      <c r="H1902">
        <v>230</v>
      </c>
      <c r="I1902">
        <v>70</v>
      </c>
      <c r="J1902">
        <v>4</v>
      </c>
      <c r="K1902">
        <v>0</v>
      </c>
      <c r="L1902">
        <v>0</v>
      </c>
      <c r="M1902">
        <v>0</v>
      </c>
      <c r="N1902">
        <v>0</v>
      </c>
      <c r="O1902">
        <v>0</v>
      </c>
      <c r="P1902">
        <v>0</v>
      </c>
      <c r="Q1902">
        <v>0</v>
      </c>
      <c r="AQ1902">
        <v>304</v>
      </c>
      <c r="AR1902">
        <v>21.21</v>
      </c>
      <c r="AS1902">
        <v>6447.84</v>
      </c>
    </row>
    <row r="1903" spans="1:45" hidden="1">
      <c r="A1903" t="s">
        <v>320</v>
      </c>
      <c r="B1903" t="s">
        <v>748</v>
      </c>
      <c r="C1903" t="s">
        <v>710</v>
      </c>
      <c r="D1903" t="s">
        <v>480</v>
      </c>
      <c r="E1903" t="s">
        <v>207</v>
      </c>
      <c r="F1903" t="s">
        <v>481</v>
      </c>
      <c r="G1903" t="s">
        <v>482</v>
      </c>
      <c r="H1903">
        <v>1</v>
      </c>
      <c r="I1903">
        <v>0</v>
      </c>
      <c r="J1903">
        <v>0</v>
      </c>
      <c r="K1903">
        <v>0</v>
      </c>
      <c r="L1903">
        <v>0</v>
      </c>
      <c r="M1903">
        <v>0</v>
      </c>
      <c r="N1903">
        <v>0</v>
      </c>
      <c r="O1903">
        <v>0</v>
      </c>
      <c r="P1903">
        <v>0</v>
      </c>
      <c r="Q1903">
        <v>0</v>
      </c>
      <c r="AQ1903">
        <v>1</v>
      </c>
      <c r="AR1903">
        <v>1272.5999999999999</v>
      </c>
      <c r="AS1903">
        <v>1272.5999999999999</v>
      </c>
    </row>
    <row r="1904" spans="1:45" hidden="1">
      <c r="A1904" t="s">
        <v>320</v>
      </c>
      <c r="B1904" t="s">
        <v>748</v>
      </c>
      <c r="C1904" t="s">
        <v>711</v>
      </c>
      <c r="D1904" t="s">
        <v>488</v>
      </c>
      <c r="E1904" t="s">
        <v>207</v>
      </c>
      <c r="F1904" t="s">
        <v>489</v>
      </c>
      <c r="G1904" t="s">
        <v>490</v>
      </c>
      <c r="H1904">
        <v>6</v>
      </c>
      <c r="I1904">
        <v>0</v>
      </c>
      <c r="J1904">
        <v>0</v>
      </c>
      <c r="K1904">
        <v>0</v>
      </c>
      <c r="L1904">
        <v>0</v>
      </c>
      <c r="M1904">
        <v>0</v>
      </c>
      <c r="N1904">
        <v>0</v>
      </c>
      <c r="O1904">
        <v>0</v>
      </c>
      <c r="P1904">
        <v>0</v>
      </c>
      <c r="Q1904">
        <v>0</v>
      </c>
      <c r="AQ1904">
        <v>6</v>
      </c>
      <c r="AR1904">
        <v>0.5353</v>
      </c>
      <c r="AS1904">
        <v>3.2118000000000002</v>
      </c>
    </row>
    <row r="1905" spans="1:45" hidden="1">
      <c r="A1905" t="s">
        <v>320</v>
      </c>
      <c r="B1905" t="s">
        <v>748</v>
      </c>
      <c r="C1905" t="s">
        <v>712</v>
      </c>
      <c r="D1905" t="s">
        <v>483</v>
      </c>
      <c r="E1905" t="s">
        <v>207</v>
      </c>
      <c r="F1905" t="s">
        <v>484</v>
      </c>
      <c r="G1905" t="s">
        <v>392</v>
      </c>
      <c r="H1905">
        <v>0</v>
      </c>
      <c r="I1905">
        <v>0</v>
      </c>
      <c r="J1905">
        <v>0</v>
      </c>
      <c r="K1905">
        <v>0</v>
      </c>
      <c r="L1905">
        <v>0</v>
      </c>
      <c r="M1905">
        <v>0</v>
      </c>
      <c r="N1905">
        <v>0</v>
      </c>
      <c r="O1905">
        <v>0</v>
      </c>
      <c r="P1905">
        <v>0</v>
      </c>
      <c r="Q1905">
        <v>0</v>
      </c>
      <c r="AQ1905">
        <v>0</v>
      </c>
      <c r="AR1905">
        <v>2121</v>
      </c>
      <c r="AS1905">
        <v>0</v>
      </c>
    </row>
    <row r="1906" spans="1:45" hidden="1">
      <c r="A1906" t="s">
        <v>320</v>
      </c>
      <c r="B1906" t="s">
        <v>748</v>
      </c>
      <c r="C1906" t="s">
        <v>713</v>
      </c>
      <c r="D1906" t="s">
        <v>485</v>
      </c>
      <c r="E1906" t="s">
        <v>207</v>
      </c>
      <c r="F1906" t="s">
        <v>486</v>
      </c>
      <c r="G1906" t="s">
        <v>487</v>
      </c>
      <c r="H1906">
        <v>26</v>
      </c>
      <c r="I1906">
        <v>0</v>
      </c>
      <c r="J1906">
        <v>0</v>
      </c>
      <c r="K1906">
        <v>0</v>
      </c>
      <c r="L1906">
        <v>0</v>
      </c>
      <c r="M1906">
        <v>0</v>
      </c>
      <c r="N1906">
        <v>0</v>
      </c>
      <c r="O1906">
        <v>0</v>
      </c>
      <c r="P1906">
        <v>0</v>
      </c>
      <c r="Q1906">
        <v>0</v>
      </c>
      <c r="AQ1906">
        <v>26</v>
      </c>
      <c r="AR1906">
        <v>265.125</v>
      </c>
      <c r="AS1906">
        <v>6893.25</v>
      </c>
    </row>
    <row r="1907" spans="1:45" hidden="1">
      <c r="A1907" t="s">
        <v>320</v>
      </c>
      <c r="B1907" t="s">
        <v>748</v>
      </c>
      <c r="C1907" t="s">
        <v>229</v>
      </c>
      <c r="D1907" t="s">
        <v>230</v>
      </c>
      <c r="E1907" t="s">
        <v>231</v>
      </c>
      <c r="F1907" t="s">
        <v>232</v>
      </c>
      <c r="G1907" t="s">
        <v>233</v>
      </c>
      <c r="H1907">
        <v>16</v>
      </c>
      <c r="I1907">
        <v>6</v>
      </c>
      <c r="J1907">
        <v>1</v>
      </c>
      <c r="K1907">
        <v>1</v>
      </c>
      <c r="L1907">
        <v>1</v>
      </c>
      <c r="M1907">
        <v>1</v>
      </c>
      <c r="N1907">
        <v>1</v>
      </c>
      <c r="O1907">
        <v>0</v>
      </c>
      <c r="P1907">
        <v>0</v>
      </c>
      <c r="Q1907">
        <v>1</v>
      </c>
      <c r="AQ1907">
        <v>28</v>
      </c>
      <c r="AR1907">
        <v>1484.7</v>
      </c>
      <c r="AS1907">
        <v>41571.599999999999</v>
      </c>
    </row>
    <row r="1908" spans="1:45" hidden="1">
      <c r="A1908" t="s">
        <v>320</v>
      </c>
      <c r="B1908" t="s">
        <v>748</v>
      </c>
      <c r="C1908" t="s">
        <v>234</v>
      </c>
      <c r="D1908" t="s">
        <v>230</v>
      </c>
      <c r="E1908" t="s">
        <v>231</v>
      </c>
      <c r="F1908" t="s">
        <v>285</v>
      </c>
      <c r="G1908" t="s">
        <v>233</v>
      </c>
      <c r="H1908">
        <v>14</v>
      </c>
      <c r="I1908">
        <v>0</v>
      </c>
      <c r="J1908">
        <v>0</v>
      </c>
      <c r="K1908">
        <v>0</v>
      </c>
      <c r="L1908">
        <v>0</v>
      </c>
      <c r="M1908">
        <v>0</v>
      </c>
      <c r="N1908">
        <v>0</v>
      </c>
      <c r="O1908">
        <v>0</v>
      </c>
      <c r="P1908">
        <v>0</v>
      </c>
      <c r="Q1908">
        <v>0</v>
      </c>
      <c r="AQ1908">
        <v>14</v>
      </c>
      <c r="AR1908">
        <v>1696.8</v>
      </c>
      <c r="AS1908">
        <v>23755.200000000001</v>
      </c>
    </row>
    <row r="1909" spans="1:45" hidden="1">
      <c r="A1909" t="s">
        <v>320</v>
      </c>
      <c r="B1909" t="s">
        <v>748</v>
      </c>
      <c r="C1909" t="s">
        <v>714</v>
      </c>
      <c r="D1909" t="s">
        <v>230</v>
      </c>
      <c r="E1909" t="s">
        <v>231</v>
      </c>
      <c r="F1909" t="s">
        <v>491</v>
      </c>
      <c r="G1909" t="s">
        <v>233</v>
      </c>
      <c r="H1909">
        <v>0</v>
      </c>
      <c r="I1909">
        <v>0</v>
      </c>
      <c r="J1909">
        <v>0</v>
      </c>
      <c r="K1909">
        <v>0</v>
      </c>
      <c r="L1909">
        <v>0</v>
      </c>
      <c r="M1909">
        <v>0</v>
      </c>
      <c r="N1909">
        <v>0</v>
      </c>
      <c r="O1909">
        <v>0</v>
      </c>
      <c r="P1909">
        <v>0</v>
      </c>
      <c r="Q1909">
        <v>0</v>
      </c>
      <c r="AQ1909">
        <v>0</v>
      </c>
      <c r="AR1909">
        <v>1908.9</v>
      </c>
      <c r="AS1909">
        <v>0</v>
      </c>
    </row>
    <row r="1910" spans="1:45" hidden="1">
      <c r="A1910" t="s">
        <v>320</v>
      </c>
      <c r="B1910" t="s">
        <v>748</v>
      </c>
      <c r="C1910" t="s">
        <v>236</v>
      </c>
      <c r="D1910" t="s">
        <v>237</v>
      </c>
      <c r="E1910" t="s">
        <v>231</v>
      </c>
      <c r="F1910" t="s">
        <v>238</v>
      </c>
      <c r="G1910" t="s">
        <v>239</v>
      </c>
      <c r="H1910">
        <v>0</v>
      </c>
      <c r="I1910">
        <v>0</v>
      </c>
      <c r="J1910">
        <v>0</v>
      </c>
      <c r="K1910">
        <v>0</v>
      </c>
      <c r="L1910">
        <v>0</v>
      </c>
      <c r="M1910">
        <v>0</v>
      </c>
      <c r="N1910">
        <v>0</v>
      </c>
      <c r="O1910">
        <v>0</v>
      </c>
      <c r="P1910">
        <v>0</v>
      </c>
      <c r="Q1910">
        <v>0</v>
      </c>
      <c r="AQ1910">
        <v>0</v>
      </c>
      <c r="AR1910">
        <v>265.125</v>
      </c>
      <c r="AS1910">
        <v>0</v>
      </c>
    </row>
    <row r="1911" spans="1:45" hidden="1">
      <c r="A1911" t="s">
        <v>320</v>
      </c>
      <c r="B1911" t="s">
        <v>748</v>
      </c>
      <c r="C1911" t="s">
        <v>715</v>
      </c>
      <c r="D1911" t="s">
        <v>492</v>
      </c>
      <c r="E1911" t="s">
        <v>231</v>
      </c>
      <c r="F1911" t="s">
        <v>493</v>
      </c>
      <c r="G1911" t="s">
        <v>494</v>
      </c>
      <c r="H1911">
        <v>0</v>
      </c>
      <c r="I1911">
        <v>0</v>
      </c>
      <c r="J1911">
        <v>0</v>
      </c>
      <c r="K1911">
        <v>0</v>
      </c>
      <c r="L1911">
        <v>0</v>
      </c>
      <c r="M1911">
        <v>0</v>
      </c>
      <c r="N1911">
        <v>0</v>
      </c>
      <c r="O1911">
        <v>0</v>
      </c>
      <c r="P1911">
        <v>0</v>
      </c>
      <c r="Q1911">
        <v>0</v>
      </c>
      <c r="AQ1911">
        <v>0</v>
      </c>
      <c r="AR1911">
        <v>742.35</v>
      </c>
      <c r="AS1911">
        <v>0</v>
      </c>
    </row>
    <row r="1912" spans="1:45" hidden="1">
      <c r="A1912" t="s">
        <v>320</v>
      </c>
      <c r="B1912" t="s">
        <v>748</v>
      </c>
      <c r="C1912" t="s">
        <v>716</v>
      </c>
      <c r="D1912" t="s">
        <v>495</v>
      </c>
      <c r="E1912" t="s">
        <v>231</v>
      </c>
      <c r="F1912" t="s">
        <v>496</v>
      </c>
      <c r="G1912" t="s">
        <v>497</v>
      </c>
      <c r="H1912">
        <v>3</v>
      </c>
      <c r="I1912">
        <v>0</v>
      </c>
      <c r="J1912">
        <v>0</v>
      </c>
      <c r="K1912">
        <v>0</v>
      </c>
      <c r="L1912">
        <v>0</v>
      </c>
      <c r="M1912">
        <v>0</v>
      </c>
      <c r="N1912">
        <v>0</v>
      </c>
      <c r="O1912">
        <v>0</v>
      </c>
      <c r="P1912">
        <v>0</v>
      </c>
      <c r="Q1912">
        <v>0</v>
      </c>
      <c r="AQ1912">
        <v>3</v>
      </c>
      <c r="AR1912">
        <v>848.4</v>
      </c>
      <c r="AS1912">
        <v>2545.1999999999998</v>
      </c>
    </row>
    <row r="1913" spans="1:45" hidden="1">
      <c r="A1913" t="s">
        <v>320</v>
      </c>
      <c r="B1913" t="s">
        <v>748</v>
      </c>
      <c r="C1913" t="s">
        <v>717</v>
      </c>
      <c r="D1913" t="s">
        <v>498</v>
      </c>
      <c r="E1913" t="s">
        <v>242</v>
      </c>
      <c r="F1913" t="s">
        <v>499</v>
      </c>
      <c r="G1913" t="s">
        <v>500</v>
      </c>
      <c r="H1913">
        <v>55417</v>
      </c>
      <c r="I1913">
        <v>12426</v>
      </c>
      <c r="J1913">
        <v>3315</v>
      </c>
      <c r="K1913">
        <v>472</v>
      </c>
      <c r="L1913">
        <v>944</v>
      </c>
      <c r="M1913">
        <v>543</v>
      </c>
      <c r="N1913">
        <v>638</v>
      </c>
      <c r="O1913">
        <v>618</v>
      </c>
      <c r="P1913">
        <v>996</v>
      </c>
      <c r="Q1913">
        <v>424</v>
      </c>
      <c r="AQ1913">
        <v>75793</v>
      </c>
      <c r="AR1913">
        <v>1.4341999999999999</v>
      </c>
      <c r="AS1913">
        <v>108702.32060000001</v>
      </c>
    </row>
    <row r="1914" spans="1:45" hidden="1">
      <c r="A1914" t="s">
        <v>320</v>
      </c>
      <c r="B1914" t="s">
        <v>748</v>
      </c>
      <c r="C1914" t="s">
        <v>718</v>
      </c>
      <c r="D1914" t="s">
        <v>504</v>
      </c>
      <c r="E1914" t="s">
        <v>242</v>
      </c>
      <c r="F1914" t="s">
        <v>505</v>
      </c>
      <c r="G1914" t="s">
        <v>506</v>
      </c>
      <c r="H1914">
        <v>25700</v>
      </c>
      <c r="I1914">
        <v>3500</v>
      </c>
      <c r="J1914">
        <v>0</v>
      </c>
      <c r="K1914">
        <v>0</v>
      </c>
      <c r="L1914">
        <v>0</v>
      </c>
      <c r="M1914">
        <v>0</v>
      </c>
      <c r="N1914">
        <v>0</v>
      </c>
      <c r="O1914">
        <v>0</v>
      </c>
      <c r="P1914">
        <v>0</v>
      </c>
      <c r="Q1914">
        <v>0</v>
      </c>
      <c r="AQ1914">
        <v>29200</v>
      </c>
      <c r="AR1914">
        <v>0.84840000000000004</v>
      </c>
      <c r="AS1914">
        <v>24773.279999999999</v>
      </c>
    </row>
    <row r="1915" spans="1:45" hidden="1">
      <c r="A1915" t="s">
        <v>320</v>
      </c>
      <c r="B1915" t="s">
        <v>748</v>
      </c>
      <c r="C1915" t="s">
        <v>719</v>
      </c>
      <c r="D1915" t="s">
        <v>501</v>
      </c>
      <c r="E1915" t="s">
        <v>242</v>
      </c>
      <c r="F1915" t="s">
        <v>502</v>
      </c>
      <c r="G1915" t="s">
        <v>503</v>
      </c>
      <c r="H1915">
        <v>3</v>
      </c>
      <c r="I1915">
        <v>1</v>
      </c>
      <c r="J1915">
        <v>0</v>
      </c>
      <c r="K1915">
        <v>0</v>
      </c>
      <c r="L1915">
        <v>0</v>
      </c>
      <c r="M1915">
        <v>0</v>
      </c>
      <c r="N1915">
        <v>0</v>
      </c>
      <c r="O1915">
        <v>0</v>
      </c>
      <c r="P1915">
        <v>0</v>
      </c>
      <c r="Q1915">
        <v>0</v>
      </c>
      <c r="AQ1915">
        <v>4</v>
      </c>
      <c r="AR1915">
        <v>1272.5999999999999</v>
      </c>
      <c r="AS1915">
        <v>5090.3999999999996</v>
      </c>
    </row>
    <row r="1916" spans="1:45" hidden="1">
      <c r="A1916" t="s">
        <v>320</v>
      </c>
      <c r="B1916" t="s">
        <v>748</v>
      </c>
      <c r="C1916" t="s">
        <v>720</v>
      </c>
      <c r="D1916" t="s">
        <v>518</v>
      </c>
      <c r="E1916" t="s">
        <v>242</v>
      </c>
      <c r="F1916" t="s">
        <v>519</v>
      </c>
      <c r="G1916" t="s">
        <v>517</v>
      </c>
      <c r="H1916">
        <v>0</v>
      </c>
      <c r="I1916">
        <v>0</v>
      </c>
      <c r="J1916">
        <v>0</v>
      </c>
      <c r="K1916">
        <v>0</v>
      </c>
      <c r="L1916">
        <v>0</v>
      </c>
      <c r="M1916">
        <v>0</v>
      </c>
      <c r="N1916">
        <v>0</v>
      </c>
      <c r="O1916">
        <v>0</v>
      </c>
      <c r="P1916">
        <v>0</v>
      </c>
      <c r="Q1916">
        <v>0</v>
      </c>
      <c r="AQ1916">
        <v>0</v>
      </c>
      <c r="AR1916">
        <v>3181.5</v>
      </c>
      <c r="AS1916">
        <v>0</v>
      </c>
    </row>
    <row r="1917" spans="1:45" hidden="1">
      <c r="A1917" t="s">
        <v>320</v>
      </c>
      <c r="B1917" t="s">
        <v>748</v>
      </c>
      <c r="C1917" t="s">
        <v>721</v>
      </c>
      <c r="D1917" t="s">
        <v>520</v>
      </c>
      <c r="E1917" t="s">
        <v>242</v>
      </c>
      <c r="F1917" t="s">
        <v>521</v>
      </c>
      <c r="G1917" t="s">
        <v>517</v>
      </c>
      <c r="H1917">
        <v>0</v>
      </c>
      <c r="I1917">
        <v>0</v>
      </c>
      <c r="J1917">
        <v>0</v>
      </c>
      <c r="K1917">
        <v>0</v>
      </c>
      <c r="L1917">
        <v>0</v>
      </c>
      <c r="M1917">
        <v>0</v>
      </c>
      <c r="N1917">
        <v>0</v>
      </c>
      <c r="O1917">
        <v>0</v>
      </c>
      <c r="P1917">
        <v>0</v>
      </c>
      <c r="Q1917">
        <v>0</v>
      </c>
      <c r="AQ1917">
        <v>0</v>
      </c>
      <c r="AR1917">
        <v>2651.25</v>
      </c>
      <c r="AS1917">
        <v>0</v>
      </c>
    </row>
    <row r="1918" spans="1:45" hidden="1">
      <c r="A1918" t="s">
        <v>320</v>
      </c>
      <c r="B1918" t="s">
        <v>748</v>
      </c>
      <c r="C1918" t="s">
        <v>240</v>
      </c>
      <c r="D1918" t="s">
        <v>241</v>
      </c>
      <c r="E1918" t="s">
        <v>242</v>
      </c>
      <c r="F1918" t="s">
        <v>243</v>
      </c>
      <c r="G1918" t="s">
        <v>244</v>
      </c>
      <c r="H1918">
        <v>18</v>
      </c>
      <c r="I1918">
        <v>4</v>
      </c>
      <c r="J1918">
        <v>0</v>
      </c>
      <c r="K1918">
        <v>0</v>
      </c>
      <c r="L1918">
        <v>0</v>
      </c>
      <c r="M1918">
        <v>0</v>
      </c>
      <c r="N1918">
        <v>0</v>
      </c>
      <c r="O1918">
        <v>0</v>
      </c>
      <c r="P1918">
        <v>0</v>
      </c>
      <c r="Q1918">
        <v>0</v>
      </c>
      <c r="AQ1918">
        <v>22</v>
      </c>
      <c r="AR1918">
        <v>318.14999999999998</v>
      </c>
      <c r="AS1918">
        <v>6999.3</v>
      </c>
    </row>
    <row r="1919" spans="1:45" hidden="1">
      <c r="A1919" t="s">
        <v>320</v>
      </c>
      <c r="B1919" t="s">
        <v>748</v>
      </c>
      <c r="C1919" t="s">
        <v>245</v>
      </c>
      <c r="D1919" t="s">
        <v>246</v>
      </c>
      <c r="E1919" t="s">
        <v>242</v>
      </c>
      <c r="F1919" t="s">
        <v>247</v>
      </c>
      <c r="G1919" t="s">
        <v>248</v>
      </c>
      <c r="H1919">
        <v>8</v>
      </c>
      <c r="I1919">
        <v>3</v>
      </c>
      <c r="J1919">
        <v>1</v>
      </c>
      <c r="K1919">
        <v>0</v>
      </c>
      <c r="L1919">
        <v>1</v>
      </c>
      <c r="M1919">
        <v>0</v>
      </c>
      <c r="N1919">
        <v>0</v>
      </c>
      <c r="O1919">
        <v>0</v>
      </c>
      <c r="P1919">
        <v>1</v>
      </c>
      <c r="Q1919">
        <v>0</v>
      </c>
      <c r="AQ1919">
        <v>14</v>
      </c>
      <c r="AR1919">
        <v>265.125</v>
      </c>
      <c r="AS1919">
        <v>3711.75</v>
      </c>
    </row>
    <row r="1920" spans="1:45" hidden="1">
      <c r="A1920" t="s">
        <v>320</v>
      </c>
      <c r="B1920" t="s">
        <v>748</v>
      </c>
      <c r="C1920" t="s">
        <v>259</v>
      </c>
      <c r="D1920" t="s">
        <v>260</v>
      </c>
      <c r="E1920" t="s">
        <v>242</v>
      </c>
      <c r="F1920" t="s">
        <v>261</v>
      </c>
      <c r="G1920" t="s">
        <v>262</v>
      </c>
      <c r="H1920">
        <v>80</v>
      </c>
      <c r="I1920">
        <v>0</v>
      </c>
      <c r="J1920">
        <v>1</v>
      </c>
      <c r="K1920">
        <v>0</v>
      </c>
      <c r="L1920">
        <v>0</v>
      </c>
      <c r="M1920">
        <v>0</v>
      </c>
      <c r="N1920">
        <v>0</v>
      </c>
      <c r="O1920">
        <v>0</v>
      </c>
      <c r="P1920">
        <v>3</v>
      </c>
      <c r="Q1920">
        <v>0</v>
      </c>
      <c r="AQ1920">
        <v>84</v>
      </c>
      <c r="AR1920">
        <v>318.14999999999998</v>
      </c>
      <c r="AS1920">
        <v>26724.6</v>
      </c>
    </row>
    <row r="1921" spans="1:45" hidden="1">
      <c r="A1921" t="s">
        <v>320</v>
      </c>
      <c r="B1921" t="s">
        <v>748</v>
      </c>
      <c r="C1921" t="s">
        <v>722</v>
      </c>
      <c r="D1921" t="s">
        <v>507</v>
      </c>
      <c r="E1921" t="s">
        <v>242</v>
      </c>
      <c r="F1921" t="s">
        <v>508</v>
      </c>
      <c r="G1921" t="s">
        <v>509</v>
      </c>
      <c r="H1921">
        <v>0</v>
      </c>
      <c r="I1921">
        <v>0</v>
      </c>
      <c r="J1921">
        <v>0</v>
      </c>
      <c r="K1921">
        <v>0</v>
      </c>
      <c r="L1921">
        <v>0</v>
      </c>
      <c r="M1921">
        <v>0</v>
      </c>
      <c r="N1921">
        <v>0</v>
      </c>
      <c r="O1921">
        <v>0</v>
      </c>
      <c r="P1921">
        <v>0</v>
      </c>
      <c r="Q1921">
        <v>0</v>
      </c>
      <c r="AQ1921">
        <v>0</v>
      </c>
      <c r="AR1921">
        <v>2121</v>
      </c>
      <c r="AS1921">
        <v>0</v>
      </c>
    </row>
    <row r="1922" spans="1:45" hidden="1">
      <c r="A1922" t="s">
        <v>320</v>
      </c>
      <c r="B1922" t="s">
        <v>748</v>
      </c>
      <c r="C1922" t="s">
        <v>723</v>
      </c>
      <c r="D1922" t="s">
        <v>510</v>
      </c>
      <c r="E1922" t="s">
        <v>242</v>
      </c>
      <c r="F1922" t="s">
        <v>511</v>
      </c>
      <c r="G1922" t="s">
        <v>512</v>
      </c>
      <c r="H1922">
        <v>11</v>
      </c>
      <c r="I1922">
        <v>1</v>
      </c>
      <c r="J1922">
        <v>0</v>
      </c>
      <c r="K1922">
        <v>0</v>
      </c>
      <c r="L1922">
        <v>0</v>
      </c>
      <c r="M1922">
        <v>0</v>
      </c>
      <c r="N1922">
        <v>0</v>
      </c>
      <c r="O1922">
        <v>0</v>
      </c>
      <c r="P1922">
        <v>0</v>
      </c>
      <c r="Q1922">
        <v>0</v>
      </c>
      <c r="AQ1922">
        <v>12</v>
      </c>
      <c r="AR1922">
        <v>212.1</v>
      </c>
      <c r="AS1922">
        <v>2545.1999999999998</v>
      </c>
    </row>
    <row r="1923" spans="1:45" hidden="1">
      <c r="A1923" t="s">
        <v>320</v>
      </c>
      <c r="B1923" t="s">
        <v>748</v>
      </c>
      <c r="C1923" t="s">
        <v>724</v>
      </c>
      <c r="D1923" t="s">
        <v>526</v>
      </c>
      <c r="E1923" t="s">
        <v>242</v>
      </c>
      <c r="F1923" t="s">
        <v>527</v>
      </c>
      <c r="G1923" t="s">
        <v>528</v>
      </c>
      <c r="H1923">
        <v>26963</v>
      </c>
      <c r="I1923">
        <v>2693</v>
      </c>
      <c r="J1923">
        <v>248</v>
      </c>
      <c r="K1923">
        <v>0</v>
      </c>
      <c r="L1923">
        <v>375</v>
      </c>
      <c r="M1923">
        <v>0</v>
      </c>
      <c r="N1923">
        <v>0</v>
      </c>
      <c r="O1923">
        <v>0</v>
      </c>
      <c r="P1923">
        <v>0</v>
      </c>
      <c r="Q1923">
        <v>0</v>
      </c>
      <c r="AQ1923">
        <v>30279</v>
      </c>
      <c r="AR1923">
        <v>0.42420000000000002</v>
      </c>
      <c r="AS1923">
        <v>12844.3518</v>
      </c>
    </row>
    <row r="1924" spans="1:45" hidden="1">
      <c r="A1924" t="s">
        <v>320</v>
      </c>
      <c r="B1924" t="s">
        <v>748</v>
      </c>
      <c r="C1924" t="s">
        <v>725</v>
      </c>
      <c r="D1924" t="s">
        <v>529</v>
      </c>
      <c r="E1924" t="s">
        <v>242</v>
      </c>
      <c r="F1924" t="s">
        <v>530</v>
      </c>
      <c r="G1924" t="s">
        <v>531</v>
      </c>
      <c r="H1924">
        <v>4</v>
      </c>
      <c r="I1924">
        <v>0</v>
      </c>
      <c r="J1924">
        <v>0</v>
      </c>
      <c r="K1924">
        <v>0</v>
      </c>
      <c r="L1924">
        <v>0</v>
      </c>
      <c r="M1924">
        <v>0</v>
      </c>
      <c r="N1924">
        <v>0</v>
      </c>
      <c r="O1924">
        <v>0</v>
      </c>
      <c r="P1924">
        <v>0</v>
      </c>
      <c r="Q1924">
        <v>0</v>
      </c>
      <c r="AQ1924">
        <v>4</v>
      </c>
      <c r="AR1924">
        <v>212.1</v>
      </c>
      <c r="AS1924">
        <v>848.4</v>
      </c>
    </row>
    <row r="1925" spans="1:45" hidden="1">
      <c r="A1925" t="s">
        <v>320</v>
      </c>
      <c r="B1925" t="s">
        <v>748</v>
      </c>
      <c r="C1925" t="s">
        <v>726</v>
      </c>
      <c r="D1925" t="s">
        <v>532</v>
      </c>
      <c r="E1925" t="s">
        <v>242</v>
      </c>
      <c r="F1925" t="s">
        <v>533</v>
      </c>
      <c r="G1925" t="s">
        <v>534</v>
      </c>
      <c r="H1925">
        <v>0</v>
      </c>
      <c r="I1925">
        <v>0</v>
      </c>
      <c r="J1925">
        <v>0</v>
      </c>
      <c r="K1925">
        <v>0</v>
      </c>
      <c r="L1925">
        <v>0</v>
      </c>
      <c r="M1925">
        <v>0</v>
      </c>
      <c r="N1925">
        <v>0</v>
      </c>
      <c r="O1925">
        <v>0</v>
      </c>
      <c r="P1925">
        <v>0</v>
      </c>
      <c r="Q1925">
        <v>0</v>
      </c>
      <c r="AQ1925">
        <v>0</v>
      </c>
      <c r="AR1925">
        <v>21.21</v>
      </c>
      <c r="AS1925">
        <v>0</v>
      </c>
    </row>
    <row r="1926" spans="1:45" hidden="1">
      <c r="A1926" t="s">
        <v>320</v>
      </c>
      <c r="B1926" t="s">
        <v>748</v>
      </c>
      <c r="C1926" t="s">
        <v>727</v>
      </c>
      <c r="D1926" t="s">
        <v>287</v>
      </c>
      <c r="E1926" t="s">
        <v>242</v>
      </c>
      <c r="F1926" t="s">
        <v>537</v>
      </c>
      <c r="G1926" t="s">
        <v>538</v>
      </c>
      <c r="H1926">
        <v>0</v>
      </c>
      <c r="I1926">
        <v>0</v>
      </c>
      <c r="J1926">
        <v>0</v>
      </c>
      <c r="K1926">
        <v>0</v>
      </c>
      <c r="L1926">
        <v>0</v>
      </c>
      <c r="M1926">
        <v>0</v>
      </c>
      <c r="N1926">
        <v>0</v>
      </c>
      <c r="O1926">
        <v>0</v>
      </c>
      <c r="P1926">
        <v>0</v>
      </c>
      <c r="Q1926">
        <v>0</v>
      </c>
      <c r="AQ1926">
        <v>0</v>
      </c>
      <c r="AR1926">
        <v>127.26</v>
      </c>
      <c r="AS1926">
        <v>0</v>
      </c>
    </row>
    <row r="1927" spans="1:45" hidden="1">
      <c r="A1927" t="s">
        <v>320</v>
      </c>
      <c r="B1927" t="s">
        <v>748</v>
      </c>
      <c r="C1927" t="s">
        <v>728</v>
      </c>
      <c r="D1927" t="s">
        <v>287</v>
      </c>
      <c r="E1927" t="s">
        <v>242</v>
      </c>
      <c r="F1927" t="s">
        <v>535</v>
      </c>
      <c r="G1927" t="s">
        <v>536</v>
      </c>
      <c r="H1927">
        <v>0</v>
      </c>
      <c r="I1927">
        <v>0</v>
      </c>
      <c r="J1927">
        <v>0</v>
      </c>
      <c r="K1927">
        <v>0</v>
      </c>
      <c r="L1927">
        <v>0</v>
      </c>
      <c r="M1927">
        <v>0</v>
      </c>
      <c r="N1927">
        <v>0</v>
      </c>
      <c r="O1927">
        <v>0</v>
      </c>
      <c r="P1927">
        <v>0</v>
      </c>
      <c r="Q1927">
        <v>0</v>
      </c>
      <c r="AQ1927">
        <v>0</v>
      </c>
      <c r="AR1927">
        <v>424.2</v>
      </c>
      <c r="AS1927">
        <v>0</v>
      </c>
    </row>
    <row r="1928" spans="1:45" hidden="1">
      <c r="A1928" t="s">
        <v>320</v>
      </c>
      <c r="B1928" t="s">
        <v>748</v>
      </c>
      <c r="C1928" t="s">
        <v>729</v>
      </c>
      <c r="D1928" t="s">
        <v>522</v>
      </c>
      <c r="E1928" t="s">
        <v>242</v>
      </c>
      <c r="F1928" t="s">
        <v>523</v>
      </c>
      <c r="G1928" t="s">
        <v>517</v>
      </c>
      <c r="H1928">
        <v>0</v>
      </c>
      <c r="I1928">
        <v>0</v>
      </c>
      <c r="J1928">
        <v>0</v>
      </c>
      <c r="K1928">
        <v>0</v>
      </c>
      <c r="L1928">
        <v>0</v>
      </c>
      <c r="M1928">
        <v>0</v>
      </c>
      <c r="N1928">
        <v>0</v>
      </c>
      <c r="O1928">
        <v>0</v>
      </c>
      <c r="P1928">
        <v>0</v>
      </c>
      <c r="Q1928">
        <v>0</v>
      </c>
      <c r="AQ1928">
        <v>0</v>
      </c>
      <c r="AR1928">
        <v>1272.5999999999999</v>
      </c>
      <c r="AS1928">
        <v>0</v>
      </c>
    </row>
    <row r="1929" spans="1:45" hidden="1">
      <c r="A1929" t="s">
        <v>320</v>
      </c>
      <c r="B1929" t="s">
        <v>748</v>
      </c>
      <c r="C1929" t="s">
        <v>730</v>
      </c>
      <c r="D1929" t="s">
        <v>515</v>
      </c>
      <c r="E1929" t="s">
        <v>242</v>
      </c>
      <c r="F1929" t="s">
        <v>516</v>
      </c>
      <c r="G1929" t="s">
        <v>517</v>
      </c>
      <c r="H1929">
        <v>2</v>
      </c>
      <c r="I1929">
        <v>0</v>
      </c>
      <c r="J1929">
        <v>0</v>
      </c>
      <c r="K1929">
        <v>0</v>
      </c>
      <c r="L1929">
        <v>0</v>
      </c>
      <c r="M1929">
        <v>0</v>
      </c>
      <c r="N1929">
        <v>0</v>
      </c>
      <c r="O1929">
        <v>0</v>
      </c>
      <c r="P1929">
        <v>0</v>
      </c>
      <c r="Q1929">
        <v>0</v>
      </c>
      <c r="AQ1929">
        <v>2</v>
      </c>
      <c r="AR1929">
        <v>3181.5</v>
      </c>
      <c r="AS1929">
        <v>6363</v>
      </c>
    </row>
    <row r="1930" spans="1:45" hidden="1">
      <c r="A1930" t="s">
        <v>320</v>
      </c>
      <c r="B1930" t="s">
        <v>748</v>
      </c>
      <c r="C1930" t="s">
        <v>731</v>
      </c>
      <c r="D1930" t="s">
        <v>524</v>
      </c>
      <c r="E1930" t="s">
        <v>242</v>
      </c>
      <c r="F1930" t="s">
        <v>525</v>
      </c>
      <c r="G1930" t="s">
        <v>503</v>
      </c>
      <c r="H1930">
        <v>0</v>
      </c>
      <c r="I1930">
        <v>0</v>
      </c>
      <c r="J1930">
        <v>0</v>
      </c>
      <c r="K1930">
        <v>0</v>
      </c>
      <c r="L1930">
        <v>0</v>
      </c>
      <c r="M1930">
        <v>0</v>
      </c>
      <c r="N1930">
        <v>0</v>
      </c>
      <c r="O1930">
        <v>0</v>
      </c>
      <c r="P1930">
        <v>0</v>
      </c>
      <c r="Q1930">
        <v>0</v>
      </c>
      <c r="AQ1930">
        <v>0</v>
      </c>
      <c r="AR1930">
        <v>15907.5</v>
      </c>
      <c r="AS1930">
        <v>0</v>
      </c>
    </row>
    <row r="1931" spans="1:45" hidden="1">
      <c r="A1931" t="s">
        <v>320</v>
      </c>
      <c r="B1931" t="s">
        <v>748</v>
      </c>
      <c r="C1931" t="s">
        <v>732</v>
      </c>
      <c r="D1931" t="s">
        <v>513</v>
      </c>
      <c r="E1931" t="s">
        <v>242</v>
      </c>
      <c r="F1931" t="s">
        <v>514</v>
      </c>
      <c r="G1931" t="s">
        <v>453</v>
      </c>
      <c r="H1931">
        <v>0</v>
      </c>
      <c r="I1931">
        <v>0</v>
      </c>
      <c r="J1931">
        <v>0</v>
      </c>
      <c r="K1931">
        <v>0</v>
      </c>
      <c r="L1931">
        <v>0</v>
      </c>
      <c r="M1931">
        <v>0</v>
      </c>
      <c r="N1931">
        <v>0</v>
      </c>
      <c r="O1931">
        <v>0</v>
      </c>
      <c r="P1931">
        <v>0</v>
      </c>
      <c r="Q1931">
        <v>0</v>
      </c>
      <c r="AQ1931">
        <v>0</v>
      </c>
      <c r="AR1931">
        <v>848.4</v>
      </c>
      <c r="AS1931">
        <v>0</v>
      </c>
    </row>
    <row r="1932" spans="1:45" hidden="1">
      <c r="A1932" t="s">
        <v>320</v>
      </c>
      <c r="B1932" t="s">
        <v>748</v>
      </c>
      <c r="C1932" t="s">
        <v>733</v>
      </c>
      <c r="D1932" t="s">
        <v>287</v>
      </c>
      <c r="E1932" t="s">
        <v>242</v>
      </c>
      <c r="F1932" t="s">
        <v>539</v>
      </c>
      <c r="G1932" t="s">
        <v>540</v>
      </c>
      <c r="H1932">
        <v>0</v>
      </c>
      <c r="I1932">
        <v>0</v>
      </c>
      <c r="J1932">
        <v>0</v>
      </c>
      <c r="K1932">
        <v>0</v>
      </c>
      <c r="L1932">
        <v>0</v>
      </c>
      <c r="M1932">
        <v>0</v>
      </c>
      <c r="N1932">
        <v>0</v>
      </c>
      <c r="O1932">
        <v>0</v>
      </c>
      <c r="P1932">
        <v>0</v>
      </c>
      <c r="Q1932">
        <v>0</v>
      </c>
      <c r="AQ1932">
        <v>0</v>
      </c>
      <c r="AR1932">
        <v>8.08</v>
      </c>
      <c r="AS1932">
        <v>0</v>
      </c>
    </row>
    <row r="1933" spans="1:45" hidden="1">
      <c r="A1933" t="s">
        <v>320</v>
      </c>
      <c r="B1933" t="s">
        <v>748</v>
      </c>
      <c r="C1933" t="s">
        <v>734</v>
      </c>
      <c r="D1933" t="s">
        <v>287</v>
      </c>
      <c r="E1933" t="s">
        <v>242</v>
      </c>
      <c r="F1933" t="s">
        <v>541</v>
      </c>
      <c r="G1933" t="s">
        <v>540</v>
      </c>
      <c r="H1933">
        <v>0</v>
      </c>
      <c r="I1933">
        <v>0</v>
      </c>
      <c r="J1933">
        <v>0</v>
      </c>
      <c r="K1933">
        <v>0</v>
      </c>
      <c r="L1933">
        <v>0</v>
      </c>
      <c r="M1933">
        <v>0</v>
      </c>
      <c r="N1933">
        <v>0</v>
      </c>
      <c r="O1933">
        <v>0</v>
      </c>
      <c r="P1933">
        <v>0</v>
      </c>
      <c r="Q1933">
        <v>0</v>
      </c>
      <c r="AQ1933">
        <v>0</v>
      </c>
      <c r="AR1933">
        <v>7.4740000000000002</v>
      </c>
      <c r="AS1933">
        <v>0</v>
      </c>
    </row>
    <row r="1934" spans="1:45" hidden="1">
      <c r="A1934" t="s">
        <v>320</v>
      </c>
      <c r="B1934" t="s">
        <v>748</v>
      </c>
      <c r="C1934" t="s">
        <v>735</v>
      </c>
      <c r="D1934" t="s">
        <v>543</v>
      </c>
      <c r="E1934" t="s">
        <v>542</v>
      </c>
      <c r="F1934" t="s">
        <v>544</v>
      </c>
      <c r="G1934" t="s">
        <v>545</v>
      </c>
      <c r="H1934">
        <v>4200</v>
      </c>
      <c r="I1934">
        <v>2700</v>
      </c>
      <c r="J1934">
        <v>0</v>
      </c>
      <c r="K1934">
        <v>0</v>
      </c>
      <c r="L1934">
        <v>0</v>
      </c>
      <c r="M1934">
        <v>0</v>
      </c>
      <c r="N1934">
        <v>0</v>
      </c>
      <c r="O1934">
        <v>0</v>
      </c>
      <c r="P1934">
        <v>0</v>
      </c>
      <c r="Q1934">
        <v>0</v>
      </c>
      <c r="AQ1934">
        <v>6900</v>
      </c>
      <c r="AR1934">
        <v>6900</v>
      </c>
      <c r="AS1934">
        <v>6900</v>
      </c>
    </row>
    <row r="1935" spans="1:45" hidden="1">
      <c r="A1935" t="s">
        <v>320</v>
      </c>
      <c r="B1935" t="s">
        <v>748</v>
      </c>
      <c r="C1935" t="s">
        <v>286</v>
      </c>
      <c r="D1935" t="s">
        <v>287</v>
      </c>
      <c r="E1935" t="s">
        <v>288</v>
      </c>
      <c r="F1935" t="s">
        <v>289</v>
      </c>
      <c r="G1935" t="s">
        <v>547</v>
      </c>
      <c r="AQ1935">
        <v>0</v>
      </c>
      <c r="AR1935">
        <v>0.05</v>
      </c>
      <c r="AS1935">
        <v>219082.70613000001</v>
      </c>
    </row>
    <row r="1936" spans="1:45" hidden="1">
      <c r="A1936" t="s">
        <v>320</v>
      </c>
      <c r="B1936" t="s">
        <v>748</v>
      </c>
      <c r="C1936" t="s">
        <v>291</v>
      </c>
      <c r="D1936" t="s">
        <v>287</v>
      </c>
      <c r="E1936" t="s">
        <v>288</v>
      </c>
      <c r="F1936" t="s">
        <v>292</v>
      </c>
      <c r="G1936" t="s">
        <v>293</v>
      </c>
      <c r="AQ1936">
        <v>0</v>
      </c>
      <c r="AR1936">
        <v>6.0600000000000001E-2</v>
      </c>
      <c r="AS1936">
        <v>0</v>
      </c>
    </row>
    <row r="1937" spans="1:45" hidden="1">
      <c r="A1937" t="s">
        <v>320</v>
      </c>
      <c r="B1937" t="s">
        <v>748</v>
      </c>
      <c r="C1937" t="s">
        <v>736</v>
      </c>
      <c r="D1937" t="s">
        <v>287</v>
      </c>
      <c r="E1937" t="s">
        <v>288</v>
      </c>
      <c r="F1937" t="s">
        <v>550</v>
      </c>
      <c r="G1937" t="s">
        <v>293</v>
      </c>
      <c r="AQ1937">
        <v>0</v>
      </c>
      <c r="AR1937">
        <v>5.0500000000000003E-2</v>
      </c>
      <c r="AS1937">
        <v>0</v>
      </c>
    </row>
    <row r="1938" spans="1:45" hidden="1">
      <c r="A1938" t="s">
        <v>320</v>
      </c>
      <c r="B1938" t="s">
        <v>748</v>
      </c>
      <c r="C1938" t="s">
        <v>737</v>
      </c>
      <c r="D1938" t="s">
        <v>287</v>
      </c>
      <c r="E1938" t="s">
        <v>288</v>
      </c>
      <c r="F1938" t="s">
        <v>548</v>
      </c>
      <c r="G1938" t="s">
        <v>293</v>
      </c>
      <c r="AQ1938">
        <v>0</v>
      </c>
      <c r="AR1938">
        <v>0.1111</v>
      </c>
      <c r="AS1938">
        <v>0</v>
      </c>
    </row>
    <row r="1939" spans="1:45" hidden="1">
      <c r="A1939" t="s">
        <v>320</v>
      </c>
      <c r="B1939" t="s">
        <v>748</v>
      </c>
      <c r="C1939" t="s">
        <v>738</v>
      </c>
      <c r="D1939" t="s">
        <v>287</v>
      </c>
      <c r="E1939" t="s">
        <v>288</v>
      </c>
      <c r="F1939" t="s">
        <v>549</v>
      </c>
      <c r="G1939" t="s">
        <v>293</v>
      </c>
      <c r="AQ1939">
        <v>0</v>
      </c>
      <c r="AR1939">
        <v>0.10100000000000001</v>
      </c>
      <c r="AS1939">
        <v>0</v>
      </c>
    </row>
    <row r="1940" spans="1:45" hidden="1">
      <c r="A1940" t="s">
        <v>306</v>
      </c>
      <c r="B1940" t="s">
        <v>739</v>
      </c>
      <c r="C1940" t="s">
        <v>641</v>
      </c>
      <c r="D1940" t="s">
        <v>324</v>
      </c>
      <c r="E1940" t="s">
        <v>323</v>
      </c>
      <c r="F1940" t="s">
        <v>325</v>
      </c>
      <c r="G1940" t="s">
        <v>326</v>
      </c>
      <c r="H1940">
        <v>2368739</v>
      </c>
      <c r="I1940">
        <v>18043</v>
      </c>
      <c r="K1940">
        <v>1229</v>
      </c>
      <c r="L1940">
        <v>6373</v>
      </c>
      <c r="N1940">
        <v>6891</v>
      </c>
      <c r="O1940">
        <v>7500</v>
      </c>
      <c r="P1940">
        <v>22512</v>
      </c>
      <c r="U1940">
        <v>5634</v>
      </c>
      <c r="W1940">
        <v>4754</v>
      </c>
      <c r="Y1940">
        <v>15627</v>
      </c>
      <c r="AA1940">
        <v>1403534</v>
      </c>
      <c r="AE1940">
        <v>724455</v>
      </c>
      <c r="AF1940">
        <v>3086</v>
      </c>
      <c r="AI1940">
        <v>31580</v>
      </c>
      <c r="AL1940">
        <v>7831</v>
      </c>
      <c r="AM1940">
        <v>108752</v>
      </c>
      <c r="AO1940">
        <v>137559</v>
      </c>
      <c r="AP1940">
        <v>515792.5</v>
      </c>
      <c r="AQ1940">
        <v>5389891.5</v>
      </c>
      <c r="AR1940">
        <v>1.35E-2</v>
      </c>
      <c r="AS1940">
        <v>72763.535250000001</v>
      </c>
    </row>
    <row r="1941" spans="1:45" hidden="1">
      <c r="A1941" t="s">
        <v>306</v>
      </c>
      <c r="B1941" t="s">
        <v>739</v>
      </c>
      <c r="C1941" t="s">
        <v>642</v>
      </c>
      <c r="D1941" t="s">
        <v>327</v>
      </c>
      <c r="E1941" t="s">
        <v>323</v>
      </c>
      <c r="F1941" t="s">
        <v>328</v>
      </c>
      <c r="G1941" t="s">
        <v>329</v>
      </c>
      <c r="AQ1941">
        <v>0</v>
      </c>
      <c r="AR1941">
        <v>5.9330000000000001E-2</v>
      </c>
      <c r="AS1941">
        <v>0</v>
      </c>
    </row>
    <row r="1942" spans="1:45" hidden="1">
      <c r="A1942" t="s">
        <v>306</v>
      </c>
      <c r="B1942" t="s">
        <v>739</v>
      </c>
      <c r="C1942" t="s">
        <v>643</v>
      </c>
      <c r="D1942" t="s">
        <v>330</v>
      </c>
      <c r="E1942" t="s">
        <v>323</v>
      </c>
      <c r="F1942" t="s">
        <v>331</v>
      </c>
      <c r="G1942" t="s">
        <v>740</v>
      </c>
      <c r="AQ1942">
        <v>0</v>
      </c>
      <c r="AR1942">
        <v>0.1</v>
      </c>
      <c r="AS1942">
        <v>0</v>
      </c>
    </row>
    <row r="1943" spans="1:45" hidden="1">
      <c r="A1943" t="s">
        <v>306</v>
      </c>
      <c r="B1943" t="s">
        <v>739</v>
      </c>
      <c r="C1943" t="s">
        <v>644</v>
      </c>
      <c r="D1943" t="s">
        <v>332</v>
      </c>
      <c r="E1943" t="s">
        <v>323</v>
      </c>
      <c r="F1943" t="s">
        <v>333</v>
      </c>
      <c r="G1943" t="s">
        <v>740</v>
      </c>
      <c r="AQ1943">
        <v>0</v>
      </c>
      <c r="AR1943">
        <v>0.125</v>
      </c>
      <c r="AS1943">
        <v>0</v>
      </c>
    </row>
    <row r="1944" spans="1:45" hidden="1">
      <c r="A1944" t="s">
        <v>306</v>
      </c>
      <c r="B1944" t="s">
        <v>739</v>
      </c>
      <c r="C1944" t="s">
        <v>645</v>
      </c>
      <c r="D1944" t="s">
        <v>334</v>
      </c>
      <c r="E1944" t="s">
        <v>323</v>
      </c>
      <c r="F1944" t="s">
        <v>335</v>
      </c>
      <c r="G1944" t="s">
        <v>329</v>
      </c>
      <c r="AQ1944">
        <v>0</v>
      </c>
      <c r="AR1944">
        <v>0.28000000000000003</v>
      </c>
    </row>
    <row r="1945" spans="1:45" hidden="1">
      <c r="A1945" t="s">
        <v>306</v>
      </c>
      <c r="B1945" t="s">
        <v>739</v>
      </c>
      <c r="C1945" t="s">
        <v>646</v>
      </c>
      <c r="D1945" t="s">
        <v>137</v>
      </c>
      <c r="E1945" t="s">
        <v>138</v>
      </c>
      <c r="F1945" t="s">
        <v>337</v>
      </c>
      <c r="G1945" t="s">
        <v>140</v>
      </c>
      <c r="H1945">
        <v>0</v>
      </c>
      <c r="K1945">
        <v>1</v>
      </c>
      <c r="R1945">
        <v>5</v>
      </c>
      <c r="U1945">
        <v>2</v>
      </c>
      <c r="W1945">
        <v>1</v>
      </c>
      <c r="AF1945">
        <v>2</v>
      </c>
      <c r="AL1945">
        <v>1</v>
      </c>
      <c r="AO1945">
        <v>2</v>
      </c>
      <c r="AP1945">
        <v>4</v>
      </c>
      <c r="AQ1945">
        <v>18</v>
      </c>
      <c r="AR1945">
        <v>212.1</v>
      </c>
      <c r="AS1945">
        <v>3817.8</v>
      </c>
    </row>
    <row r="1946" spans="1:45" hidden="1">
      <c r="A1946" t="s">
        <v>306</v>
      </c>
      <c r="B1946" t="s">
        <v>739</v>
      </c>
      <c r="C1946" t="s">
        <v>136</v>
      </c>
      <c r="D1946" t="s">
        <v>137</v>
      </c>
      <c r="E1946" t="s">
        <v>138</v>
      </c>
      <c r="F1946" t="s">
        <v>139</v>
      </c>
      <c r="G1946" t="s">
        <v>140</v>
      </c>
      <c r="H1946">
        <v>1</v>
      </c>
      <c r="I1946">
        <v>1</v>
      </c>
      <c r="L1946">
        <v>1</v>
      </c>
      <c r="N1946">
        <v>1</v>
      </c>
      <c r="O1946">
        <v>1</v>
      </c>
      <c r="P1946">
        <v>1</v>
      </c>
      <c r="Y1946">
        <v>2</v>
      </c>
      <c r="AA1946">
        <v>1</v>
      </c>
      <c r="AI1946">
        <v>3</v>
      </c>
      <c r="AN1946">
        <v>1</v>
      </c>
      <c r="AQ1946">
        <v>13</v>
      </c>
      <c r="AR1946">
        <v>1696.8</v>
      </c>
      <c r="AS1946">
        <v>22058.400000000001</v>
      </c>
    </row>
    <row r="1947" spans="1:45" hidden="1">
      <c r="A1947" t="s">
        <v>306</v>
      </c>
      <c r="B1947" t="s">
        <v>739</v>
      </c>
      <c r="C1947" t="s">
        <v>143</v>
      </c>
      <c r="D1947" t="s">
        <v>137</v>
      </c>
      <c r="E1947" t="s">
        <v>138</v>
      </c>
      <c r="F1947" t="s">
        <v>277</v>
      </c>
      <c r="G1947" t="s">
        <v>140</v>
      </c>
      <c r="H1947">
        <v>5</v>
      </c>
      <c r="AA1947">
        <v>4</v>
      </c>
      <c r="AE1947">
        <v>5</v>
      </c>
      <c r="AM1947">
        <v>3</v>
      </c>
      <c r="AO1947">
        <v>2</v>
      </c>
      <c r="AP1947">
        <v>2</v>
      </c>
      <c r="AQ1947">
        <v>21</v>
      </c>
      <c r="AR1947">
        <v>3923.85</v>
      </c>
      <c r="AS1947">
        <v>82400.850000000006</v>
      </c>
    </row>
    <row r="1948" spans="1:45" hidden="1">
      <c r="A1948" t="s">
        <v>306</v>
      </c>
      <c r="B1948" t="s">
        <v>739</v>
      </c>
      <c r="C1948" t="s">
        <v>647</v>
      </c>
      <c r="D1948" t="s">
        <v>137</v>
      </c>
      <c r="E1948" t="s">
        <v>138</v>
      </c>
      <c r="F1948" t="s">
        <v>338</v>
      </c>
      <c r="G1948" t="s">
        <v>140</v>
      </c>
      <c r="AQ1948">
        <v>0</v>
      </c>
      <c r="AR1948">
        <v>6893.25</v>
      </c>
      <c r="AS1948">
        <v>0</v>
      </c>
    </row>
    <row r="1949" spans="1:45" hidden="1">
      <c r="A1949" t="s">
        <v>306</v>
      </c>
      <c r="B1949" t="s">
        <v>739</v>
      </c>
      <c r="C1949" t="s">
        <v>648</v>
      </c>
      <c r="D1949" t="s">
        <v>342</v>
      </c>
      <c r="E1949" t="s">
        <v>138</v>
      </c>
      <c r="F1949" t="s">
        <v>343</v>
      </c>
      <c r="G1949" t="s">
        <v>140</v>
      </c>
      <c r="AQ1949">
        <v>0</v>
      </c>
      <c r="AR1949">
        <v>13786.5</v>
      </c>
      <c r="AS1949">
        <v>0</v>
      </c>
    </row>
    <row r="1950" spans="1:45" hidden="1">
      <c r="A1950" t="s">
        <v>306</v>
      </c>
      <c r="B1950" t="s">
        <v>739</v>
      </c>
      <c r="C1950" t="s">
        <v>649</v>
      </c>
      <c r="D1950" t="s">
        <v>344</v>
      </c>
      <c r="E1950" t="s">
        <v>138</v>
      </c>
      <c r="F1950" t="s">
        <v>345</v>
      </c>
      <c r="G1950" t="s">
        <v>346</v>
      </c>
      <c r="AQ1950">
        <v>0</v>
      </c>
      <c r="AR1950">
        <v>11.11</v>
      </c>
      <c r="AS1950">
        <v>0</v>
      </c>
    </row>
    <row r="1951" spans="1:45" hidden="1">
      <c r="A1951" t="s">
        <v>306</v>
      </c>
      <c r="B1951" t="s">
        <v>739</v>
      </c>
      <c r="C1951" t="s">
        <v>650</v>
      </c>
      <c r="D1951" t="s">
        <v>339</v>
      </c>
      <c r="E1951" t="s">
        <v>138</v>
      </c>
      <c r="F1951" t="s">
        <v>340</v>
      </c>
      <c r="G1951" t="s">
        <v>341</v>
      </c>
      <c r="L1951">
        <v>1</v>
      </c>
      <c r="O1951">
        <v>1</v>
      </c>
      <c r="AP1951">
        <v>2</v>
      </c>
      <c r="AQ1951">
        <v>4</v>
      </c>
      <c r="AR1951">
        <v>557.52</v>
      </c>
      <c r="AS1951">
        <v>2230.08</v>
      </c>
    </row>
    <row r="1952" spans="1:45" hidden="1">
      <c r="A1952" t="s">
        <v>306</v>
      </c>
      <c r="B1952" t="s">
        <v>739</v>
      </c>
      <c r="C1952" t="s">
        <v>651</v>
      </c>
      <c r="D1952" t="s">
        <v>347</v>
      </c>
      <c r="E1952" t="s">
        <v>138</v>
      </c>
      <c r="F1952" t="s">
        <v>350</v>
      </c>
      <c r="G1952" t="s">
        <v>349</v>
      </c>
      <c r="AQ1952">
        <v>0</v>
      </c>
      <c r="AR1952">
        <v>234.32</v>
      </c>
      <c r="AS1952">
        <v>0</v>
      </c>
    </row>
    <row r="1953" spans="1:45" hidden="1">
      <c r="A1953" t="s">
        <v>306</v>
      </c>
      <c r="B1953" t="s">
        <v>739</v>
      </c>
      <c r="C1953" t="s">
        <v>652</v>
      </c>
      <c r="D1953" t="s">
        <v>347</v>
      </c>
      <c r="E1953" t="s">
        <v>138</v>
      </c>
      <c r="F1953" t="s">
        <v>348</v>
      </c>
      <c r="G1953" t="s">
        <v>349</v>
      </c>
      <c r="AQ1953">
        <v>0</v>
      </c>
      <c r="AR1953">
        <v>456.52</v>
      </c>
      <c r="AS1953">
        <v>0</v>
      </c>
    </row>
    <row r="1954" spans="1:45" hidden="1">
      <c r="A1954" t="s">
        <v>306</v>
      </c>
      <c r="B1954" t="s">
        <v>739</v>
      </c>
      <c r="C1954" t="s">
        <v>653</v>
      </c>
      <c r="D1954" t="s">
        <v>347</v>
      </c>
      <c r="E1954" t="s">
        <v>138</v>
      </c>
      <c r="F1954" t="s">
        <v>351</v>
      </c>
      <c r="G1954" t="s">
        <v>349</v>
      </c>
      <c r="AQ1954">
        <v>0</v>
      </c>
      <c r="AR1954">
        <v>679.73</v>
      </c>
      <c r="AS1954">
        <v>0</v>
      </c>
    </row>
    <row r="1955" spans="1:45" hidden="1">
      <c r="A1955" t="s">
        <v>306</v>
      </c>
      <c r="B1955" t="s">
        <v>739</v>
      </c>
      <c r="C1955" t="s">
        <v>654</v>
      </c>
      <c r="D1955" t="s">
        <v>352</v>
      </c>
      <c r="E1955" t="s">
        <v>138</v>
      </c>
      <c r="F1955" t="s">
        <v>353</v>
      </c>
      <c r="G1955" t="s">
        <v>354</v>
      </c>
      <c r="AQ1955">
        <v>0</v>
      </c>
      <c r="AR1955">
        <v>3923.85</v>
      </c>
      <c r="AS1955">
        <v>0</v>
      </c>
    </row>
    <row r="1956" spans="1:45" hidden="1">
      <c r="A1956" t="s">
        <v>306</v>
      </c>
      <c r="B1956" t="s">
        <v>739</v>
      </c>
      <c r="C1956" t="s">
        <v>655</v>
      </c>
      <c r="D1956" t="s">
        <v>355</v>
      </c>
      <c r="E1956" t="s">
        <v>138</v>
      </c>
      <c r="F1956" t="s">
        <v>356</v>
      </c>
      <c r="G1956" t="s">
        <v>357</v>
      </c>
      <c r="AQ1956">
        <v>0</v>
      </c>
      <c r="AR1956">
        <v>556.51</v>
      </c>
      <c r="AS1956">
        <v>0</v>
      </c>
    </row>
    <row r="1957" spans="1:45" hidden="1">
      <c r="A1957" t="s">
        <v>306</v>
      </c>
      <c r="B1957" t="s">
        <v>739</v>
      </c>
      <c r="C1957" t="s">
        <v>656</v>
      </c>
      <c r="D1957" t="s">
        <v>358</v>
      </c>
      <c r="E1957" t="s">
        <v>138</v>
      </c>
      <c r="F1957" t="s">
        <v>359</v>
      </c>
      <c r="G1957" t="s">
        <v>360</v>
      </c>
      <c r="AQ1957">
        <v>0</v>
      </c>
      <c r="AR1957">
        <v>334.31</v>
      </c>
      <c r="AS1957">
        <v>0</v>
      </c>
    </row>
    <row r="1958" spans="1:45" hidden="1">
      <c r="A1958" t="s">
        <v>306</v>
      </c>
      <c r="B1958" t="s">
        <v>739</v>
      </c>
      <c r="C1958" t="s">
        <v>657</v>
      </c>
      <c r="D1958" t="s">
        <v>361</v>
      </c>
      <c r="E1958" t="s">
        <v>138</v>
      </c>
      <c r="F1958" t="s">
        <v>362</v>
      </c>
      <c r="G1958" t="s">
        <v>363</v>
      </c>
      <c r="H1958">
        <v>8400</v>
      </c>
      <c r="AA1958">
        <v>8200</v>
      </c>
      <c r="AE1958">
        <v>8400</v>
      </c>
      <c r="AP1958">
        <v>8400</v>
      </c>
      <c r="AQ1958">
        <v>33400</v>
      </c>
      <c r="AR1958">
        <v>1.0605</v>
      </c>
      <c r="AS1958">
        <v>35420.699999999997</v>
      </c>
    </row>
    <row r="1959" spans="1:45" hidden="1">
      <c r="A1959" t="s">
        <v>306</v>
      </c>
      <c r="B1959" t="s">
        <v>739</v>
      </c>
      <c r="C1959" t="s">
        <v>658</v>
      </c>
      <c r="D1959" t="s">
        <v>364</v>
      </c>
      <c r="E1959" t="s">
        <v>138</v>
      </c>
      <c r="F1959" t="s">
        <v>366</v>
      </c>
      <c r="G1959" t="s">
        <v>363</v>
      </c>
      <c r="AQ1959">
        <v>0</v>
      </c>
      <c r="AR1959">
        <v>4.242</v>
      </c>
      <c r="AS1959">
        <v>0</v>
      </c>
    </row>
    <row r="1960" spans="1:45" hidden="1">
      <c r="A1960" t="s">
        <v>306</v>
      </c>
      <c r="B1960" t="s">
        <v>739</v>
      </c>
      <c r="C1960" t="s">
        <v>659</v>
      </c>
      <c r="D1960" t="s">
        <v>364</v>
      </c>
      <c r="E1960" t="s">
        <v>138</v>
      </c>
      <c r="F1960" t="s">
        <v>365</v>
      </c>
      <c r="G1960" t="s">
        <v>363</v>
      </c>
      <c r="AQ1960">
        <v>0</v>
      </c>
      <c r="AR1960">
        <v>8.484</v>
      </c>
      <c r="AS1960">
        <v>0</v>
      </c>
    </row>
    <row r="1961" spans="1:45" hidden="1">
      <c r="A1961" t="s">
        <v>306</v>
      </c>
      <c r="B1961" t="s">
        <v>739</v>
      </c>
      <c r="C1961" t="s">
        <v>660</v>
      </c>
      <c r="D1961" t="s">
        <v>364</v>
      </c>
      <c r="E1961" t="s">
        <v>138</v>
      </c>
      <c r="F1961" t="s">
        <v>367</v>
      </c>
      <c r="G1961" t="s">
        <v>363</v>
      </c>
      <c r="AQ1961">
        <v>0</v>
      </c>
      <c r="AR1961">
        <v>21.21</v>
      </c>
      <c r="AS1961">
        <v>0</v>
      </c>
    </row>
    <row r="1962" spans="1:45" hidden="1">
      <c r="A1962" t="s">
        <v>306</v>
      </c>
      <c r="B1962" t="s">
        <v>739</v>
      </c>
      <c r="C1962" t="s">
        <v>278</v>
      </c>
      <c r="D1962" t="s">
        <v>146</v>
      </c>
      <c r="E1962" t="s">
        <v>138</v>
      </c>
      <c r="F1962" t="s">
        <v>279</v>
      </c>
      <c r="G1962" t="s">
        <v>148</v>
      </c>
      <c r="N1962">
        <v>1</v>
      </c>
      <c r="Y1962">
        <v>1</v>
      </c>
      <c r="AQ1962">
        <v>2</v>
      </c>
      <c r="AR1962">
        <v>1272.5999999999999</v>
      </c>
      <c r="AS1962">
        <v>2545.1999999999998</v>
      </c>
    </row>
    <row r="1963" spans="1:45" hidden="1">
      <c r="A1963" t="s">
        <v>306</v>
      </c>
      <c r="B1963" t="s">
        <v>739</v>
      </c>
      <c r="C1963" t="s">
        <v>661</v>
      </c>
      <c r="D1963" t="s">
        <v>146</v>
      </c>
      <c r="E1963" t="s">
        <v>138</v>
      </c>
      <c r="F1963" t="s">
        <v>368</v>
      </c>
      <c r="G1963" t="s">
        <v>148</v>
      </c>
      <c r="H1963">
        <v>8</v>
      </c>
      <c r="AA1963">
        <v>10</v>
      </c>
      <c r="AE1963">
        <v>5</v>
      </c>
      <c r="AO1963">
        <v>2</v>
      </c>
      <c r="AP1963">
        <v>2</v>
      </c>
      <c r="AQ1963">
        <v>27</v>
      </c>
      <c r="AR1963">
        <v>2333.1</v>
      </c>
      <c r="AS1963">
        <v>62993.7</v>
      </c>
    </row>
    <row r="1964" spans="1:45" hidden="1">
      <c r="A1964" t="s">
        <v>306</v>
      </c>
      <c r="B1964" t="s">
        <v>739</v>
      </c>
      <c r="C1964" t="s">
        <v>662</v>
      </c>
      <c r="D1964" t="s">
        <v>146</v>
      </c>
      <c r="E1964" t="s">
        <v>138</v>
      </c>
      <c r="F1964" t="s">
        <v>369</v>
      </c>
      <c r="G1964" t="s">
        <v>148</v>
      </c>
      <c r="AQ1964">
        <v>0</v>
      </c>
      <c r="AR1964">
        <v>3711.75</v>
      </c>
      <c r="AS1964">
        <v>0</v>
      </c>
    </row>
    <row r="1965" spans="1:45" hidden="1">
      <c r="A1965" t="s">
        <v>306</v>
      </c>
      <c r="B1965" t="s">
        <v>739</v>
      </c>
      <c r="C1965" t="s">
        <v>663</v>
      </c>
      <c r="D1965" t="s">
        <v>146</v>
      </c>
      <c r="E1965" t="s">
        <v>138</v>
      </c>
      <c r="F1965" t="s">
        <v>370</v>
      </c>
      <c r="G1965" t="s">
        <v>148</v>
      </c>
      <c r="AQ1965">
        <v>0</v>
      </c>
      <c r="AR1965">
        <v>5832.75</v>
      </c>
      <c r="AS1965">
        <v>0</v>
      </c>
    </row>
    <row r="1966" spans="1:45" hidden="1">
      <c r="A1966" t="s">
        <v>306</v>
      </c>
      <c r="B1966" t="s">
        <v>739</v>
      </c>
      <c r="C1966" t="s">
        <v>664</v>
      </c>
      <c r="D1966" t="s">
        <v>371</v>
      </c>
      <c r="E1966" t="s">
        <v>138</v>
      </c>
      <c r="F1966" t="s">
        <v>372</v>
      </c>
      <c r="G1966" t="s">
        <v>373</v>
      </c>
      <c r="H1966">
        <v>5</v>
      </c>
      <c r="AP1966">
        <v>1</v>
      </c>
      <c r="AQ1966">
        <v>6</v>
      </c>
      <c r="AR1966">
        <v>3711.75</v>
      </c>
      <c r="AS1966">
        <v>22270.5</v>
      </c>
    </row>
    <row r="1967" spans="1:45" hidden="1">
      <c r="A1967" t="s">
        <v>306</v>
      </c>
      <c r="B1967" t="s">
        <v>739</v>
      </c>
      <c r="C1967" t="s">
        <v>149</v>
      </c>
      <c r="D1967" t="s">
        <v>280</v>
      </c>
      <c r="E1967" t="s">
        <v>138</v>
      </c>
      <c r="F1967" t="s">
        <v>151</v>
      </c>
      <c r="G1967" t="s">
        <v>152</v>
      </c>
      <c r="H1967">
        <v>31701</v>
      </c>
      <c r="L1967">
        <v>384</v>
      </c>
      <c r="M1967">
        <v>60</v>
      </c>
      <c r="AQ1967">
        <v>32145</v>
      </c>
      <c r="AR1967">
        <v>1.111</v>
      </c>
      <c r="AS1967">
        <v>35713.095000000001</v>
      </c>
    </row>
    <row r="1968" spans="1:45" hidden="1">
      <c r="A1968" t="s">
        <v>306</v>
      </c>
      <c r="B1968" t="s">
        <v>739</v>
      </c>
      <c r="C1968" t="s">
        <v>153</v>
      </c>
      <c r="D1968" t="s">
        <v>154</v>
      </c>
      <c r="E1968" t="s">
        <v>138</v>
      </c>
      <c r="F1968" t="s">
        <v>155</v>
      </c>
      <c r="G1968" t="s">
        <v>156</v>
      </c>
      <c r="AQ1968">
        <v>0</v>
      </c>
      <c r="AR1968">
        <v>116.655</v>
      </c>
      <c r="AS1968">
        <v>0</v>
      </c>
    </row>
    <row r="1969" spans="1:45" hidden="1">
      <c r="A1969" t="s">
        <v>306</v>
      </c>
      <c r="B1969" t="s">
        <v>739</v>
      </c>
      <c r="C1969" t="s">
        <v>665</v>
      </c>
      <c r="D1969" t="s">
        <v>375</v>
      </c>
      <c r="E1969" t="s">
        <v>138</v>
      </c>
      <c r="F1969" t="s">
        <v>376</v>
      </c>
      <c r="G1969" t="s">
        <v>377</v>
      </c>
      <c r="AQ1969">
        <v>0</v>
      </c>
      <c r="AR1969">
        <v>89.081999999999994</v>
      </c>
      <c r="AS1969">
        <v>0</v>
      </c>
    </row>
    <row r="1970" spans="1:45" hidden="1">
      <c r="A1970" t="s">
        <v>306</v>
      </c>
      <c r="B1970" t="s">
        <v>739</v>
      </c>
      <c r="C1970" t="s">
        <v>158</v>
      </c>
      <c r="D1970" t="s">
        <v>159</v>
      </c>
      <c r="E1970" t="s">
        <v>138</v>
      </c>
      <c r="F1970" t="s">
        <v>160</v>
      </c>
      <c r="G1970" t="s">
        <v>161</v>
      </c>
      <c r="H1970">
        <v>500</v>
      </c>
      <c r="M1970">
        <v>20</v>
      </c>
      <c r="N1970">
        <v>10</v>
      </c>
      <c r="Q1970">
        <v>40</v>
      </c>
      <c r="S1970">
        <v>10</v>
      </c>
      <c r="T1970">
        <v>10</v>
      </c>
      <c r="V1970">
        <v>20</v>
      </c>
      <c r="X1970">
        <v>35</v>
      </c>
      <c r="Y1970">
        <v>50</v>
      </c>
      <c r="AA1970">
        <v>250</v>
      </c>
      <c r="AB1970">
        <v>16</v>
      </c>
      <c r="AC1970">
        <v>56</v>
      </c>
      <c r="AE1970">
        <v>300</v>
      </c>
      <c r="AI1970">
        <v>15</v>
      </c>
      <c r="AK1970">
        <v>10</v>
      </c>
      <c r="AL1970">
        <v>10</v>
      </c>
      <c r="AM1970">
        <v>200</v>
      </c>
      <c r="AO1970">
        <v>200</v>
      </c>
      <c r="AP1970">
        <v>100</v>
      </c>
      <c r="AQ1970">
        <v>1852</v>
      </c>
      <c r="AR1970">
        <v>66.66</v>
      </c>
      <c r="AS1970">
        <v>123454.32</v>
      </c>
    </row>
    <row r="1971" spans="1:45" hidden="1">
      <c r="A1971" t="s">
        <v>306</v>
      </c>
      <c r="B1971" t="s">
        <v>739</v>
      </c>
      <c r="C1971" t="s">
        <v>666</v>
      </c>
      <c r="D1971" t="s">
        <v>378</v>
      </c>
      <c r="E1971" t="s">
        <v>138</v>
      </c>
      <c r="F1971" t="s">
        <v>379</v>
      </c>
      <c r="G1971" t="s">
        <v>380</v>
      </c>
      <c r="AQ1971">
        <v>0</v>
      </c>
      <c r="AR1971">
        <v>389.86</v>
      </c>
      <c r="AS1971">
        <v>0</v>
      </c>
    </row>
    <row r="1972" spans="1:45" hidden="1">
      <c r="A1972" t="s">
        <v>306</v>
      </c>
      <c r="B1972" t="s">
        <v>739</v>
      </c>
      <c r="C1972" t="s">
        <v>667</v>
      </c>
      <c r="D1972" t="s">
        <v>281</v>
      </c>
      <c r="E1972" t="s">
        <v>138</v>
      </c>
      <c r="F1972" t="s">
        <v>384</v>
      </c>
      <c r="G1972" t="s">
        <v>165</v>
      </c>
      <c r="AQ1972">
        <v>0</v>
      </c>
      <c r="AR1972">
        <v>2227.0500000000002</v>
      </c>
      <c r="AS1972">
        <v>0</v>
      </c>
    </row>
    <row r="1973" spans="1:45" hidden="1">
      <c r="A1973" t="s">
        <v>306</v>
      </c>
      <c r="B1973" t="s">
        <v>739</v>
      </c>
      <c r="C1973" t="s">
        <v>162</v>
      </c>
      <c r="D1973" t="s">
        <v>281</v>
      </c>
      <c r="E1973" t="s">
        <v>138</v>
      </c>
      <c r="F1973" t="s">
        <v>164</v>
      </c>
      <c r="G1973" t="s">
        <v>165</v>
      </c>
      <c r="H1973">
        <v>29</v>
      </c>
      <c r="N1973">
        <v>2</v>
      </c>
      <c r="Y1973">
        <v>2</v>
      </c>
      <c r="AA1973">
        <v>17</v>
      </c>
      <c r="AC1973">
        <v>2</v>
      </c>
      <c r="AE1973">
        <v>12</v>
      </c>
      <c r="AO1973">
        <v>1</v>
      </c>
      <c r="AP1973">
        <v>6</v>
      </c>
      <c r="AQ1973">
        <v>71</v>
      </c>
      <c r="AR1973">
        <v>4242</v>
      </c>
      <c r="AS1973">
        <v>301182</v>
      </c>
    </row>
    <row r="1974" spans="1:45" hidden="1">
      <c r="A1974" t="s">
        <v>306</v>
      </c>
      <c r="B1974" t="s">
        <v>739</v>
      </c>
      <c r="C1974" t="s">
        <v>668</v>
      </c>
      <c r="D1974" t="s">
        <v>381</v>
      </c>
      <c r="E1974" t="s">
        <v>138</v>
      </c>
      <c r="F1974" t="s">
        <v>382</v>
      </c>
      <c r="G1974" t="s">
        <v>383</v>
      </c>
      <c r="AQ1974">
        <v>0</v>
      </c>
      <c r="AR1974">
        <v>39.39</v>
      </c>
      <c r="AS1974">
        <v>0</v>
      </c>
    </row>
    <row r="1975" spans="1:45" hidden="1">
      <c r="A1975" t="s">
        <v>306</v>
      </c>
      <c r="B1975" t="s">
        <v>739</v>
      </c>
      <c r="C1975" t="s">
        <v>166</v>
      </c>
      <c r="D1975" t="s">
        <v>282</v>
      </c>
      <c r="E1975" t="s">
        <v>138</v>
      </c>
      <c r="F1975" t="s">
        <v>168</v>
      </c>
      <c r="G1975" t="s">
        <v>169</v>
      </c>
      <c r="H1975">
        <v>27936</v>
      </c>
      <c r="N1975">
        <v>287.94</v>
      </c>
      <c r="Q1975">
        <v>1042</v>
      </c>
      <c r="X1975">
        <v>1043.3399999999999</v>
      </c>
      <c r="Y1975">
        <v>664</v>
      </c>
      <c r="AA1975">
        <v>5651</v>
      </c>
      <c r="AC1975">
        <v>1664</v>
      </c>
      <c r="AD1975">
        <v>1135</v>
      </c>
      <c r="AE1975">
        <v>8210</v>
      </c>
      <c r="AM1975">
        <v>6649.35</v>
      </c>
      <c r="AO1975">
        <v>736</v>
      </c>
      <c r="AP1975">
        <v>6529</v>
      </c>
      <c r="AQ1975">
        <v>61547.63</v>
      </c>
      <c r="AR1975">
        <v>1.111</v>
      </c>
      <c r="AS1975">
        <v>68379.416930000007</v>
      </c>
    </row>
    <row r="1976" spans="1:45" hidden="1">
      <c r="A1976" t="s">
        <v>306</v>
      </c>
      <c r="B1976" t="s">
        <v>739</v>
      </c>
      <c r="C1976" t="s">
        <v>669</v>
      </c>
      <c r="D1976" t="s">
        <v>385</v>
      </c>
      <c r="E1976" t="s">
        <v>138</v>
      </c>
      <c r="F1976" t="s">
        <v>386</v>
      </c>
      <c r="G1976" t="s">
        <v>387</v>
      </c>
      <c r="AQ1976">
        <v>0</v>
      </c>
      <c r="AR1976">
        <v>22270.5</v>
      </c>
      <c r="AS1976">
        <v>0</v>
      </c>
    </row>
    <row r="1977" spans="1:45" hidden="1">
      <c r="A1977" t="s">
        <v>306</v>
      </c>
      <c r="B1977" t="s">
        <v>739</v>
      </c>
      <c r="C1977" t="s">
        <v>670</v>
      </c>
      <c r="D1977" t="s">
        <v>385</v>
      </c>
      <c r="E1977" t="s">
        <v>138</v>
      </c>
      <c r="F1977" t="s">
        <v>388</v>
      </c>
      <c r="G1977" t="s">
        <v>389</v>
      </c>
      <c r="AQ1977">
        <v>0</v>
      </c>
      <c r="AR1977">
        <v>0.22220000000000001</v>
      </c>
      <c r="AS1977">
        <v>0</v>
      </c>
    </row>
    <row r="1978" spans="1:45" hidden="1">
      <c r="A1978" t="s">
        <v>306</v>
      </c>
      <c r="B1978" t="s">
        <v>739</v>
      </c>
      <c r="C1978" t="s">
        <v>671</v>
      </c>
      <c r="D1978" t="s">
        <v>393</v>
      </c>
      <c r="E1978" t="s">
        <v>138</v>
      </c>
      <c r="F1978" t="s">
        <v>394</v>
      </c>
      <c r="G1978" t="s">
        <v>395</v>
      </c>
      <c r="AQ1978">
        <v>0</v>
      </c>
      <c r="AR1978">
        <v>99.99</v>
      </c>
      <c r="AS1978">
        <v>0</v>
      </c>
    </row>
    <row r="1979" spans="1:45" hidden="1">
      <c r="A1979" t="s">
        <v>306</v>
      </c>
      <c r="B1979" t="s">
        <v>739</v>
      </c>
      <c r="C1979" t="s">
        <v>672</v>
      </c>
      <c r="D1979" t="s">
        <v>393</v>
      </c>
      <c r="E1979" t="s">
        <v>138</v>
      </c>
      <c r="F1979" t="s">
        <v>396</v>
      </c>
      <c r="G1979" t="s">
        <v>395</v>
      </c>
      <c r="AQ1979">
        <v>0</v>
      </c>
      <c r="AR1979">
        <v>99.99</v>
      </c>
      <c r="AS1979">
        <v>0</v>
      </c>
    </row>
    <row r="1980" spans="1:45" hidden="1">
      <c r="A1980" t="s">
        <v>306</v>
      </c>
      <c r="B1980" t="s">
        <v>739</v>
      </c>
      <c r="C1980" t="s">
        <v>673</v>
      </c>
      <c r="D1980" t="s">
        <v>393</v>
      </c>
      <c r="E1980" t="s">
        <v>138</v>
      </c>
      <c r="F1980" t="s">
        <v>397</v>
      </c>
      <c r="G1980" t="s">
        <v>395</v>
      </c>
      <c r="AQ1980">
        <v>0</v>
      </c>
      <c r="AR1980">
        <v>66.66</v>
      </c>
      <c r="AS1980">
        <v>0</v>
      </c>
    </row>
    <row r="1981" spans="1:45" hidden="1">
      <c r="A1981" t="s">
        <v>306</v>
      </c>
      <c r="B1981" t="s">
        <v>739</v>
      </c>
      <c r="C1981" t="s">
        <v>674</v>
      </c>
      <c r="D1981" t="s">
        <v>287</v>
      </c>
      <c r="E1981" t="s">
        <v>138</v>
      </c>
      <c r="F1981" t="s">
        <v>402</v>
      </c>
      <c r="G1981" t="s">
        <v>403</v>
      </c>
      <c r="AQ1981">
        <v>0</v>
      </c>
      <c r="AR1981">
        <v>318150</v>
      </c>
      <c r="AS1981">
        <v>0</v>
      </c>
    </row>
    <row r="1982" spans="1:45" hidden="1">
      <c r="A1982" t="s">
        <v>306</v>
      </c>
      <c r="B1982" t="s">
        <v>739</v>
      </c>
      <c r="C1982" t="s">
        <v>675</v>
      </c>
      <c r="D1982" t="s">
        <v>390</v>
      </c>
      <c r="E1982" t="s">
        <v>138</v>
      </c>
      <c r="F1982" t="s">
        <v>391</v>
      </c>
      <c r="G1982" t="s">
        <v>392</v>
      </c>
      <c r="AQ1982">
        <v>0</v>
      </c>
      <c r="AR1982">
        <v>1336.23</v>
      </c>
      <c r="AS1982">
        <v>0</v>
      </c>
    </row>
    <row r="1983" spans="1:45" hidden="1">
      <c r="A1983" t="s">
        <v>306</v>
      </c>
      <c r="B1983" t="s">
        <v>739</v>
      </c>
      <c r="C1983" t="s">
        <v>676</v>
      </c>
      <c r="D1983" t="s">
        <v>398</v>
      </c>
      <c r="E1983" t="s">
        <v>138</v>
      </c>
      <c r="F1983" t="s">
        <v>399</v>
      </c>
      <c r="G1983" t="s">
        <v>400</v>
      </c>
      <c r="AQ1983">
        <v>0</v>
      </c>
      <c r="AR1983">
        <v>14475.825000000001</v>
      </c>
      <c r="AS1983">
        <v>0</v>
      </c>
    </row>
    <row r="1984" spans="1:45" hidden="1">
      <c r="A1984" t="s">
        <v>306</v>
      </c>
      <c r="B1984" t="s">
        <v>739</v>
      </c>
      <c r="C1984" t="s">
        <v>170</v>
      </c>
      <c r="D1984" t="s">
        <v>171</v>
      </c>
      <c r="E1984" t="s">
        <v>172</v>
      </c>
      <c r="F1984" t="s">
        <v>173</v>
      </c>
      <c r="G1984" t="s">
        <v>152</v>
      </c>
      <c r="H1984">
        <v>49475.624000000003</v>
      </c>
      <c r="I1984">
        <v>466</v>
      </c>
      <c r="J1984">
        <v>0</v>
      </c>
      <c r="K1984">
        <v>34</v>
      </c>
      <c r="L1984">
        <v>321.64</v>
      </c>
      <c r="M1984">
        <v>538.23</v>
      </c>
      <c r="N1984">
        <v>590.21</v>
      </c>
      <c r="O1984">
        <v>217.23</v>
      </c>
      <c r="P1984">
        <v>1472.01</v>
      </c>
      <c r="Q1984">
        <v>340</v>
      </c>
      <c r="R1984">
        <v>430.64</v>
      </c>
      <c r="S1984">
        <v>600</v>
      </c>
      <c r="T1984">
        <v>139</v>
      </c>
      <c r="U1984">
        <v>174</v>
      </c>
      <c r="V1984">
        <v>598</v>
      </c>
      <c r="W1984">
        <v>247</v>
      </c>
      <c r="X1984">
        <v>1043.5999999999999</v>
      </c>
      <c r="Y1984">
        <v>740</v>
      </c>
      <c r="Z1984">
        <v>91.03</v>
      </c>
      <c r="AA1984">
        <v>16545.189999999999</v>
      </c>
      <c r="AB1984">
        <v>508</v>
      </c>
      <c r="AC1984">
        <v>1664</v>
      </c>
      <c r="AD1984">
        <v>1135</v>
      </c>
      <c r="AE1984">
        <v>19196.54</v>
      </c>
      <c r="AF1984">
        <v>164</v>
      </c>
      <c r="AH1984">
        <v>383</v>
      </c>
      <c r="AI1984">
        <v>2679.2</v>
      </c>
      <c r="AK1984">
        <v>160.30000000000001</v>
      </c>
      <c r="AL1984">
        <v>230.46</v>
      </c>
      <c r="AM1984">
        <v>6234.34</v>
      </c>
      <c r="AN1984">
        <v>100</v>
      </c>
      <c r="AO1984">
        <v>10264.299999999999</v>
      </c>
      <c r="AP1984">
        <v>9576</v>
      </c>
      <c r="AQ1984">
        <v>126358.54399999999</v>
      </c>
      <c r="AR1984">
        <v>1.2726</v>
      </c>
      <c r="AS1984">
        <v>160803.88309439999</v>
      </c>
    </row>
    <row r="1985" spans="1:45" hidden="1">
      <c r="A1985" t="s">
        <v>306</v>
      </c>
      <c r="B1985" t="s">
        <v>739</v>
      </c>
      <c r="C1985" t="s">
        <v>677</v>
      </c>
      <c r="D1985" t="s">
        <v>405</v>
      </c>
      <c r="E1985" t="s">
        <v>172</v>
      </c>
      <c r="F1985" t="s">
        <v>406</v>
      </c>
      <c r="G1985" t="s">
        <v>407</v>
      </c>
      <c r="H1985">
        <v>143</v>
      </c>
      <c r="I1985">
        <v>4</v>
      </c>
      <c r="J1985">
        <v>0</v>
      </c>
      <c r="K1985">
        <v>2</v>
      </c>
      <c r="L1985">
        <v>4</v>
      </c>
      <c r="M1985">
        <v>20</v>
      </c>
      <c r="N1985">
        <v>12</v>
      </c>
      <c r="O1985">
        <v>8</v>
      </c>
      <c r="S1985">
        <v>15</v>
      </c>
      <c r="V1985">
        <v>2</v>
      </c>
      <c r="X1985">
        <v>10</v>
      </c>
      <c r="Z1985">
        <v>20</v>
      </c>
      <c r="AA1985">
        <v>112</v>
      </c>
      <c r="AE1985">
        <v>62</v>
      </c>
      <c r="AG1985">
        <v>2</v>
      </c>
      <c r="AI1985">
        <v>10</v>
      </c>
      <c r="AK1985">
        <v>1</v>
      </c>
      <c r="AL1985">
        <v>8</v>
      </c>
      <c r="AM1985">
        <v>60</v>
      </c>
      <c r="AO1985">
        <v>74</v>
      </c>
      <c r="AP1985">
        <v>30</v>
      </c>
      <c r="AQ1985">
        <v>599</v>
      </c>
      <c r="AR1985">
        <v>47.47</v>
      </c>
      <c r="AS1985">
        <v>28434.53</v>
      </c>
    </row>
    <row r="1986" spans="1:45" hidden="1">
      <c r="A1986" t="s">
        <v>306</v>
      </c>
      <c r="B1986" t="s">
        <v>739</v>
      </c>
      <c r="C1986" t="s">
        <v>678</v>
      </c>
      <c r="D1986" t="s">
        <v>408</v>
      </c>
      <c r="E1986" t="s">
        <v>172</v>
      </c>
      <c r="F1986" t="s">
        <v>409</v>
      </c>
      <c r="G1986" t="s">
        <v>410</v>
      </c>
      <c r="AQ1986">
        <v>0</v>
      </c>
      <c r="AR1986">
        <v>1.0605</v>
      </c>
      <c r="AS1986">
        <v>0</v>
      </c>
    </row>
    <row r="1987" spans="1:45" hidden="1">
      <c r="A1987" t="s">
        <v>306</v>
      </c>
      <c r="B1987" t="s">
        <v>739</v>
      </c>
      <c r="C1987" t="s">
        <v>679</v>
      </c>
      <c r="D1987" t="s">
        <v>411</v>
      </c>
      <c r="E1987" t="s">
        <v>172</v>
      </c>
      <c r="F1987" t="s">
        <v>412</v>
      </c>
      <c r="G1987" t="s">
        <v>413</v>
      </c>
      <c r="AQ1987">
        <v>0</v>
      </c>
      <c r="AR1987">
        <v>37.1175</v>
      </c>
      <c r="AS1987">
        <v>0</v>
      </c>
    </row>
    <row r="1988" spans="1:45" hidden="1">
      <c r="A1988" t="s">
        <v>306</v>
      </c>
      <c r="B1988" t="s">
        <v>739</v>
      </c>
      <c r="C1988" t="s">
        <v>680</v>
      </c>
      <c r="D1988" t="s">
        <v>414</v>
      </c>
      <c r="E1988" t="s">
        <v>172</v>
      </c>
      <c r="F1988" t="s">
        <v>415</v>
      </c>
      <c r="G1988" t="s">
        <v>224</v>
      </c>
      <c r="AQ1988">
        <v>0</v>
      </c>
      <c r="AR1988">
        <v>42.42</v>
      </c>
      <c r="AS1988">
        <v>0</v>
      </c>
    </row>
    <row r="1989" spans="1:45" hidden="1">
      <c r="A1989" t="s">
        <v>306</v>
      </c>
      <c r="B1989" t="s">
        <v>739</v>
      </c>
      <c r="C1989" t="s">
        <v>681</v>
      </c>
      <c r="D1989" t="s">
        <v>416</v>
      </c>
      <c r="E1989" t="s">
        <v>172</v>
      </c>
      <c r="F1989" t="s">
        <v>417</v>
      </c>
      <c r="G1989" t="s">
        <v>418</v>
      </c>
      <c r="H1989">
        <v>4221</v>
      </c>
      <c r="L1989">
        <v>412</v>
      </c>
      <c r="M1989">
        <v>412</v>
      </c>
      <c r="N1989">
        <v>412</v>
      </c>
      <c r="O1989">
        <v>412</v>
      </c>
      <c r="P1989">
        <v>412</v>
      </c>
      <c r="Q1989">
        <v>412</v>
      </c>
      <c r="U1989">
        <v>412</v>
      </c>
      <c r="V1989">
        <v>412</v>
      </c>
      <c r="X1989">
        <v>412</v>
      </c>
      <c r="Y1989">
        <v>412</v>
      </c>
      <c r="Z1989">
        <v>412</v>
      </c>
      <c r="AE1989">
        <v>412</v>
      </c>
      <c r="AF1989">
        <v>412</v>
      </c>
      <c r="AI1989">
        <v>412</v>
      </c>
      <c r="AK1989">
        <v>412</v>
      </c>
      <c r="AM1989">
        <v>412</v>
      </c>
      <c r="AO1989">
        <v>835</v>
      </c>
      <c r="AP1989">
        <v>412</v>
      </c>
      <c r="AQ1989">
        <v>12060</v>
      </c>
      <c r="AR1989">
        <v>0.32319999999999999</v>
      </c>
      <c r="AS1989">
        <v>3897.7919999999999</v>
      </c>
    </row>
    <row r="1990" spans="1:45" hidden="1">
      <c r="A1990" t="s">
        <v>306</v>
      </c>
      <c r="B1990" t="s">
        <v>739</v>
      </c>
      <c r="C1990" t="s">
        <v>682</v>
      </c>
      <c r="D1990" t="s">
        <v>419</v>
      </c>
      <c r="E1990" t="s">
        <v>172</v>
      </c>
      <c r="F1990" t="s">
        <v>420</v>
      </c>
      <c r="G1990" t="s">
        <v>421</v>
      </c>
      <c r="AQ1990">
        <v>0</v>
      </c>
      <c r="AR1990">
        <v>42.42</v>
      </c>
      <c r="AS1990">
        <v>0</v>
      </c>
    </row>
    <row r="1991" spans="1:45" hidden="1">
      <c r="A1991" t="s">
        <v>306</v>
      </c>
      <c r="B1991" t="s">
        <v>739</v>
      </c>
      <c r="C1991" t="s">
        <v>683</v>
      </c>
      <c r="D1991" t="s">
        <v>422</v>
      </c>
      <c r="E1991" t="s">
        <v>172</v>
      </c>
      <c r="F1991" t="s">
        <v>423</v>
      </c>
      <c r="G1991" t="s">
        <v>407</v>
      </c>
      <c r="AQ1991">
        <v>0</v>
      </c>
      <c r="AR1991">
        <v>47.47</v>
      </c>
      <c r="AS1991">
        <v>0</v>
      </c>
    </row>
    <row r="1992" spans="1:45" hidden="1">
      <c r="A1992" t="s">
        <v>306</v>
      </c>
      <c r="B1992" t="s">
        <v>739</v>
      </c>
      <c r="C1992" t="s">
        <v>684</v>
      </c>
      <c r="D1992" t="s">
        <v>427</v>
      </c>
      <c r="E1992" t="s">
        <v>172</v>
      </c>
      <c r="F1992" t="s">
        <v>428</v>
      </c>
      <c r="G1992" t="s">
        <v>429</v>
      </c>
      <c r="H1992">
        <v>6</v>
      </c>
      <c r="Y1992">
        <v>2</v>
      </c>
      <c r="AA1992">
        <v>4</v>
      </c>
      <c r="AE1992">
        <v>3</v>
      </c>
      <c r="AM1992">
        <v>2</v>
      </c>
      <c r="AO1992">
        <v>2</v>
      </c>
      <c r="AP1992">
        <v>2</v>
      </c>
      <c r="AQ1992">
        <v>21</v>
      </c>
      <c r="AR1992">
        <v>636.29999999999995</v>
      </c>
      <c r="AS1992">
        <v>13362.3</v>
      </c>
    </row>
    <row r="1993" spans="1:45" hidden="1">
      <c r="A1993" t="s">
        <v>306</v>
      </c>
      <c r="B1993" t="s">
        <v>739</v>
      </c>
      <c r="C1993" t="s">
        <v>174</v>
      </c>
      <c r="D1993" t="s">
        <v>175</v>
      </c>
      <c r="E1993" t="s">
        <v>172</v>
      </c>
      <c r="F1993" t="s">
        <v>176</v>
      </c>
      <c r="G1993" t="s">
        <v>177</v>
      </c>
      <c r="H1993">
        <v>4</v>
      </c>
      <c r="Y1993">
        <v>1</v>
      </c>
      <c r="AA1993">
        <v>2</v>
      </c>
      <c r="AE1993">
        <v>3</v>
      </c>
      <c r="AM1993">
        <v>2</v>
      </c>
      <c r="AO1993">
        <v>1</v>
      </c>
      <c r="AP1993">
        <v>2</v>
      </c>
      <c r="AQ1993">
        <v>15</v>
      </c>
      <c r="AR1993">
        <v>424.2</v>
      </c>
      <c r="AS1993">
        <v>6363</v>
      </c>
    </row>
    <row r="1994" spans="1:45" hidden="1">
      <c r="A1994" t="s">
        <v>306</v>
      </c>
      <c r="B1994" t="s">
        <v>739</v>
      </c>
      <c r="C1994" t="s">
        <v>685</v>
      </c>
      <c r="D1994" t="s">
        <v>430</v>
      </c>
      <c r="E1994" t="s">
        <v>172</v>
      </c>
      <c r="F1994" t="s">
        <v>433</v>
      </c>
      <c r="G1994" t="s">
        <v>432</v>
      </c>
      <c r="H1994">
        <v>1</v>
      </c>
      <c r="Q1994">
        <v>1</v>
      </c>
      <c r="AA1994">
        <v>2</v>
      </c>
      <c r="AE1994">
        <v>1</v>
      </c>
      <c r="AM1994">
        <v>1</v>
      </c>
      <c r="AO1994">
        <v>2</v>
      </c>
      <c r="AP1994">
        <v>1</v>
      </c>
      <c r="AQ1994">
        <v>9</v>
      </c>
      <c r="AR1994">
        <v>1908.9</v>
      </c>
      <c r="AS1994">
        <v>17180.099999999999</v>
      </c>
    </row>
    <row r="1995" spans="1:45" hidden="1">
      <c r="A1995" t="s">
        <v>306</v>
      </c>
      <c r="B1995" t="s">
        <v>739</v>
      </c>
      <c r="C1995" t="s">
        <v>686</v>
      </c>
      <c r="D1995" t="s">
        <v>430</v>
      </c>
      <c r="E1995" t="s">
        <v>172</v>
      </c>
      <c r="F1995" t="s">
        <v>431</v>
      </c>
      <c r="G1995" t="s">
        <v>432</v>
      </c>
      <c r="AA1995">
        <v>1</v>
      </c>
      <c r="AE1995">
        <v>2</v>
      </c>
      <c r="AQ1995">
        <v>3</v>
      </c>
      <c r="AR1995">
        <v>2121</v>
      </c>
      <c r="AS1995">
        <v>6363</v>
      </c>
    </row>
    <row r="1996" spans="1:45" hidden="1">
      <c r="A1996" t="s">
        <v>306</v>
      </c>
      <c r="B1996" t="s">
        <v>739</v>
      </c>
      <c r="C1996" t="s">
        <v>687</v>
      </c>
      <c r="D1996" t="s">
        <v>430</v>
      </c>
      <c r="E1996" t="s">
        <v>172</v>
      </c>
      <c r="F1996" t="s">
        <v>438</v>
      </c>
      <c r="G1996" t="s">
        <v>432</v>
      </c>
      <c r="AQ1996">
        <v>0</v>
      </c>
      <c r="AR1996">
        <v>2439.15</v>
      </c>
      <c r="AS1996">
        <v>0</v>
      </c>
    </row>
    <row r="1997" spans="1:45" hidden="1">
      <c r="A1997" t="s">
        <v>306</v>
      </c>
      <c r="B1997" t="s">
        <v>739</v>
      </c>
      <c r="C1997" t="s">
        <v>688</v>
      </c>
      <c r="D1997" t="s">
        <v>430</v>
      </c>
      <c r="E1997" t="s">
        <v>172</v>
      </c>
      <c r="F1997" t="s">
        <v>434</v>
      </c>
      <c r="G1997" t="s">
        <v>432</v>
      </c>
      <c r="H1997">
        <v>2</v>
      </c>
      <c r="AQ1997">
        <v>2</v>
      </c>
      <c r="AR1997">
        <v>2651.25</v>
      </c>
      <c r="AS1997">
        <v>5302.5</v>
      </c>
    </row>
    <row r="1998" spans="1:45" hidden="1">
      <c r="A1998" t="s">
        <v>306</v>
      </c>
      <c r="B1998" t="s">
        <v>739</v>
      </c>
      <c r="C1998" t="s">
        <v>645</v>
      </c>
      <c r="D1998" t="s">
        <v>435</v>
      </c>
      <c r="E1998" t="s">
        <v>172</v>
      </c>
      <c r="F1998" t="s">
        <v>436</v>
      </c>
      <c r="G1998" t="s">
        <v>437</v>
      </c>
      <c r="AQ1998">
        <v>0</v>
      </c>
      <c r="AR1998">
        <v>0.28000000000000003</v>
      </c>
    </row>
    <row r="1999" spans="1:45" hidden="1">
      <c r="A1999" t="s">
        <v>306</v>
      </c>
      <c r="B1999" t="s">
        <v>739</v>
      </c>
      <c r="C1999" t="s">
        <v>689</v>
      </c>
      <c r="D1999" t="s">
        <v>439</v>
      </c>
      <c r="E1999" t="s">
        <v>172</v>
      </c>
      <c r="F1999" t="s">
        <v>690</v>
      </c>
      <c r="G1999" t="s">
        <v>441</v>
      </c>
      <c r="H1999">
        <v>12</v>
      </c>
      <c r="L1999">
        <v>1</v>
      </c>
      <c r="AA1999">
        <v>4</v>
      </c>
      <c r="AE1999">
        <v>1</v>
      </c>
      <c r="AP1999">
        <v>1</v>
      </c>
      <c r="AQ1999">
        <v>19</v>
      </c>
      <c r="AR1999">
        <v>318.14999999999998</v>
      </c>
      <c r="AS1999">
        <v>6044.85</v>
      </c>
    </row>
    <row r="2000" spans="1:45" hidden="1">
      <c r="A2000" t="s">
        <v>306</v>
      </c>
      <c r="B2000" t="s">
        <v>739</v>
      </c>
      <c r="C2000" t="s">
        <v>691</v>
      </c>
      <c r="D2000" t="s">
        <v>439</v>
      </c>
      <c r="E2000" t="s">
        <v>172</v>
      </c>
      <c r="F2000" t="s">
        <v>442</v>
      </c>
      <c r="G2000" t="s">
        <v>441</v>
      </c>
      <c r="H2000">
        <v>5</v>
      </c>
      <c r="AA2000">
        <v>4</v>
      </c>
      <c r="AE2000">
        <v>1</v>
      </c>
      <c r="AN2000">
        <v>1</v>
      </c>
      <c r="AO2000">
        <v>2</v>
      </c>
      <c r="AP2000">
        <v>1</v>
      </c>
      <c r="AQ2000">
        <v>14</v>
      </c>
      <c r="AR2000">
        <v>1272.5999999999999</v>
      </c>
      <c r="AS2000">
        <v>17816.400000000001</v>
      </c>
    </row>
    <row r="2001" spans="1:45" hidden="1">
      <c r="A2001" t="s">
        <v>306</v>
      </c>
      <c r="B2001" t="s">
        <v>739</v>
      </c>
      <c r="C2001" t="s">
        <v>692</v>
      </c>
      <c r="D2001" t="s">
        <v>439</v>
      </c>
      <c r="E2001" t="s">
        <v>172</v>
      </c>
      <c r="F2001" t="s">
        <v>443</v>
      </c>
      <c r="G2001" t="s">
        <v>441</v>
      </c>
      <c r="H2001">
        <v>4</v>
      </c>
      <c r="AA2001">
        <v>1</v>
      </c>
      <c r="AE2001">
        <v>2</v>
      </c>
      <c r="AQ2001">
        <v>7</v>
      </c>
      <c r="AR2001">
        <v>1590.75</v>
      </c>
      <c r="AS2001">
        <v>11135.25</v>
      </c>
    </row>
    <row r="2002" spans="1:45" hidden="1">
      <c r="A2002" t="s">
        <v>306</v>
      </c>
      <c r="B2002" t="s">
        <v>739</v>
      </c>
      <c r="C2002" t="s">
        <v>693</v>
      </c>
      <c r="D2002" t="s">
        <v>439</v>
      </c>
      <c r="E2002" t="s">
        <v>172</v>
      </c>
      <c r="F2002" t="s">
        <v>440</v>
      </c>
      <c r="G2002" t="s">
        <v>441</v>
      </c>
      <c r="AA2002">
        <v>2</v>
      </c>
      <c r="AQ2002">
        <v>2</v>
      </c>
      <c r="AR2002">
        <v>1590.75</v>
      </c>
      <c r="AS2002">
        <v>3181.5</v>
      </c>
    </row>
    <row r="2003" spans="1:45" hidden="1">
      <c r="A2003" t="s">
        <v>306</v>
      </c>
      <c r="B2003" t="s">
        <v>739</v>
      </c>
      <c r="C2003" t="s">
        <v>694</v>
      </c>
      <c r="D2003" t="s">
        <v>439</v>
      </c>
      <c r="E2003" t="s">
        <v>172</v>
      </c>
      <c r="F2003" t="s">
        <v>695</v>
      </c>
      <c r="G2003" t="s">
        <v>441</v>
      </c>
      <c r="AQ2003">
        <v>0</v>
      </c>
      <c r="AR2003">
        <v>1802.85</v>
      </c>
      <c r="AS2003">
        <v>0</v>
      </c>
    </row>
    <row r="2004" spans="1:45" hidden="1">
      <c r="A2004" t="s">
        <v>306</v>
      </c>
      <c r="B2004" t="s">
        <v>739</v>
      </c>
      <c r="C2004" t="s">
        <v>696</v>
      </c>
      <c r="D2004" t="s">
        <v>446</v>
      </c>
      <c r="E2004" t="s">
        <v>172</v>
      </c>
      <c r="F2004" t="s">
        <v>447</v>
      </c>
      <c r="G2004" t="s">
        <v>448</v>
      </c>
      <c r="AQ2004">
        <v>0</v>
      </c>
      <c r="AR2004">
        <v>10.605</v>
      </c>
      <c r="AS2004">
        <v>0</v>
      </c>
    </row>
    <row r="2005" spans="1:45" hidden="1">
      <c r="A2005" t="s">
        <v>306</v>
      </c>
      <c r="B2005" t="s">
        <v>739</v>
      </c>
      <c r="C2005" t="s">
        <v>178</v>
      </c>
      <c r="D2005" t="s">
        <v>179</v>
      </c>
      <c r="E2005" t="s">
        <v>172</v>
      </c>
      <c r="F2005" t="s">
        <v>180</v>
      </c>
      <c r="G2005" t="s">
        <v>181</v>
      </c>
      <c r="H2005">
        <v>420</v>
      </c>
      <c r="AA2005">
        <v>129</v>
      </c>
      <c r="AE2005">
        <v>177</v>
      </c>
      <c r="AL2005">
        <v>24</v>
      </c>
      <c r="AM2005">
        <v>55</v>
      </c>
      <c r="AO2005">
        <v>20</v>
      </c>
      <c r="AP2005">
        <v>29</v>
      </c>
      <c r="AQ2005">
        <v>854</v>
      </c>
      <c r="AR2005">
        <v>106.05</v>
      </c>
      <c r="AS2005">
        <v>90566.7</v>
      </c>
    </row>
    <row r="2006" spans="1:45" hidden="1">
      <c r="A2006" t="s">
        <v>306</v>
      </c>
      <c r="B2006" t="s">
        <v>739</v>
      </c>
      <c r="C2006" t="s">
        <v>182</v>
      </c>
      <c r="D2006" t="s">
        <v>179</v>
      </c>
      <c r="E2006" t="s">
        <v>172</v>
      </c>
      <c r="F2006" t="s">
        <v>183</v>
      </c>
      <c r="G2006" t="s">
        <v>152</v>
      </c>
      <c r="H2006">
        <v>57042</v>
      </c>
      <c r="I2006">
        <v>769</v>
      </c>
      <c r="K2006">
        <v>40.35</v>
      </c>
      <c r="L2006">
        <v>404.05</v>
      </c>
      <c r="M2006">
        <v>717.66</v>
      </c>
      <c r="N2006">
        <v>635.79</v>
      </c>
      <c r="O2006">
        <v>273.35000000000002</v>
      </c>
      <c r="P2006">
        <v>1767.45</v>
      </c>
      <c r="Q2006">
        <v>1260</v>
      </c>
      <c r="R2006">
        <v>529.58000000000004</v>
      </c>
      <c r="S2006">
        <v>955</v>
      </c>
      <c r="U2006">
        <v>438</v>
      </c>
      <c r="V2006">
        <v>598</v>
      </c>
      <c r="W2006">
        <v>584</v>
      </c>
      <c r="X2006">
        <v>1156.24</v>
      </c>
      <c r="Y2006">
        <v>1384</v>
      </c>
      <c r="Z2006">
        <v>129.30000000000001</v>
      </c>
      <c r="AA2006">
        <v>19504</v>
      </c>
      <c r="AB2006">
        <v>508</v>
      </c>
      <c r="AE2006">
        <v>26346</v>
      </c>
      <c r="AF2006">
        <v>238</v>
      </c>
      <c r="AI2006">
        <v>2865.62</v>
      </c>
      <c r="AJ2006">
        <v>24</v>
      </c>
      <c r="AK2006">
        <v>182.08</v>
      </c>
      <c r="AL2006">
        <v>263.95999999999998</v>
      </c>
      <c r="AM2006">
        <v>7240.18</v>
      </c>
      <c r="AO2006">
        <v>11740</v>
      </c>
      <c r="AP2006">
        <v>11376</v>
      </c>
      <c r="AQ2006">
        <v>148971.60999999999</v>
      </c>
      <c r="AR2006">
        <v>0.1515</v>
      </c>
      <c r="AS2006">
        <v>22569.198915000001</v>
      </c>
    </row>
    <row r="2007" spans="1:45" hidden="1">
      <c r="A2007" t="s">
        <v>306</v>
      </c>
      <c r="B2007" t="s">
        <v>739</v>
      </c>
      <c r="C2007" t="s">
        <v>697</v>
      </c>
      <c r="D2007" t="s">
        <v>449</v>
      </c>
      <c r="E2007" t="s">
        <v>172</v>
      </c>
      <c r="F2007" t="s">
        <v>450</v>
      </c>
      <c r="G2007" t="s">
        <v>451</v>
      </c>
      <c r="H2007">
        <v>4</v>
      </c>
      <c r="Y2007">
        <v>1</v>
      </c>
      <c r="AA2007">
        <v>3</v>
      </c>
      <c r="AE2007">
        <v>1</v>
      </c>
      <c r="AM2007">
        <v>1</v>
      </c>
      <c r="AO2007">
        <v>2</v>
      </c>
      <c r="AP2007">
        <v>1</v>
      </c>
      <c r="AQ2007">
        <v>13</v>
      </c>
      <c r="AR2007">
        <v>1908.9</v>
      </c>
      <c r="AS2007">
        <v>24815.7</v>
      </c>
    </row>
    <row r="2008" spans="1:45" hidden="1">
      <c r="A2008" t="s">
        <v>306</v>
      </c>
      <c r="B2008" t="s">
        <v>739</v>
      </c>
      <c r="C2008" t="s">
        <v>698</v>
      </c>
      <c r="D2008" t="s">
        <v>424</v>
      </c>
      <c r="E2008" t="s">
        <v>172</v>
      </c>
      <c r="F2008" t="s">
        <v>425</v>
      </c>
      <c r="G2008" t="s">
        <v>426</v>
      </c>
      <c r="H2008">
        <v>63</v>
      </c>
      <c r="I2008">
        <v>2</v>
      </c>
      <c r="M2008">
        <v>1</v>
      </c>
      <c r="Q2008">
        <v>2</v>
      </c>
      <c r="Z2008">
        <v>1</v>
      </c>
      <c r="AA2008">
        <v>20</v>
      </c>
      <c r="AE2008">
        <v>10</v>
      </c>
      <c r="AM2008">
        <v>1</v>
      </c>
      <c r="AO2008">
        <v>5</v>
      </c>
      <c r="AP2008">
        <v>2</v>
      </c>
      <c r="AQ2008">
        <v>107</v>
      </c>
      <c r="AR2008">
        <v>132.5625</v>
      </c>
      <c r="AS2008">
        <v>14184.1875</v>
      </c>
    </row>
    <row r="2009" spans="1:45" hidden="1">
      <c r="A2009" t="s">
        <v>306</v>
      </c>
      <c r="B2009" t="s">
        <v>739</v>
      </c>
      <c r="C2009" t="s">
        <v>699</v>
      </c>
      <c r="D2009" t="s">
        <v>287</v>
      </c>
      <c r="E2009" t="s">
        <v>172</v>
      </c>
      <c r="F2009" t="s">
        <v>452</v>
      </c>
      <c r="G2009" t="s">
        <v>453</v>
      </c>
      <c r="AQ2009">
        <v>0</v>
      </c>
      <c r="AR2009">
        <v>3181.5</v>
      </c>
      <c r="AS2009">
        <v>0</v>
      </c>
    </row>
    <row r="2010" spans="1:45" hidden="1">
      <c r="A2010" t="s">
        <v>306</v>
      </c>
      <c r="B2010" t="s">
        <v>739</v>
      </c>
      <c r="C2010" t="s">
        <v>700</v>
      </c>
      <c r="D2010" t="s">
        <v>287</v>
      </c>
      <c r="E2010" t="s">
        <v>172</v>
      </c>
      <c r="F2010" t="s">
        <v>454</v>
      </c>
      <c r="G2010" t="s">
        <v>455</v>
      </c>
      <c r="AQ2010">
        <v>0</v>
      </c>
      <c r="AR2010">
        <v>318150</v>
      </c>
      <c r="AS2010">
        <v>0</v>
      </c>
    </row>
    <row r="2011" spans="1:45" hidden="1">
      <c r="A2011" t="s">
        <v>306</v>
      </c>
      <c r="B2011" t="s">
        <v>739</v>
      </c>
      <c r="C2011" t="s">
        <v>701</v>
      </c>
      <c r="D2011" t="s">
        <v>287</v>
      </c>
      <c r="E2011" t="s">
        <v>172</v>
      </c>
      <c r="F2011" t="s">
        <v>456</v>
      </c>
      <c r="G2011" t="s">
        <v>457</v>
      </c>
      <c r="AQ2011">
        <v>0</v>
      </c>
      <c r="AR2011">
        <v>238612.5</v>
      </c>
      <c r="AS2011">
        <v>0</v>
      </c>
    </row>
    <row r="2012" spans="1:45" hidden="1">
      <c r="A2012" t="s">
        <v>306</v>
      </c>
      <c r="B2012" t="s">
        <v>739</v>
      </c>
      <c r="C2012" t="s">
        <v>184</v>
      </c>
      <c r="D2012" t="s">
        <v>185</v>
      </c>
      <c r="E2012" t="s">
        <v>186</v>
      </c>
      <c r="F2012" t="s">
        <v>187</v>
      </c>
      <c r="G2012" t="s">
        <v>188</v>
      </c>
      <c r="H2012">
        <v>2</v>
      </c>
      <c r="AE2012">
        <v>1</v>
      </c>
      <c r="AM2012">
        <v>1</v>
      </c>
      <c r="AQ2012">
        <v>4</v>
      </c>
      <c r="AR2012">
        <v>2121</v>
      </c>
      <c r="AS2012">
        <v>8484</v>
      </c>
    </row>
    <row r="2013" spans="1:45" hidden="1">
      <c r="A2013" t="s">
        <v>306</v>
      </c>
      <c r="B2013" t="s">
        <v>739</v>
      </c>
      <c r="C2013" t="s">
        <v>189</v>
      </c>
      <c r="D2013" t="s">
        <v>190</v>
      </c>
      <c r="E2013" t="s">
        <v>186</v>
      </c>
      <c r="F2013" t="s">
        <v>191</v>
      </c>
      <c r="G2013" t="s">
        <v>192</v>
      </c>
      <c r="H2013">
        <v>14</v>
      </c>
      <c r="I2013">
        <v>2</v>
      </c>
      <c r="L2013">
        <v>2</v>
      </c>
      <c r="O2013">
        <v>2</v>
      </c>
      <c r="P2013">
        <v>1</v>
      </c>
      <c r="AA2013">
        <v>23</v>
      </c>
      <c r="AE2013">
        <v>10</v>
      </c>
      <c r="AL2013">
        <v>1</v>
      </c>
      <c r="AM2013">
        <v>4</v>
      </c>
      <c r="AO2013">
        <v>4</v>
      </c>
      <c r="AP2013">
        <v>4</v>
      </c>
      <c r="AQ2013">
        <v>67</v>
      </c>
      <c r="AR2013">
        <v>1060.5</v>
      </c>
      <c r="AS2013">
        <v>71053.5</v>
      </c>
    </row>
    <row r="2014" spans="1:45" hidden="1">
      <c r="A2014" t="s">
        <v>306</v>
      </c>
      <c r="B2014" t="s">
        <v>739</v>
      </c>
      <c r="C2014" t="s">
        <v>702</v>
      </c>
      <c r="D2014" t="s">
        <v>190</v>
      </c>
      <c r="E2014" t="s">
        <v>186</v>
      </c>
      <c r="F2014" t="s">
        <v>458</v>
      </c>
      <c r="G2014" t="s">
        <v>459</v>
      </c>
      <c r="H2014">
        <v>1</v>
      </c>
      <c r="AA2014">
        <v>1</v>
      </c>
      <c r="AE2014">
        <v>1</v>
      </c>
      <c r="AM2014">
        <v>1</v>
      </c>
      <c r="AO2014">
        <v>1</v>
      </c>
      <c r="AP2014">
        <v>1</v>
      </c>
      <c r="AQ2014">
        <v>6</v>
      </c>
      <c r="AR2014">
        <v>1590.75</v>
      </c>
      <c r="AS2014">
        <v>9544.5</v>
      </c>
    </row>
    <row r="2015" spans="1:45" hidden="1">
      <c r="A2015" t="s">
        <v>306</v>
      </c>
      <c r="B2015" t="s">
        <v>739</v>
      </c>
      <c r="C2015" t="s">
        <v>193</v>
      </c>
      <c r="D2015" t="s">
        <v>194</v>
      </c>
      <c r="E2015" t="s">
        <v>186</v>
      </c>
      <c r="F2015" t="s">
        <v>195</v>
      </c>
      <c r="G2015" t="s">
        <v>152</v>
      </c>
      <c r="H2015">
        <v>45607</v>
      </c>
      <c r="I2015">
        <v>769</v>
      </c>
      <c r="K2015">
        <v>40.35</v>
      </c>
      <c r="L2015">
        <v>377.57</v>
      </c>
      <c r="N2015">
        <v>625.88</v>
      </c>
      <c r="O2015">
        <v>247.62</v>
      </c>
      <c r="P2015">
        <v>1574.09</v>
      </c>
      <c r="R2015">
        <v>473.36</v>
      </c>
      <c r="U2015">
        <v>296.12</v>
      </c>
      <c r="W2015">
        <v>406</v>
      </c>
      <c r="Y2015">
        <v>1384</v>
      </c>
      <c r="AA2015">
        <v>17861</v>
      </c>
      <c r="AE2015">
        <v>23170</v>
      </c>
      <c r="AF2015">
        <v>238</v>
      </c>
      <c r="AI2015">
        <v>2788.44</v>
      </c>
      <c r="AL2015">
        <v>263.95999999999998</v>
      </c>
      <c r="AM2015">
        <v>6873</v>
      </c>
      <c r="AO2015">
        <v>9607</v>
      </c>
      <c r="AP2015">
        <v>10270</v>
      </c>
      <c r="AQ2015">
        <v>122872.39</v>
      </c>
      <c r="AR2015">
        <v>0.63629999999999998</v>
      </c>
      <c r="AS2015">
        <v>78183.701757000003</v>
      </c>
    </row>
    <row r="2016" spans="1:45" hidden="1">
      <c r="A2016" t="s">
        <v>306</v>
      </c>
      <c r="B2016" t="s">
        <v>739</v>
      </c>
      <c r="C2016" t="s">
        <v>197</v>
      </c>
      <c r="D2016" t="s">
        <v>198</v>
      </c>
      <c r="E2016" t="s">
        <v>186</v>
      </c>
      <c r="F2016" t="s">
        <v>199</v>
      </c>
      <c r="G2016" t="s">
        <v>200</v>
      </c>
      <c r="H2016">
        <v>1</v>
      </c>
      <c r="AA2016">
        <v>3</v>
      </c>
      <c r="AE2016">
        <v>1</v>
      </c>
      <c r="AM2016">
        <v>2</v>
      </c>
      <c r="AO2016">
        <v>1</v>
      </c>
      <c r="AP2016">
        <v>3</v>
      </c>
      <c r="AQ2016">
        <v>11</v>
      </c>
      <c r="AR2016">
        <v>4984.3500000000004</v>
      </c>
      <c r="AS2016">
        <v>54827.85</v>
      </c>
    </row>
    <row r="2017" spans="1:45" hidden="1">
      <c r="A2017" t="s">
        <v>306</v>
      </c>
      <c r="B2017" t="s">
        <v>739</v>
      </c>
      <c r="C2017" t="s">
        <v>201</v>
      </c>
      <c r="D2017" t="s">
        <v>202</v>
      </c>
      <c r="E2017" t="s">
        <v>186</v>
      </c>
      <c r="F2017" t="s">
        <v>203</v>
      </c>
      <c r="G2017" t="s">
        <v>204</v>
      </c>
      <c r="AQ2017">
        <v>0</v>
      </c>
      <c r="AR2017">
        <v>31.815000000000001</v>
      </c>
      <c r="AS2017">
        <v>0</v>
      </c>
    </row>
    <row r="2018" spans="1:45" hidden="1">
      <c r="A2018" t="s">
        <v>306</v>
      </c>
      <c r="B2018" t="s">
        <v>739</v>
      </c>
      <c r="C2018" t="s">
        <v>703</v>
      </c>
      <c r="D2018" t="s">
        <v>460</v>
      </c>
      <c r="E2018" t="s">
        <v>186</v>
      </c>
      <c r="F2018" t="s">
        <v>461</v>
      </c>
      <c r="G2018" t="s">
        <v>462</v>
      </c>
      <c r="AQ2018">
        <v>0</v>
      </c>
      <c r="AR2018">
        <v>15907.5</v>
      </c>
      <c r="AS2018">
        <v>0</v>
      </c>
    </row>
    <row r="2019" spans="1:45" hidden="1">
      <c r="A2019" t="s">
        <v>306</v>
      </c>
      <c r="B2019" t="s">
        <v>739</v>
      </c>
      <c r="C2019" t="s">
        <v>704</v>
      </c>
      <c r="D2019" t="s">
        <v>468</v>
      </c>
      <c r="E2019" t="s">
        <v>186</v>
      </c>
      <c r="F2019" t="s">
        <v>469</v>
      </c>
      <c r="G2019" t="s">
        <v>470</v>
      </c>
      <c r="AQ2019">
        <v>0</v>
      </c>
      <c r="AR2019">
        <v>159.07499999999999</v>
      </c>
      <c r="AS2019">
        <v>0</v>
      </c>
    </row>
    <row r="2020" spans="1:45" hidden="1">
      <c r="A2020" t="s">
        <v>306</v>
      </c>
      <c r="B2020" t="s">
        <v>739</v>
      </c>
      <c r="C2020" t="s">
        <v>705</v>
      </c>
      <c r="D2020" t="s">
        <v>463</v>
      </c>
      <c r="E2020" t="s">
        <v>186</v>
      </c>
      <c r="F2020" t="s">
        <v>466</v>
      </c>
      <c r="G2020" t="s">
        <v>467</v>
      </c>
      <c r="AQ2020">
        <v>0</v>
      </c>
      <c r="AR2020">
        <v>509.04</v>
      </c>
      <c r="AS2020">
        <v>0</v>
      </c>
    </row>
    <row r="2021" spans="1:45" hidden="1">
      <c r="A2021" t="s">
        <v>306</v>
      </c>
      <c r="B2021" t="s">
        <v>739</v>
      </c>
      <c r="C2021" t="s">
        <v>706</v>
      </c>
      <c r="D2021" t="s">
        <v>463</v>
      </c>
      <c r="E2021" t="s">
        <v>186</v>
      </c>
      <c r="F2021" t="s">
        <v>464</v>
      </c>
      <c r="G2021" t="s">
        <v>465</v>
      </c>
      <c r="AQ2021">
        <v>0</v>
      </c>
      <c r="AR2021">
        <v>1060.5</v>
      </c>
      <c r="AS2021">
        <v>0</v>
      </c>
    </row>
    <row r="2022" spans="1:45" hidden="1">
      <c r="A2022" t="s">
        <v>306</v>
      </c>
      <c r="B2022" t="s">
        <v>739</v>
      </c>
      <c r="C2022" t="s">
        <v>707</v>
      </c>
      <c r="D2022" t="s">
        <v>471</v>
      </c>
      <c r="E2022" t="s">
        <v>186</v>
      </c>
      <c r="F2022" t="s">
        <v>472</v>
      </c>
      <c r="G2022" t="s">
        <v>473</v>
      </c>
      <c r="AQ2022">
        <v>0</v>
      </c>
      <c r="AR2022">
        <v>15377.25</v>
      </c>
      <c r="AS2022">
        <v>0</v>
      </c>
    </row>
    <row r="2023" spans="1:45" hidden="1">
      <c r="A2023" t="s">
        <v>306</v>
      </c>
      <c r="B2023" t="s">
        <v>739</v>
      </c>
      <c r="C2023" t="s">
        <v>205</v>
      </c>
      <c r="D2023" t="s">
        <v>206</v>
      </c>
      <c r="E2023" t="s">
        <v>207</v>
      </c>
      <c r="F2023" t="s">
        <v>208</v>
      </c>
      <c r="G2023" t="s">
        <v>209</v>
      </c>
      <c r="H2023">
        <v>12909</v>
      </c>
      <c r="L2023">
        <v>73.069999999999993</v>
      </c>
      <c r="M2023">
        <v>159.47</v>
      </c>
      <c r="N2023">
        <v>160.21</v>
      </c>
      <c r="O2023">
        <v>98.34</v>
      </c>
      <c r="P2023">
        <v>522.09</v>
      </c>
      <c r="R2023">
        <v>190.92</v>
      </c>
      <c r="S2023">
        <v>253.97</v>
      </c>
      <c r="V2023">
        <v>598</v>
      </c>
      <c r="Z2023">
        <v>25.38</v>
      </c>
      <c r="AA2023">
        <v>5286</v>
      </c>
      <c r="AC2023">
        <v>415.97</v>
      </c>
      <c r="AD2023">
        <v>650.21</v>
      </c>
      <c r="AE2023">
        <v>5684</v>
      </c>
      <c r="AI2023">
        <v>1139.18</v>
      </c>
      <c r="AK2023">
        <v>17.2</v>
      </c>
      <c r="AL2023">
        <v>98.19</v>
      </c>
      <c r="AM2023">
        <v>2500</v>
      </c>
      <c r="AO2023">
        <v>3275</v>
      </c>
      <c r="AP2023">
        <v>4295</v>
      </c>
      <c r="AQ2023">
        <v>38351.199999999997</v>
      </c>
      <c r="AR2023">
        <v>0.16159999999999999</v>
      </c>
      <c r="AS2023">
        <v>6197.5539200000003</v>
      </c>
    </row>
    <row r="2024" spans="1:45" hidden="1">
      <c r="A2024" t="s">
        <v>306</v>
      </c>
      <c r="B2024" t="s">
        <v>739</v>
      </c>
      <c r="C2024" t="s">
        <v>210</v>
      </c>
      <c r="D2024" t="s">
        <v>211</v>
      </c>
      <c r="E2024" t="s">
        <v>207</v>
      </c>
      <c r="F2024" t="s">
        <v>212</v>
      </c>
      <c r="G2024" t="s">
        <v>209</v>
      </c>
      <c r="H2024">
        <v>16916</v>
      </c>
      <c r="L2024">
        <v>404.05</v>
      </c>
      <c r="M2024">
        <v>717.66</v>
      </c>
      <c r="N2024">
        <v>635.79</v>
      </c>
      <c r="O2024">
        <v>273.35000000000002</v>
      </c>
      <c r="P2024">
        <v>1767.45</v>
      </c>
      <c r="R2024">
        <v>529.58000000000004</v>
      </c>
      <c r="V2024">
        <v>598</v>
      </c>
      <c r="Z2024">
        <v>129.30000000000001</v>
      </c>
      <c r="AA2024">
        <v>19504</v>
      </c>
      <c r="AB2024">
        <v>508</v>
      </c>
      <c r="AC2024">
        <v>1664</v>
      </c>
      <c r="AE2024">
        <v>24748</v>
      </c>
      <c r="AI2024">
        <v>2865.62</v>
      </c>
      <c r="AK2024">
        <v>182.08</v>
      </c>
      <c r="AL2024">
        <v>263.95999999999998</v>
      </c>
      <c r="AM2024">
        <v>7330</v>
      </c>
      <c r="AO2024">
        <v>11740</v>
      </c>
      <c r="AP2024">
        <v>11376</v>
      </c>
      <c r="AQ2024">
        <v>102152.84</v>
      </c>
      <c r="AR2024">
        <v>0.63629999999999998</v>
      </c>
      <c r="AS2024">
        <v>64999.852092000001</v>
      </c>
    </row>
    <row r="2025" spans="1:45" hidden="1">
      <c r="A2025" t="s">
        <v>306</v>
      </c>
      <c r="B2025" t="s">
        <v>739</v>
      </c>
      <c r="C2025" t="s">
        <v>213</v>
      </c>
      <c r="D2025" t="s">
        <v>214</v>
      </c>
      <c r="E2025" t="s">
        <v>207</v>
      </c>
      <c r="F2025" t="s">
        <v>215</v>
      </c>
      <c r="G2025" t="s">
        <v>152</v>
      </c>
      <c r="H2025">
        <v>12908</v>
      </c>
      <c r="I2025">
        <v>221.56</v>
      </c>
      <c r="L2025">
        <v>73.069999999999993</v>
      </c>
      <c r="M2025">
        <v>159.47</v>
      </c>
      <c r="N2025">
        <v>160.21</v>
      </c>
      <c r="O2025">
        <v>98.34</v>
      </c>
      <c r="P2025">
        <v>522.09</v>
      </c>
      <c r="Q2025">
        <v>405.88</v>
      </c>
      <c r="R2025">
        <v>190.92</v>
      </c>
      <c r="S2025">
        <v>253.97</v>
      </c>
      <c r="T2025">
        <v>43</v>
      </c>
      <c r="U2025">
        <v>58</v>
      </c>
      <c r="V2025">
        <v>249</v>
      </c>
      <c r="W2025">
        <v>163.76</v>
      </c>
      <c r="X2025">
        <v>219.38</v>
      </c>
      <c r="Y2025">
        <v>575.48</v>
      </c>
      <c r="Z2025">
        <v>25.38</v>
      </c>
      <c r="AA2025">
        <v>5286</v>
      </c>
      <c r="AB2025">
        <v>158</v>
      </c>
      <c r="AC2025">
        <v>415.97</v>
      </c>
      <c r="AD2025">
        <v>650.21</v>
      </c>
      <c r="AE2025">
        <v>5684</v>
      </c>
      <c r="AF2025">
        <v>50.59</v>
      </c>
      <c r="AH2025">
        <v>132</v>
      </c>
      <c r="AI2025">
        <v>1139.18</v>
      </c>
      <c r="AK2025">
        <v>17.2</v>
      </c>
      <c r="AL2025">
        <v>98.19</v>
      </c>
      <c r="AM2025">
        <v>1450</v>
      </c>
      <c r="AO2025">
        <v>3275</v>
      </c>
      <c r="AP2025">
        <v>4295</v>
      </c>
      <c r="AQ2025">
        <v>38978.85</v>
      </c>
      <c r="AR2025">
        <v>0.32319999999999999</v>
      </c>
      <c r="AS2025">
        <v>12597.964319999999</v>
      </c>
    </row>
    <row r="2026" spans="1:45" hidden="1">
      <c r="A2026" t="s">
        <v>306</v>
      </c>
      <c r="B2026" t="s">
        <v>739</v>
      </c>
      <c r="C2026" t="s">
        <v>255</v>
      </c>
      <c r="D2026" t="s">
        <v>256</v>
      </c>
      <c r="E2026" t="s">
        <v>207</v>
      </c>
      <c r="F2026" t="s">
        <v>257</v>
      </c>
      <c r="G2026" t="s">
        <v>258</v>
      </c>
      <c r="AQ2026">
        <v>0</v>
      </c>
      <c r="AR2026">
        <v>31.815000000000001</v>
      </c>
      <c r="AS2026">
        <v>0</v>
      </c>
    </row>
    <row r="2027" spans="1:45" hidden="1">
      <c r="A2027" t="s">
        <v>306</v>
      </c>
      <c r="B2027" t="s">
        <v>739</v>
      </c>
      <c r="C2027" t="s">
        <v>217</v>
      </c>
      <c r="D2027" t="s">
        <v>218</v>
      </c>
      <c r="E2027" t="s">
        <v>207</v>
      </c>
      <c r="F2027" t="s">
        <v>219</v>
      </c>
      <c r="G2027" t="s">
        <v>220</v>
      </c>
      <c r="H2027">
        <v>608</v>
      </c>
      <c r="I2027">
        <v>11</v>
      </c>
      <c r="K2027">
        <v>1</v>
      </c>
      <c r="L2027">
        <v>16</v>
      </c>
      <c r="M2027">
        <v>8</v>
      </c>
      <c r="N2027">
        <v>4</v>
      </c>
      <c r="O2027">
        <v>1</v>
      </c>
      <c r="P2027">
        <v>32</v>
      </c>
      <c r="Q2027">
        <v>7</v>
      </c>
      <c r="R2027">
        <v>5</v>
      </c>
      <c r="S2027">
        <v>9</v>
      </c>
      <c r="U2027">
        <v>7</v>
      </c>
      <c r="V2027">
        <v>5</v>
      </c>
      <c r="W2027">
        <v>6</v>
      </c>
      <c r="Y2027">
        <v>28</v>
      </c>
      <c r="Z2027">
        <v>2</v>
      </c>
      <c r="AA2027">
        <v>213</v>
      </c>
      <c r="AB2027">
        <v>6</v>
      </c>
      <c r="AC2027">
        <v>27</v>
      </c>
      <c r="AD2027">
        <v>21</v>
      </c>
      <c r="AE2027">
        <v>274</v>
      </c>
      <c r="AF2027">
        <v>2</v>
      </c>
      <c r="AI2027">
        <v>34</v>
      </c>
      <c r="AK2027">
        <v>2</v>
      </c>
      <c r="AL2027">
        <v>6</v>
      </c>
      <c r="AM2027">
        <v>77</v>
      </c>
      <c r="AO2027">
        <v>106</v>
      </c>
      <c r="AP2027">
        <v>147</v>
      </c>
      <c r="AQ2027">
        <v>1665</v>
      </c>
      <c r="AR2027">
        <v>9.5950000000000006</v>
      </c>
      <c r="AS2027">
        <v>15975.674999999999</v>
      </c>
    </row>
    <row r="2028" spans="1:45" hidden="1">
      <c r="A2028" t="s">
        <v>306</v>
      </c>
      <c r="B2028" t="s">
        <v>739</v>
      </c>
      <c r="C2028" t="s">
        <v>708</v>
      </c>
      <c r="D2028" t="s">
        <v>474</v>
      </c>
      <c r="E2028" t="s">
        <v>207</v>
      </c>
      <c r="F2028" t="s">
        <v>475</v>
      </c>
      <c r="G2028" t="s">
        <v>476</v>
      </c>
      <c r="AQ2028">
        <v>0</v>
      </c>
      <c r="AR2028">
        <v>79.790000000000006</v>
      </c>
      <c r="AS2028">
        <v>0</v>
      </c>
    </row>
    <row r="2029" spans="1:45" hidden="1">
      <c r="A2029" t="s">
        <v>306</v>
      </c>
      <c r="B2029" t="s">
        <v>739</v>
      </c>
      <c r="C2029" t="s">
        <v>709</v>
      </c>
      <c r="D2029" t="s">
        <v>477</v>
      </c>
      <c r="E2029" t="s">
        <v>207</v>
      </c>
      <c r="F2029" t="s">
        <v>478</v>
      </c>
      <c r="G2029" t="s">
        <v>479</v>
      </c>
      <c r="H2029">
        <v>1</v>
      </c>
      <c r="AA2029">
        <v>1</v>
      </c>
      <c r="AE2029">
        <v>1</v>
      </c>
      <c r="AM2029">
        <v>1</v>
      </c>
      <c r="AO2029">
        <v>1</v>
      </c>
      <c r="AP2029">
        <v>1</v>
      </c>
      <c r="AQ2029">
        <v>6</v>
      </c>
      <c r="AR2029">
        <v>2.121</v>
      </c>
      <c r="AS2029">
        <v>12.726000000000001</v>
      </c>
    </row>
    <row r="2030" spans="1:45" hidden="1">
      <c r="A2030" t="s">
        <v>306</v>
      </c>
      <c r="B2030" t="s">
        <v>739</v>
      </c>
      <c r="C2030" t="s">
        <v>221</v>
      </c>
      <c r="D2030" t="s">
        <v>222</v>
      </c>
      <c r="E2030" t="s">
        <v>207</v>
      </c>
      <c r="F2030" t="s">
        <v>223</v>
      </c>
      <c r="G2030" t="s">
        <v>224</v>
      </c>
      <c r="H2030">
        <v>3</v>
      </c>
      <c r="AE2030">
        <v>1</v>
      </c>
      <c r="AM2030">
        <v>1</v>
      </c>
      <c r="AQ2030">
        <v>5</v>
      </c>
      <c r="AR2030">
        <v>2651.25</v>
      </c>
      <c r="AS2030">
        <v>13256.25</v>
      </c>
    </row>
    <row r="2031" spans="1:45" hidden="1">
      <c r="A2031" t="s">
        <v>306</v>
      </c>
      <c r="B2031" t="s">
        <v>739</v>
      </c>
      <c r="C2031" t="s">
        <v>225</v>
      </c>
      <c r="D2031" t="s">
        <v>226</v>
      </c>
      <c r="E2031" t="s">
        <v>207</v>
      </c>
      <c r="F2031" t="s">
        <v>227</v>
      </c>
      <c r="G2031" t="s">
        <v>228</v>
      </c>
      <c r="H2031">
        <v>195</v>
      </c>
      <c r="L2031">
        <v>4</v>
      </c>
      <c r="N2031">
        <v>3</v>
      </c>
      <c r="Q2031">
        <v>6</v>
      </c>
      <c r="S2031">
        <v>2</v>
      </c>
      <c r="W2031">
        <v>2</v>
      </c>
      <c r="Y2031">
        <v>11</v>
      </c>
      <c r="AA2031">
        <v>73</v>
      </c>
      <c r="AD2031">
        <v>7</v>
      </c>
      <c r="AE2031">
        <v>70</v>
      </c>
      <c r="AI2031">
        <v>9</v>
      </c>
      <c r="AM2031">
        <v>20</v>
      </c>
      <c r="AO2031">
        <v>48</v>
      </c>
      <c r="AP2031">
        <v>44</v>
      </c>
      <c r="AQ2031">
        <v>494</v>
      </c>
      <c r="AR2031">
        <v>21.21</v>
      </c>
      <c r="AS2031">
        <v>10477.74</v>
      </c>
    </row>
    <row r="2032" spans="1:45" hidden="1">
      <c r="A2032" t="s">
        <v>306</v>
      </c>
      <c r="B2032" t="s">
        <v>739</v>
      </c>
      <c r="C2032" t="s">
        <v>710</v>
      </c>
      <c r="D2032" t="s">
        <v>480</v>
      </c>
      <c r="E2032" t="s">
        <v>207</v>
      </c>
      <c r="F2032" t="s">
        <v>481</v>
      </c>
      <c r="G2032" t="s">
        <v>482</v>
      </c>
      <c r="AQ2032">
        <v>0</v>
      </c>
      <c r="AR2032">
        <v>1272.5999999999999</v>
      </c>
      <c r="AS2032">
        <v>0</v>
      </c>
    </row>
    <row r="2033" spans="1:45" hidden="1">
      <c r="A2033" t="s">
        <v>306</v>
      </c>
      <c r="B2033" t="s">
        <v>739</v>
      </c>
      <c r="C2033" t="s">
        <v>711</v>
      </c>
      <c r="D2033" t="s">
        <v>488</v>
      </c>
      <c r="E2033" t="s">
        <v>207</v>
      </c>
      <c r="F2033" t="s">
        <v>489</v>
      </c>
      <c r="G2033" t="s">
        <v>490</v>
      </c>
      <c r="H2033">
        <v>48</v>
      </c>
      <c r="AE2033">
        <v>160</v>
      </c>
      <c r="AQ2033">
        <v>208</v>
      </c>
      <c r="AR2033">
        <v>0.5353</v>
      </c>
      <c r="AS2033">
        <v>111.3424</v>
      </c>
    </row>
    <row r="2034" spans="1:45" hidden="1">
      <c r="A2034" t="s">
        <v>306</v>
      </c>
      <c r="B2034" t="s">
        <v>739</v>
      </c>
      <c r="C2034" t="s">
        <v>712</v>
      </c>
      <c r="D2034" t="s">
        <v>483</v>
      </c>
      <c r="E2034" t="s">
        <v>207</v>
      </c>
      <c r="F2034" t="s">
        <v>484</v>
      </c>
      <c r="G2034" t="s">
        <v>392</v>
      </c>
      <c r="AQ2034">
        <v>0</v>
      </c>
      <c r="AR2034">
        <v>2121</v>
      </c>
      <c r="AS2034">
        <v>0</v>
      </c>
    </row>
    <row r="2035" spans="1:45" hidden="1">
      <c r="A2035" t="s">
        <v>306</v>
      </c>
      <c r="B2035" t="s">
        <v>739</v>
      </c>
      <c r="C2035" t="s">
        <v>713</v>
      </c>
      <c r="D2035" t="s">
        <v>485</v>
      </c>
      <c r="E2035" t="s">
        <v>207</v>
      </c>
      <c r="F2035" t="s">
        <v>486</v>
      </c>
      <c r="G2035" t="s">
        <v>487</v>
      </c>
      <c r="AQ2035">
        <v>0</v>
      </c>
      <c r="AR2035">
        <v>265.125</v>
      </c>
      <c r="AS2035">
        <v>0</v>
      </c>
    </row>
    <row r="2036" spans="1:45" hidden="1">
      <c r="A2036" t="s">
        <v>306</v>
      </c>
      <c r="B2036" t="s">
        <v>739</v>
      </c>
      <c r="C2036" t="s">
        <v>229</v>
      </c>
      <c r="D2036" t="s">
        <v>230</v>
      </c>
      <c r="E2036" t="s">
        <v>231</v>
      </c>
      <c r="F2036" t="s">
        <v>232</v>
      </c>
      <c r="G2036" t="s">
        <v>233</v>
      </c>
      <c r="H2036">
        <v>12</v>
      </c>
      <c r="I2036">
        <v>1</v>
      </c>
      <c r="L2036">
        <v>1</v>
      </c>
      <c r="M2036">
        <v>1</v>
      </c>
      <c r="N2036">
        <v>1</v>
      </c>
      <c r="P2036">
        <v>3</v>
      </c>
      <c r="R2036">
        <v>1</v>
      </c>
      <c r="W2036">
        <v>1</v>
      </c>
      <c r="Y2036">
        <v>3</v>
      </c>
      <c r="AA2036">
        <v>6</v>
      </c>
      <c r="AB2036">
        <v>1</v>
      </c>
      <c r="AD2036">
        <v>1</v>
      </c>
      <c r="AE2036">
        <v>10</v>
      </c>
      <c r="AI2036">
        <v>2</v>
      </c>
      <c r="AQ2036">
        <v>44</v>
      </c>
      <c r="AR2036">
        <v>1484.7</v>
      </c>
      <c r="AS2036">
        <v>65326.8</v>
      </c>
    </row>
    <row r="2037" spans="1:45" hidden="1">
      <c r="A2037" t="s">
        <v>306</v>
      </c>
      <c r="B2037" t="s">
        <v>739</v>
      </c>
      <c r="C2037" t="s">
        <v>234</v>
      </c>
      <c r="D2037" t="s">
        <v>230</v>
      </c>
      <c r="E2037" t="s">
        <v>231</v>
      </c>
      <c r="F2037" t="s">
        <v>285</v>
      </c>
      <c r="G2037" t="s">
        <v>233</v>
      </c>
      <c r="H2037">
        <v>15</v>
      </c>
      <c r="AA2037">
        <v>10</v>
      </c>
      <c r="AE2037">
        <v>8</v>
      </c>
      <c r="AM2037">
        <v>5</v>
      </c>
      <c r="AO2037">
        <v>10</v>
      </c>
      <c r="AP2037">
        <v>5</v>
      </c>
      <c r="AQ2037">
        <v>53</v>
      </c>
      <c r="AR2037">
        <v>1696.8</v>
      </c>
      <c r="AS2037">
        <v>89930.4</v>
      </c>
    </row>
    <row r="2038" spans="1:45" hidden="1">
      <c r="A2038" t="s">
        <v>306</v>
      </c>
      <c r="B2038" t="s">
        <v>739</v>
      </c>
      <c r="C2038" t="s">
        <v>714</v>
      </c>
      <c r="D2038" t="s">
        <v>230</v>
      </c>
      <c r="E2038" t="s">
        <v>231</v>
      </c>
      <c r="F2038" t="s">
        <v>491</v>
      </c>
      <c r="G2038" t="s">
        <v>233</v>
      </c>
      <c r="AQ2038">
        <v>0</v>
      </c>
      <c r="AR2038">
        <v>1908.9</v>
      </c>
      <c r="AS2038">
        <v>0</v>
      </c>
    </row>
    <row r="2039" spans="1:45" hidden="1">
      <c r="A2039" t="s">
        <v>306</v>
      </c>
      <c r="B2039" t="s">
        <v>739</v>
      </c>
      <c r="C2039" t="s">
        <v>236</v>
      </c>
      <c r="D2039" t="s">
        <v>237</v>
      </c>
      <c r="E2039" t="s">
        <v>231</v>
      </c>
      <c r="F2039" t="s">
        <v>238</v>
      </c>
      <c r="G2039" t="s">
        <v>239</v>
      </c>
      <c r="H2039">
        <v>2</v>
      </c>
      <c r="I2039">
        <v>1</v>
      </c>
      <c r="U2039">
        <v>1</v>
      </c>
      <c r="AP2039">
        <v>3</v>
      </c>
      <c r="AQ2039">
        <v>7</v>
      </c>
      <c r="AR2039">
        <v>265.125</v>
      </c>
      <c r="AS2039">
        <v>1855.875</v>
      </c>
    </row>
    <row r="2040" spans="1:45" hidden="1">
      <c r="A2040" t="s">
        <v>306</v>
      </c>
      <c r="B2040" t="s">
        <v>739</v>
      </c>
      <c r="C2040" t="s">
        <v>715</v>
      </c>
      <c r="D2040" t="s">
        <v>492</v>
      </c>
      <c r="E2040" t="s">
        <v>231</v>
      </c>
      <c r="F2040" t="s">
        <v>493</v>
      </c>
      <c r="G2040" t="s">
        <v>494</v>
      </c>
      <c r="AQ2040">
        <v>0</v>
      </c>
      <c r="AR2040">
        <v>742.35</v>
      </c>
      <c r="AS2040">
        <v>0</v>
      </c>
    </row>
    <row r="2041" spans="1:45" hidden="1">
      <c r="A2041" t="s">
        <v>306</v>
      </c>
      <c r="B2041" t="s">
        <v>739</v>
      </c>
      <c r="C2041" t="s">
        <v>716</v>
      </c>
      <c r="D2041" t="s">
        <v>495</v>
      </c>
      <c r="E2041" t="s">
        <v>231</v>
      </c>
      <c r="F2041" t="s">
        <v>496</v>
      </c>
      <c r="G2041" t="s">
        <v>497</v>
      </c>
      <c r="AQ2041">
        <v>0</v>
      </c>
      <c r="AR2041">
        <v>848.4</v>
      </c>
      <c r="AS2041">
        <v>0</v>
      </c>
    </row>
    <row r="2042" spans="1:45" hidden="1">
      <c r="A2042" t="s">
        <v>306</v>
      </c>
      <c r="B2042" t="s">
        <v>739</v>
      </c>
      <c r="C2042" t="s">
        <v>717</v>
      </c>
      <c r="D2042" t="s">
        <v>498</v>
      </c>
      <c r="E2042" t="s">
        <v>242</v>
      </c>
      <c r="F2042" t="s">
        <v>499</v>
      </c>
      <c r="G2042" t="s">
        <v>500</v>
      </c>
      <c r="H2042">
        <v>45607</v>
      </c>
      <c r="I2042">
        <v>769</v>
      </c>
      <c r="K2042">
        <v>40.35</v>
      </c>
      <c r="L2042">
        <v>377.57</v>
      </c>
      <c r="N2042">
        <v>625.88</v>
      </c>
      <c r="O2042">
        <v>247.62</v>
      </c>
      <c r="P2042">
        <v>1574.09</v>
      </c>
      <c r="R2042">
        <v>473.36</v>
      </c>
      <c r="U2042">
        <v>296.12</v>
      </c>
      <c r="W2042">
        <v>406</v>
      </c>
      <c r="Y2042">
        <v>1384</v>
      </c>
      <c r="AA2042">
        <v>17861</v>
      </c>
      <c r="AE2042">
        <v>23170</v>
      </c>
      <c r="AF2042">
        <v>238</v>
      </c>
      <c r="AI2042">
        <v>2788.44</v>
      </c>
      <c r="AL2042">
        <v>263.95999999999998</v>
      </c>
      <c r="AM2042">
        <v>6873</v>
      </c>
      <c r="AN2042">
        <v>100</v>
      </c>
      <c r="AO2042">
        <v>9607</v>
      </c>
      <c r="AP2042">
        <v>10270</v>
      </c>
      <c r="AQ2042">
        <v>122972.39</v>
      </c>
      <c r="AR2042">
        <v>1.4341999999999999</v>
      </c>
      <c r="AS2042">
        <v>176367.00173799999</v>
      </c>
    </row>
    <row r="2043" spans="1:45" hidden="1">
      <c r="A2043" t="s">
        <v>306</v>
      </c>
      <c r="B2043" t="s">
        <v>739</v>
      </c>
      <c r="C2043" t="s">
        <v>718</v>
      </c>
      <c r="D2043" t="s">
        <v>504</v>
      </c>
      <c r="E2043" t="s">
        <v>242</v>
      </c>
      <c r="F2043" t="s">
        <v>505</v>
      </c>
      <c r="G2043" t="s">
        <v>506</v>
      </c>
      <c r="H2043">
        <v>37446.07</v>
      </c>
      <c r="I2043">
        <v>157.81</v>
      </c>
      <c r="L2043">
        <v>50</v>
      </c>
      <c r="N2043">
        <v>321.37</v>
      </c>
      <c r="O2043">
        <v>136.15</v>
      </c>
      <c r="Q2043">
        <v>50</v>
      </c>
      <c r="R2043">
        <v>132.5</v>
      </c>
      <c r="S2043">
        <v>1022.61</v>
      </c>
      <c r="T2043">
        <v>50</v>
      </c>
      <c r="U2043">
        <v>76.62</v>
      </c>
      <c r="W2043">
        <v>260.93</v>
      </c>
      <c r="X2043">
        <v>30</v>
      </c>
      <c r="Y2043">
        <v>2126.08</v>
      </c>
      <c r="Z2043">
        <v>31.27</v>
      </c>
      <c r="AA2043">
        <v>8610.51</v>
      </c>
      <c r="AC2043">
        <v>743.13</v>
      </c>
      <c r="AD2043">
        <v>50</v>
      </c>
      <c r="AE2043">
        <v>5233.54</v>
      </c>
      <c r="AI2043">
        <v>303.18</v>
      </c>
      <c r="AM2043">
        <v>4033.13</v>
      </c>
      <c r="AO2043">
        <v>7543.01</v>
      </c>
      <c r="AP2043">
        <v>3821.3</v>
      </c>
      <c r="AQ2043">
        <v>72229.210000000006</v>
      </c>
      <c r="AR2043">
        <v>0.84840000000000004</v>
      </c>
      <c r="AS2043">
        <v>61279.261764000003</v>
      </c>
    </row>
    <row r="2044" spans="1:45" hidden="1">
      <c r="A2044" t="s">
        <v>306</v>
      </c>
      <c r="B2044" t="s">
        <v>739</v>
      </c>
      <c r="C2044" t="s">
        <v>719</v>
      </c>
      <c r="D2044" t="s">
        <v>501</v>
      </c>
      <c r="E2044" t="s">
        <v>242</v>
      </c>
      <c r="F2044" t="s">
        <v>502</v>
      </c>
      <c r="G2044" t="s">
        <v>503</v>
      </c>
      <c r="H2044">
        <v>15</v>
      </c>
      <c r="AA2044">
        <v>7</v>
      </c>
      <c r="AE2044">
        <v>7</v>
      </c>
      <c r="AM2044">
        <v>5</v>
      </c>
      <c r="AO2044">
        <v>7</v>
      </c>
      <c r="AP2044">
        <v>10</v>
      </c>
      <c r="AQ2044">
        <v>51</v>
      </c>
      <c r="AR2044">
        <v>1272.5999999999999</v>
      </c>
      <c r="AS2044">
        <v>64902.6</v>
      </c>
    </row>
    <row r="2045" spans="1:45" hidden="1">
      <c r="A2045" t="s">
        <v>306</v>
      </c>
      <c r="B2045" t="s">
        <v>739</v>
      </c>
      <c r="C2045" t="s">
        <v>720</v>
      </c>
      <c r="D2045" t="s">
        <v>518</v>
      </c>
      <c r="E2045" t="s">
        <v>242</v>
      </c>
      <c r="F2045" t="s">
        <v>519</v>
      </c>
      <c r="G2045" t="s">
        <v>517</v>
      </c>
      <c r="AQ2045">
        <v>0</v>
      </c>
      <c r="AR2045">
        <v>3181.5</v>
      </c>
      <c r="AS2045">
        <v>0</v>
      </c>
    </row>
    <row r="2046" spans="1:45" hidden="1">
      <c r="A2046" t="s">
        <v>306</v>
      </c>
      <c r="B2046" t="s">
        <v>739</v>
      </c>
      <c r="C2046" t="s">
        <v>721</v>
      </c>
      <c r="D2046" t="s">
        <v>520</v>
      </c>
      <c r="E2046" t="s">
        <v>242</v>
      </c>
      <c r="F2046" t="s">
        <v>521</v>
      </c>
      <c r="G2046" t="s">
        <v>517</v>
      </c>
      <c r="AQ2046">
        <v>0</v>
      </c>
      <c r="AR2046">
        <v>2651.25</v>
      </c>
      <c r="AS2046">
        <v>0</v>
      </c>
    </row>
    <row r="2047" spans="1:45" hidden="1">
      <c r="A2047" t="s">
        <v>306</v>
      </c>
      <c r="B2047" t="s">
        <v>739</v>
      </c>
      <c r="C2047" t="s">
        <v>240</v>
      </c>
      <c r="D2047" t="s">
        <v>241</v>
      </c>
      <c r="E2047" t="s">
        <v>242</v>
      </c>
      <c r="F2047" t="s">
        <v>243</v>
      </c>
      <c r="G2047" t="s">
        <v>244</v>
      </c>
      <c r="H2047">
        <v>5</v>
      </c>
      <c r="AE2047">
        <v>1</v>
      </c>
      <c r="AM2047">
        <v>1</v>
      </c>
      <c r="AO2047">
        <v>2</v>
      </c>
      <c r="AQ2047">
        <v>9</v>
      </c>
      <c r="AR2047">
        <v>318.14999999999998</v>
      </c>
      <c r="AS2047">
        <v>2863.35</v>
      </c>
    </row>
    <row r="2048" spans="1:45" hidden="1">
      <c r="A2048" t="s">
        <v>306</v>
      </c>
      <c r="B2048" t="s">
        <v>739</v>
      </c>
      <c r="C2048" t="s">
        <v>245</v>
      </c>
      <c r="D2048" t="s">
        <v>246</v>
      </c>
      <c r="E2048" t="s">
        <v>242</v>
      </c>
      <c r="F2048" t="s">
        <v>247</v>
      </c>
      <c r="G2048" t="s">
        <v>248</v>
      </c>
      <c r="H2048">
        <v>13</v>
      </c>
      <c r="I2048">
        <v>1</v>
      </c>
      <c r="M2048">
        <v>1</v>
      </c>
      <c r="N2048">
        <v>1</v>
      </c>
      <c r="Y2048">
        <v>1</v>
      </c>
      <c r="AA2048">
        <v>8</v>
      </c>
      <c r="AE2048">
        <v>3</v>
      </c>
      <c r="AG2048">
        <v>1</v>
      </c>
      <c r="AI2048">
        <v>1</v>
      </c>
      <c r="AM2048">
        <v>1</v>
      </c>
      <c r="AO2048">
        <v>3</v>
      </c>
      <c r="AP2048">
        <v>2</v>
      </c>
      <c r="AQ2048">
        <v>36</v>
      </c>
      <c r="AR2048">
        <v>265.125</v>
      </c>
      <c r="AS2048">
        <v>9544.5</v>
      </c>
    </row>
    <row r="2049" spans="1:45" hidden="1">
      <c r="A2049" t="s">
        <v>306</v>
      </c>
      <c r="B2049" t="s">
        <v>739</v>
      </c>
      <c r="C2049" t="s">
        <v>259</v>
      </c>
      <c r="D2049" t="s">
        <v>260</v>
      </c>
      <c r="E2049" t="s">
        <v>242</v>
      </c>
      <c r="F2049" t="s">
        <v>261</v>
      </c>
      <c r="G2049" t="s">
        <v>262</v>
      </c>
      <c r="H2049">
        <v>63</v>
      </c>
      <c r="I2049">
        <v>2</v>
      </c>
      <c r="M2049">
        <v>1</v>
      </c>
      <c r="Q2049">
        <v>2</v>
      </c>
      <c r="Z2049">
        <v>1</v>
      </c>
      <c r="AA2049">
        <v>20</v>
      </c>
      <c r="AE2049">
        <v>10</v>
      </c>
      <c r="AM2049">
        <v>1</v>
      </c>
      <c r="AO2049">
        <v>5</v>
      </c>
      <c r="AP2049">
        <v>2</v>
      </c>
      <c r="AQ2049">
        <v>107</v>
      </c>
      <c r="AR2049">
        <v>318.14999999999998</v>
      </c>
      <c r="AS2049">
        <v>34042.050000000003</v>
      </c>
    </row>
    <row r="2050" spans="1:45" hidden="1">
      <c r="A2050" t="s">
        <v>306</v>
      </c>
      <c r="B2050" t="s">
        <v>739</v>
      </c>
      <c r="C2050" t="s">
        <v>722</v>
      </c>
      <c r="D2050" t="s">
        <v>507</v>
      </c>
      <c r="E2050" t="s">
        <v>242</v>
      </c>
      <c r="F2050" t="s">
        <v>508</v>
      </c>
      <c r="G2050" t="s">
        <v>509</v>
      </c>
      <c r="AQ2050">
        <v>0</v>
      </c>
      <c r="AR2050">
        <v>2121</v>
      </c>
      <c r="AS2050">
        <v>0</v>
      </c>
    </row>
    <row r="2051" spans="1:45" hidden="1">
      <c r="A2051" t="s">
        <v>306</v>
      </c>
      <c r="B2051" t="s">
        <v>739</v>
      </c>
      <c r="C2051" t="s">
        <v>723</v>
      </c>
      <c r="D2051" t="s">
        <v>510</v>
      </c>
      <c r="E2051" t="s">
        <v>242</v>
      </c>
      <c r="F2051" t="s">
        <v>511</v>
      </c>
      <c r="G2051" t="s">
        <v>512</v>
      </c>
      <c r="H2051">
        <v>4</v>
      </c>
      <c r="AA2051">
        <v>1</v>
      </c>
      <c r="AE2051">
        <v>1</v>
      </c>
      <c r="AP2051">
        <v>5</v>
      </c>
      <c r="AQ2051">
        <v>11</v>
      </c>
      <c r="AR2051">
        <v>212.1</v>
      </c>
      <c r="AS2051">
        <v>2333.1</v>
      </c>
    </row>
    <row r="2052" spans="1:45" hidden="1">
      <c r="A2052" t="s">
        <v>306</v>
      </c>
      <c r="B2052" t="s">
        <v>739</v>
      </c>
      <c r="C2052" t="s">
        <v>724</v>
      </c>
      <c r="D2052" t="s">
        <v>526</v>
      </c>
      <c r="E2052" t="s">
        <v>242</v>
      </c>
      <c r="F2052" t="s">
        <v>527</v>
      </c>
      <c r="G2052" t="s">
        <v>528</v>
      </c>
      <c r="H2052">
        <v>2000</v>
      </c>
      <c r="AA2052">
        <v>21745</v>
      </c>
      <c r="AE2052">
        <v>13208</v>
      </c>
      <c r="AM2052">
        <v>6545</v>
      </c>
      <c r="AO2052">
        <v>15970</v>
      </c>
      <c r="AP2052">
        <v>5984</v>
      </c>
      <c r="AQ2052">
        <v>65452</v>
      </c>
      <c r="AR2052">
        <v>0.42420000000000002</v>
      </c>
      <c r="AS2052">
        <v>27764.738399999998</v>
      </c>
    </row>
    <row r="2053" spans="1:45" hidden="1">
      <c r="A2053" t="s">
        <v>306</v>
      </c>
      <c r="B2053" t="s">
        <v>739</v>
      </c>
      <c r="C2053" t="s">
        <v>725</v>
      </c>
      <c r="D2053" t="s">
        <v>529</v>
      </c>
      <c r="E2053" t="s">
        <v>242</v>
      </c>
      <c r="F2053" t="s">
        <v>530</v>
      </c>
      <c r="G2053" t="s">
        <v>531</v>
      </c>
      <c r="AQ2053">
        <v>0</v>
      </c>
      <c r="AR2053">
        <v>212.1</v>
      </c>
      <c r="AS2053">
        <v>0</v>
      </c>
    </row>
    <row r="2054" spans="1:45" hidden="1">
      <c r="A2054" t="s">
        <v>306</v>
      </c>
      <c r="B2054" t="s">
        <v>739</v>
      </c>
      <c r="C2054" t="s">
        <v>726</v>
      </c>
      <c r="D2054" t="s">
        <v>532</v>
      </c>
      <c r="E2054" t="s">
        <v>242</v>
      </c>
      <c r="F2054" t="s">
        <v>533</v>
      </c>
      <c r="G2054" t="s">
        <v>534</v>
      </c>
      <c r="AQ2054">
        <v>0</v>
      </c>
      <c r="AR2054">
        <v>21.21</v>
      </c>
      <c r="AS2054">
        <v>0</v>
      </c>
    </row>
    <row r="2055" spans="1:45" hidden="1">
      <c r="A2055" t="s">
        <v>306</v>
      </c>
      <c r="B2055" t="s">
        <v>739</v>
      </c>
      <c r="C2055" t="s">
        <v>727</v>
      </c>
      <c r="D2055" t="s">
        <v>287</v>
      </c>
      <c r="E2055" t="s">
        <v>242</v>
      </c>
      <c r="F2055" t="s">
        <v>537</v>
      </c>
      <c r="G2055" t="s">
        <v>538</v>
      </c>
      <c r="AQ2055">
        <v>0</v>
      </c>
      <c r="AR2055">
        <v>127.26</v>
      </c>
      <c r="AS2055">
        <v>0</v>
      </c>
    </row>
    <row r="2056" spans="1:45" hidden="1">
      <c r="A2056" t="s">
        <v>306</v>
      </c>
      <c r="B2056" t="s">
        <v>739</v>
      </c>
      <c r="C2056" t="s">
        <v>728</v>
      </c>
      <c r="D2056" t="s">
        <v>287</v>
      </c>
      <c r="E2056" t="s">
        <v>242</v>
      </c>
      <c r="F2056" t="s">
        <v>535</v>
      </c>
      <c r="G2056" t="s">
        <v>536</v>
      </c>
      <c r="AQ2056">
        <v>0</v>
      </c>
      <c r="AR2056">
        <v>424.2</v>
      </c>
      <c r="AS2056">
        <v>0</v>
      </c>
    </row>
    <row r="2057" spans="1:45" hidden="1">
      <c r="A2057" t="s">
        <v>306</v>
      </c>
      <c r="B2057" t="s">
        <v>739</v>
      </c>
      <c r="C2057" t="s">
        <v>729</v>
      </c>
      <c r="D2057" t="s">
        <v>522</v>
      </c>
      <c r="E2057" t="s">
        <v>242</v>
      </c>
      <c r="F2057" t="s">
        <v>523</v>
      </c>
      <c r="G2057" t="s">
        <v>517</v>
      </c>
      <c r="AQ2057">
        <v>0</v>
      </c>
      <c r="AR2057">
        <v>1272.5999999999999</v>
      </c>
      <c r="AS2057">
        <v>0</v>
      </c>
    </row>
    <row r="2058" spans="1:45" hidden="1">
      <c r="A2058" t="s">
        <v>306</v>
      </c>
      <c r="B2058" t="s">
        <v>739</v>
      </c>
      <c r="C2058" t="s">
        <v>730</v>
      </c>
      <c r="D2058" t="s">
        <v>515</v>
      </c>
      <c r="E2058" t="s">
        <v>242</v>
      </c>
      <c r="F2058" t="s">
        <v>516</v>
      </c>
      <c r="G2058" t="s">
        <v>517</v>
      </c>
      <c r="H2058">
        <v>1</v>
      </c>
      <c r="AA2058">
        <v>1</v>
      </c>
      <c r="AE2058">
        <v>1</v>
      </c>
      <c r="AQ2058">
        <v>3</v>
      </c>
      <c r="AR2058">
        <v>3181.5</v>
      </c>
      <c r="AS2058">
        <v>9544.5</v>
      </c>
    </row>
    <row r="2059" spans="1:45" hidden="1">
      <c r="A2059" t="s">
        <v>306</v>
      </c>
      <c r="B2059" t="s">
        <v>739</v>
      </c>
      <c r="C2059" t="s">
        <v>731</v>
      </c>
      <c r="D2059" t="s">
        <v>524</v>
      </c>
      <c r="E2059" t="s">
        <v>242</v>
      </c>
      <c r="F2059" t="s">
        <v>525</v>
      </c>
      <c r="G2059" t="s">
        <v>503</v>
      </c>
      <c r="AQ2059">
        <v>0</v>
      </c>
      <c r="AR2059">
        <v>15907.5</v>
      </c>
      <c r="AS2059">
        <v>0</v>
      </c>
    </row>
    <row r="2060" spans="1:45" hidden="1">
      <c r="A2060" t="s">
        <v>306</v>
      </c>
      <c r="B2060" t="s">
        <v>739</v>
      </c>
      <c r="C2060" t="s">
        <v>732</v>
      </c>
      <c r="D2060" t="s">
        <v>513</v>
      </c>
      <c r="E2060" t="s">
        <v>242</v>
      </c>
      <c r="F2060" t="s">
        <v>514</v>
      </c>
      <c r="G2060" t="s">
        <v>453</v>
      </c>
      <c r="AQ2060">
        <v>0</v>
      </c>
      <c r="AR2060">
        <v>848.4</v>
      </c>
      <c r="AS2060">
        <v>0</v>
      </c>
    </row>
    <row r="2061" spans="1:45" hidden="1">
      <c r="A2061" t="s">
        <v>306</v>
      </c>
      <c r="B2061" t="s">
        <v>739</v>
      </c>
      <c r="C2061" t="s">
        <v>733</v>
      </c>
      <c r="D2061" t="s">
        <v>287</v>
      </c>
      <c r="E2061" t="s">
        <v>242</v>
      </c>
      <c r="F2061" t="s">
        <v>539</v>
      </c>
      <c r="G2061" t="s">
        <v>540</v>
      </c>
      <c r="AQ2061">
        <v>0</v>
      </c>
      <c r="AR2061">
        <v>8.08</v>
      </c>
      <c r="AS2061">
        <v>0</v>
      </c>
    </row>
    <row r="2062" spans="1:45" hidden="1">
      <c r="A2062" t="s">
        <v>306</v>
      </c>
      <c r="B2062" t="s">
        <v>739</v>
      </c>
      <c r="C2062" t="s">
        <v>734</v>
      </c>
      <c r="D2062" t="s">
        <v>287</v>
      </c>
      <c r="E2062" t="s">
        <v>242</v>
      </c>
      <c r="F2062" t="s">
        <v>541</v>
      </c>
      <c r="G2062" t="s">
        <v>540</v>
      </c>
      <c r="AQ2062">
        <v>0</v>
      </c>
      <c r="AR2062">
        <v>7.4740000000000002</v>
      </c>
      <c r="AS2062">
        <v>0</v>
      </c>
    </row>
    <row r="2063" spans="1:45" hidden="1">
      <c r="A2063" t="s">
        <v>306</v>
      </c>
      <c r="B2063" t="s">
        <v>739</v>
      </c>
      <c r="C2063" t="s">
        <v>735</v>
      </c>
      <c r="D2063" t="s">
        <v>543</v>
      </c>
      <c r="E2063" t="s">
        <v>542</v>
      </c>
      <c r="F2063" t="s">
        <v>544</v>
      </c>
      <c r="G2063" t="s">
        <v>545</v>
      </c>
      <c r="H2063">
        <v>6800</v>
      </c>
      <c r="AP2063">
        <v>7525</v>
      </c>
      <c r="AQ2063">
        <v>14325</v>
      </c>
      <c r="AR2063">
        <v>14325</v>
      </c>
      <c r="AS2063">
        <v>14325</v>
      </c>
    </row>
    <row r="2064" spans="1:45" hidden="1">
      <c r="A2064" t="s">
        <v>306</v>
      </c>
      <c r="B2064" t="s">
        <v>739</v>
      </c>
      <c r="C2064" t="s">
        <v>286</v>
      </c>
      <c r="D2064" t="s">
        <v>287</v>
      </c>
      <c r="E2064" t="s">
        <v>288</v>
      </c>
      <c r="F2064" t="s">
        <v>289</v>
      </c>
      <c r="G2064" t="s">
        <v>547</v>
      </c>
      <c r="AQ2064">
        <v>0</v>
      </c>
      <c r="AR2064">
        <v>0.05</v>
      </c>
      <c r="AS2064">
        <v>108652.61605</v>
      </c>
    </row>
    <row r="2065" spans="1:45" hidden="1">
      <c r="A2065" t="s">
        <v>306</v>
      </c>
      <c r="B2065" t="s">
        <v>739</v>
      </c>
      <c r="C2065" t="s">
        <v>291</v>
      </c>
      <c r="D2065" t="s">
        <v>287</v>
      </c>
      <c r="E2065" t="s">
        <v>288</v>
      </c>
      <c r="F2065" t="s">
        <v>292</v>
      </c>
      <c r="G2065" t="s">
        <v>293</v>
      </c>
      <c r="AQ2065">
        <v>0</v>
      </c>
      <c r="AR2065">
        <v>6.0600000000000001E-2</v>
      </c>
      <c r="AS2065">
        <v>0</v>
      </c>
    </row>
    <row r="2066" spans="1:45" hidden="1">
      <c r="A2066" t="s">
        <v>306</v>
      </c>
      <c r="B2066" t="s">
        <v>739</v>
      </c>
      <c r="C2066" t="s">
        <v>736</v>
      </c>
      <c r="D2066" t="s">
        <v>287</v>
      </c>
      <c r="E2066" t="s">
        <v>288</v>
      </c>
      <c r="F2066" t="s">
        <v>550</v>
      </c>
      <c r="G2066" t="s">
        <v>293</v>
      </c>
      <c r="AQ2066">
        <v>0</v>
      </c>
      <c r="AR2066">
        <v>5.0500000000000003E-2</v>
      </c>
      <c r="AS2066">
        <v>0</v>
      </c>
    </row>
    <row r="2067" spans="1:45" hidden="1">
      <c r="A2067" t="s">
        <v>306</v>
      </c>
      <c r="B2067" t="s">
        <v>739</v>
      </c>
      <c r="C2067" t="s">
        <v>737</v>
      </c>
      <c r="D2067" t="s">
        <v>287</v>
      </c>
      <c r="E2067" t="s">
        <v>288</v>
      </c>
      <c r="F2067" t="s">
        <v>548</v>
      </c>
      <c r="G2067" t="s">
        <v>293</v>
      </c>
      <c r="AQ2067">
        <v>0</v>
      </c>
      <c r="AR2067">
        <v>0.1111</v>
      </c>
      <c r="AS2067">
        <v>0</v>
      </c>
    </row>
    <row r="2068" spans="1:45" hidden="1">
      <c r="A2068" t="s">
        <v>306</v>
      </c>
      <c r="B2068" t="s">
        <v>739</v>
      </c>
      <c r="C2068" t="s">
        <v>738</v>
      </c>
      <c r="D2068" t="s">
        <v>287</v>
      </c>
      <c r="E2068" t="s">
        <v>288</v>
      </c>
      <c r="F2068" t="s">
        <v>549</v>
      </c>
      <c r="G2068" t="s">
        <v>293</v>
      </c>
      <c r="AQ2068">
        <v>0</v>
      </c>
      <c r="AR2068">
        <v>0.10100000000000001</v>
      </c>
      <c r="AS2068">
        <v>0</v>
      </c>
    </row>
    <row r="2069" spans="1:45" hidden="1">
      <c r="A2069" t="s">
        <v>301</v>
      </c>
      <c r="B2069" t="s">
        <v>762</v>
      </c>
      <c r="C2069" t="s">
        <v>641</v>
      </c>
      <c r="D2069" t="s">
        <v>324</v>
      </c>
      <c r="E2069" t="s">
        <v>323</v>
      </c>
      <c r="F2069" t="s">
        <v>325</v>
      </c>
      <c r="G2069" t="s">
        <v>326</v>
      </c>
      <c r="AQ2069">
        <v>0</v>
      </c>
      <c r="AR2069">
        <v>1.35E-2</v>
      </c>
      <c r="AS2069">
        <v>0</v>
      </c>
    </row>
    <row r="2070" spans="1:45" hidden="1">
      <c r="A2070" t="s">
        <v>301</v>
      </c>
      <c r="B2070" t="s">
        <v>762</v>
      </c>
      <c r="C2070" t="s">
        <v>642</v>
      </c>
      <c r="D2070" t="s">
        <v>327</v>
      </c>
      <c r="E2070" t="s">
        <v>323</v>
      </c>
      <c r="F2070" t="s">
        <v>328</v>
      </c>
      <c r="G2070" t="s">
        <v>329</v>
      </c>
      <c r="AQ2070">
        <v>0</v>
      </c>
      <c r="AR2070">
        <v>5.9330000000000001E-2</v>
      </c>
      <c r="AS2070">
        <v>0</v>
      </c>
    </row>
    <row r="2071" spans="1:45" hidden="1">
      <c r="A2071" t="s">
        <v>301</v>
      </c>
      <c r="B2071" t="s">
        <v>762</v>
      </c>
      <c r="C2071" t="s">
        <v>643</v>
      </c>
      <c r="D2071" t="s">
        <v>330</v>
      </c>
      <c r="E2071" t="s">
        <v>323</v>
      </c>
      <c r="F2071" t="s">
        <v>331</v>
      </c>
      <c r="G2071" t="s">
        <v>740</v>
      </c>
      <c r="AQ2071">
        <v>0</v>
      </c>
      <c r="AR2071">
        <v>0.1</v>
      </c>
      <c r="AS2071">
        <v>0</v>
      </c>
    </row>
    <row r="2072" spans="1:45" hidden="1">
      <c r="A2072" t="s">
        <v>301</v>
      </c>
      <c r="B2072" t="s">
        <v>762</v>
      </c>
      <c r="C2072" t="s">
        <v>644</v>
      </c>
      <c r="D2072" t="s">
        <v>332</v>
      </c>
      <c r="E2072" t="s">
        <v>323</v>
      </c>
      <c r="F2072" t="s">
        <v>333</v>
      </c>
      <c r="G2072" t="s">
        <v>740</v>
      </c>
      <c r="AQ2072">
        <v>0</v>
      </c>
      <c r="AR2072">
        <v>0.125</v>
      </c>
      <c r="AS2072">
        <v>0</v>
      </c>
    </row>
    <row r="2073" spans="1:45" hidden="1">
      <c r="A2073" t="s">
        <v>301</v>
      </c>
      <c r="B2073" t="s">
        <v>762</v>
      </c>
      <c r="C2073" t="s">
        <v>645</v>
      </c>
      <c r="D2073" t="s">
        <v>334</v>
      </c>
      <c r="E2073" t="s">
        <v>323</v>
      </c>
      <c r="F2073" t="s">
        <v>335</v>
      </c>
      <c r="G2073" t="s">
        <v>329</v>
      </c>
      <c r="AQ2073">
        <v>0</v>
      </c>
      <c r="AR2073">
        <v>0.28000000000000003</v>
      </c>
    </row>
    <row r="2074" spans="1:45" hidden="1">
      <c r="A2074" t="s">
        <v>301</v>
      </c>
      <c r="B2074" t="s">
        <v>762</v>
      </c>
      <c r="C2074" t="s">
        <v>646</v>
      </c>
      <c r="D2074" t="s">
        <v>137</v>
      </c>
      <c r="E2074" t="s">
        <v>138</v>
      </c>
      <c r="F2074" t="s">
        <v>337</v>
      </c>
      <c r="G2074" t="s">
        <v>140</v>
      </c>
      <c r="K2074">
        <v>2</v>
      </c>
      <c r="L2074">
        <v>2</v>
      </c>
      <c r="AQ2074">
        <v>4</v>
      </c>
      <c r="AR2074">
        <v>212.1</v>
      </c>
      <c r="AS2074">
        <v>848.4</v>
      </c>
    </row>
    <row r="2075" spans="1:45" hidden="1">
      <c r="A2075" t="s">
        <v>301</v>
      </c>
      <c r="B2075" t="s">
        <v>762</v>
      </c>
      <c r="C2075" t="s">
        <v>136</v>
      </c>
      <c r="D2075" t="s">
        <v>137</v>
      </c>
      <c r="E2075" t="s">
        <v>138</v>
      </c>
      <c r="F2075" t="s">
        <v>139</v>
      </c>
      <c r="G2075" t="s">
        <v>140</v>
      </c>
      <c r="AQ2075">
        <v>0</v>
      </c>
      <c r="AR2075">
        <v>1696.8</v>
      </c>
      <c r="AS2075">
        <v>0</v>
      </c>
    </row>
    <row r="2076" spans="1:45" hidden="1">
      <c r="A2076" t="s">
        <v>301</v>
      </c>
      <c r="B2076" t="s">
        <v>762</v>
      </c>
      <c r="C2076" t="s">
        <v>143</v>
      </c>
      <c r="D2076" t="s">
        <v>137</v>
      </c>
      <c r="E2076" t="s">
        <v>138</v>
      </c>
      <c r="F2076" t="s">
        <v>277</v>
      </c>
      <c r="G2076" t="s">
        <v>140</v>
      </c>
      <c r="AQ2076">
        <v>0</v>
      </c>
      <c r="AR2076">
        <v>3923.85</v>
      </c>
      <c r="AS2076">
        <v>0</v>
      </c>
    </row>
    <row r="2077" spans="1:45" hidden="1">
      <c r="A2077" t="s">
        <v>301</v>
      </c>
      <c r="B2077" t="s">
        <v>762</v>
      </c>
      <c r="C2077" t="s">
        <v>647</v>
      </c>
      <c r="D2077" t="s">
        <v>137</v>
      </c>
      <c r="E2077" t="s">
        <v>138</v>
      </c>
      <c r="F2077" t="s">
        <v>338</v>
      </c>
      <c r="G2077" t="s">
        <v>140</v>
      </c>
      <c r="H2077">
        <v>10</v>
      </c>
      <c r="AQ2077">
        <v>10</v>
      </c>
      <c r="AR2077">
        <v>6893.25</v>
      </c>
      <c r="AS2077">
        <v>68932.5</v>
      </c>
    </row>
    <row r="2078" spans="1:45" hidden="1">
      <c r="A2078" t="s">
        <v>301</v>
      </c>
      <c r="B2078" t="s">
        <v>762</v>
      </c>
      <c r="C2078" t="s">
        <v>648</v>
      </c>
      <c r="D2078" t="s">
        <v>342</v>
      </c>
      <c r="E2078" t="s">
        <v>138</v>
      </c>
      <c r="F2078" t="s">
        <v>343</v>
      </c>
      <c r="G2078" t="s">
        <v>140</v>
      </c>
      <c r="AQ2078">
        <v>0</v>
      </c>
      <c r="AR2078">
        <v>13786.5</v>
      </c>
      <c r="AS2078">
        <v>0</v>
      </c>
    </row>
    <row r="2079" spans="1:45" hidden="1">
      <c r="A2079" t="s">
        <v>301</v>
      </c>
      <c r="B2079" t="s">
        <v>762</v>
      </c>
      <c r="C2079" t="s">
        <v>649</v>
      </c>
      <c r="D2079" t="s">
        <v>344</v>
      </c>
      <c r="E2079" t="s">
        <v>138</v>
      </c>
      <c r="F2079" t="s">
        <v>345</v>
      </c>
      <c r="G2079" t="s">
        <v>346</v>
      </c>
      <c r="AQ2079">
        <v>0</v>
      </c>
      <c r="AR2079">
        <v>11.11</v>
      </c>
      <c r="AS2079">
        <v>0</v>
      </c>
    </row>
    <row r="2080" spans="1:45" hidden="1">
      <c r="A2080" t="s">
        <v>301</v>
      </c>
      <c r="B2080" t="s">
        <v>762</v>
      </c>
      <c r="C2080" t="s">
        <v>650</v>
      </c>
      <c r="D2080" t="s">
        <v>339</v>
      </c>
      <c r="E2080" t="s">
        <v>138</v>
      </c>
      <c r="F2080" t="s">
        <v>340</v>
      </c>
      <c r="G2080" t="s">
        <v>341</v>
      </c>
      <c r="H2080">
        <v>13</v>
      </c>
      <c r="AQ2080">
        <v>13</v>
      </c>
      <c r="AR2080">
        <v>557.52</v>
      </c>
      <c r="AS2080">
        <v>7247.76</v>
      </c>
    </row>
    <row r="2081" spans="1:45" hidden="1">
      <c r="A2081" t="s">
        <v>301</v>
      </c>
      <c r="B2081" t="s">
        <v>762</v>
      </c>
      <c r="C2081" t="s">
        <v>651</v>
      </c>
      <c r="D2081" t="s">
        <v>347</v>
      </c>
      <c r="E2081" t="s">
        <v>138</v>
      </c>
      <c r="F2081" t="s">
        <v>350</v>
      </c>
      <c r="G2081" t="s">
        <v>349</v>
      </c>
      <c r="K2081">
        <v>2</v>
      </c>
      <c r="AQ2081">
        <v>2</v>
      </c>
      <c r="AR2081">
        <v>234.32</v>
      </c>
      <c r="AS2081">
        <v>468.64</v>
      </c>
    </row>
    <row r="2082" spans="1:45" hidden="1">
      <c r="A2082" t="s">
        <v>301</v>
      </c>
      <c r="B2082" t="s">
        <v>762</v>
      </c>
      <c r="C2082" t="s">
        <v>652</v>
      </c>
      <c r="D2082" t="s">
        <v>347</v>
      </c>
      <c r="E2082" t="s">
        <v>138</v>
      </c>
      <c r="F2082" t="s">
        <v>348</v>
      </c>
      <c r="G2082" t="s">
        <v>349</v>
      </c>
      <c r="H2082">
        <v>138</v>
      </c>
      <c r="AQ2082">
        <v>138</v>
      </c>
      <c r="AR2082">
        <v>456.52</v>
      </c>
      <c r="AS2082">
        <v>62999.76</v>
      </c>
    </row>
    <row r="2083" spans="1:45" hidden="1">
      <c r="A2083" t="s">
        <v>301</v>
      </c>
      <c r="B2083" t="s">
        <v>762</v>
      </c>
      <c r="C2083" t="s">
        <v>653</v>
      </c>
      <c r="D2083" t="s">
        <v>347</v>
      </c>
      <c r="E2083" t="s">
        <v>138</v>
      </c>
      <c r="F2083" t="s">
        <v>351</v>
      </c>
      <c r="G2083" t="s">
        <v>349</v>
      </c>
      <c r="AQ2083">
        <v>0</v>
      </c>
      <c r="AR2083">
        <v>679.73</v>
      </c>
      <c r="AS2083">
        <v>0</v>
      </c>
    </row>
    <row r="2084" spans="1:45" hidden="1">
      <c r="A2084" t="s">
        <v>301</v>
      </c>
      <c r="B2084" t="s">
        <v>762</v>
      </c>
      <c r="C2084" t="s">
        <v>654</v>
      </c>
      <c r="D2084" t="s">
        <v>352</v>
      </c>
      <c r="E2084" t="s">
        <v>138</v>
      </c>
      <c r="F2084" t="s">
        <v>353</v>
      </c>
      <c r="G2084" t="s">
        <v>354</v>
      </c>
      <c r="AQ2084">
        <v>0</v>
      </c>
      <c r="AR2084">
        <v>3923.85</v>
      </c>
      <c r="AS2084">
        <v>0</v>
      </c>
    </row>
    <row r="2085" spans="1:45" hidden="1">
      <c r="A2085" t="s">
        <v>301</v>
      </c>
      <c r="B2085" t="s">
        <v>762</v>
      </c>
      <c r="C2085" t="s">
        <v>655</v>
      </c>
      <c r="D2085" t="s">
        <v>355</v>
      </c>
      <c r="E2085" t="s">
        <v>138</v>
      </c>
      <c r="F2085" t="s">
        <v>356</v>
      </c>
      <c r="G2085" t="s">
        <v>357</v>
      </c>
      <c r="AQ2085">
        <v>0</v>
      </c>
      <c r="AR2085">
        <v>556.51</v>
      </c>
      <c r="AS2085">
        <v>0</v>
      </c>
    </row>
    <row r="2086" spans="1:45" hidden="1">
      <c r="A2086" t="s">
        <v>301</v>
      </c>
      <c r="B2086" t="s">
        <v>762</v>
      </c>
      <c r="C2086" t="s">
        <v>656</v>
      </c>
      <c r="D2086" t="s">
        <v>358</v>
      </c>
      <c r="E2086" t="s">
        <v>138</v>
      </c>
      <c r="F2086" t="s">
        <v>359</v>
      </c>
      <c r="G2086" t="s">
        <v>360</v>
      </c>
      <c r="AQ2086">
        <v>0</v>
      </c>
      <c r="AR2086">
        <v>334.31</v>
      </c>
      <c r="AS2086">
        <v>0</v>
      </c>
    </row>
    <row r="2087" spans="1:45" hidden="1">
      <c r="A2087" t="s">
        <v>301</v>
      </c>
      <c r="B2087" t="s">
        <v>762</v>
      </c>
      <c r="C2087" t="s">
        <v>657</v>
      </c>
      <c r="D2087" t="s">
        <v>361</v>
      </c>
      <c r="E2087" t="s">
        <v>138</v>
      </c>
      <c r="F2087" t="s">
        <v>362</v>
      </c>
      <c r="G2087" t="s">
        <v>363</v>
      </c>
      <c r="AQ2087">
        <v>0</v>
      </c>
      <c r="AR2087">
        <v>1.0605</v>
      </c>
      <c r="AS2087">
        <v>0</v>
      </c>
    </row>
    <row r="2088" spans="1:45" hidden="1">
      <c r="A2088" t="s">
        <v>301</v>
      </c>
      <c r="B2088" t="s">
        <v>762</v>
      </c>
      <c r="C2088" t="s">
        <v>658</v>
      </c>
      <c r="D2088" t="s">
        <v>364</v>
      </c>
      <c r="E2088" t="s">
        <v>138</v>
      </c>
      <c r="F2088" t="s">
        <v>366</v>
      </c>
      <c r="G2088" t="s">
        <v>363</v>
      </c>
      <c r="AQ2088">
        <v>0</v>
      </c>
      <c r="AR2088">
        <v>4.242</v>
      </c>
      <c r="AS2088">
        <v>0</v>
      </c>
    </row>
    <row r="2089" spans="1:45" hidden="1">
      <c r="A2089" t="s">
        <v>301</v>
      </c>
      <c r="B2089" t="s">
        <v>762</v>
      </c>
      <c r="C2089" t="s">
        <v>659</v>
      </c>
      <c r="D2089" t="s">
        <v>364</v>
      </c>
      <c r="E2089" t="s">
        <v>138</v>
      </c>
      <c r="F2089" t="s">
        <v>365</v>
      </c>
      <c r="G2089" t="s">
        <v>363</v>
      </c>
      <c r="AQ2089">
        <v>0</v>
      </c>
      <c r="AR2089">
        <v>8.484</v>
      </c>
      <c r="AS2089">
        <v>0</v>
      </c>
    </row>
    <row r="2090" spans="1:45" hidden="1">
      <c r="A2090" t="s">
        <v>301</v>
      </c>
      <c r="B2090" t="s">
        <v>762</v>
      </c>
      <c r="C2090" t="s">
        <v>660</v>
      </c>
      <c r="D2090" t="s">
        <v>364</v>
      </c>
      <c r="E2090" t="s">
        <v>138</v>
      </c>
      <c r="F2090" t="s">
        <v>367</v>
      </c>
      <c r="G2090" t="s">
        <v>363</v>
      </c>
      <c r="H2090">
        <v>1000</v>
      </c>
      <c r="AQ2090">
        <v>1000</v>
      </c>
      <c r="AR2090">
        <v>21.21</v>
      </c>
      <c r="AS2090">
        <v>21210</v>
      </c>
    </row>
    <row r="2091" spans="1:45" hidden="1">
      <c r="A2091" t="s">
        <v>301</v>
      </c>
      <c r="B2091" t="s">
        <v>762</v>
      </c>
      <c r="C2091" t="s">
        <v>278</v>
      </c>
      <c r="D2091" t="s">
        <v>146</v>
      </c>
      <c r="E2091" t="s">
        <v>138</v>
      </c>
      <c r="F2091" t="s">
        <v>279</v>
      </c>
      <c r="G2091" t="s">
        <v>148</v>
      </c>
      <c r="H2091">
        <v>150</v>
      </c>
      <c r="K2091">
        <v>4</v>
      </c>
      <c r="AQ2091">
        <v>154</v>
      </c>
      <c r="AR2091">
        <v>1272.5999999999999</v>
      </c>
      <c r="AS2091">
        <v>195980.4</v>
      </c>
    </row>
    <row r="2092" spans="1:45" hidden="1">
      <c r="A2092" t="s">
        <v>301</v>
      </c>
      <c r="B2092" t="s">
        <v>762</v>
      </c>
      <c r="C2092" t="s">
        <v>661</v>
      </c>
      <c r="D2092" t="s">
        <v>146</v>
      </c>
      <c r="E2092" t="s">
        <v>138</v>
      </c>
      <c r="F2092" t="s">
        <v>368</v>
      </c>
      <c r="G2092" t="s">
        <v>148</v>
      </c>
      <c r="AQ2092">
        <v>0</v>
      </c>
      <c r="AR2092">
        <v>2333.1</v>
      </c>
      <c r="AS2092">
        <v>0</v>
      </c>
    </row>
    <row r="2093" spans="1:45" hidden="1">
      <c r="A2093" t="s">
        <v>301</v>
      </c>
      <c r="B2093" t="s">
        <v>762</v>
      </c>
      <c r="C2093" t="s">
        <v>662</v>
      </c>
      <c r="D2093" t="s">
        <v>146</v>
      </c>
      <c r="E2093" t="s">
        <v>138</v>
      </c>
      <c r="F2093" t="s">
        <v>369</v>
      </c>
      <c r="G2093" t="s">
        <v>148</v>
      </c>
      <c r="AQ2093">
        <v>0</v>
      </c>
      <c r="AR2093">
        <v>3711.75</v>
      </c>
      <c r="AS2093">
        <v>0</v>
      </c>
    </row>
    <row r="2094" spans="1:45" hidden="1">
      <c r="A2094" t="s">
        <v>301</v>
      </c>
      <c r="B2094" t="s">
        <v>762</v>
      </c>
      <c r="C2094" t="s">
        <v>663</v>
      </c>
      <c r="D2094" t="s">
        <v>146</v>
      </c>
      <c r="E2094" t="s">
        <v>138</v>
      </c>
      <c r="F2094" t="s">
        <v>370</v>
      </c>
      <c r="G2094" t="s">
        <v>148</v>
      </c>
      <c r="AQ2094">
        <v>0</v>
      </c>
      <c r="AR2094">
        <v>5832.75</v>
      </c>
      <c r="AS2094">
        <v>0</v>
      </c>
    </row>
    <row r="2095" spans="1:45" hidden="1">
      <c r="A2095" t="s">
        <v>301</v>
      </c>
      <c r="B2095" t="s">
        <v>762</v>
      </c>
      <c r="C2095" t="s">
        <v>664</v>
      </c>
      <c r="D2095" t="s">
        <v>371</v>
      </c>
      <c r="E2095" t="s">
        <v>138</v>
      </c>
      <c r="F2095" t="s">
        <v>372</v>
      </c>
      <c r="G2095" t="s">
        <v>373</v>
      </c>
      <c r="H2095">
        <v>17</v>
      </c>
      <c r="AQ2095">
        <v>17</v>
      </c>
      <c r="AR2095">
        <v>3711.75</v>
      </c>
      <c r="AS2095">
        <v>63099.75</v>
      </c>
    </row>
    <row r="2096" spans="1:45" hidden="1">
      <c r="A2096" t="s">
        <v>301</v>
      </c>
      <c r="B2096" t="s">
        <v>762</v>
      </c>
      <c r="C2096" t="s">
        <v>149</v>
      </c>
      <c r="D2096" t="s">
        <v>280</v>
      </c>
      <c r="E2096" t="s">
        <v>138</v>
      </c>
      <c r="F2096" t="s">
        <v>151</v>
      </c>
      <c r="G2096" t="s">
        <v>152</v>
      </c>
      <c r="H2096">
        <v>95677</v>
      </c>
      <c r="AQ2096">
        <v>95677</v>
      </c>
      <c r="AR2096">
        <v>1.111</v>
      </c>
      <c r="AS2096">
        <v>106297.147</v>
      </c>
    </row>
    <row r="2097" spans="1:45" hidden="1">
      <c r="A2097" t="s">
        <v>301</v>
      </c>
      <c r="B2097" t="s">
        <v>762</v>
      </c>
      <c r="C2097" t="s">
        <v>153</v>
      </c>
      <c r="D2097" t="s">
        <v>154</v>
      </c>
      <c r="E2097" t="s">
        <v>138</v>
      </c>
      <c r="F2097" t="s">
        <v>155</v>
      </c>
      <c r="G2097" t="s">
        <v>156</v>
      </c>
      <c r="AQ2097">
        <v>0</v>
      </c>
      <c r="AR2097">
        <v>116.655</v>
      </c>
      <c r="AS2097">
        <v>0</v>
      </c>
    </row>
    <row r="2098" spans="1:45" hidden="1">
      <c r="A2098" t="s">
        <v>301</v>
      </c>
      <c r="B2098" t="s">
        <v>762</v>
      </c>
      <c r="C2098" t="s">
        <v>665</v>
      </c>
      <c r="D2098" t="s">
        <v>375</v>
      </c>
      <c r="E2098" t="s">
        <v>138</v>
      </c>
      <c r="F2098" t="s">
        <v>376</v>
      </c>
      <c r="G2098" t="s">
        <v>377</v>
      </c>
      <c r="AQ2098">
        <v>0</v>
      </c>
      <c r="AR2098">
        <v>89.081999999999994</v>
      </c>
      <c r="AS2098">
        <v>0</v>
      </c>
    </row>
    <row r="2099" spans="1:45" hidden="1">
      <c r="A2099" t="s">
        <v>301</v>
      </c>
      <c r="B2099" t="s">
        <v>762</v>
      </c>
      <c r="C2099" t="s">
        <v>158</v>
      </c>
      <c r="D2099" t="s">
        <v>159</v>
      </c>
      <c r="E2099" t="s">
        <v>138</v>
      </c>
      <c r="F2099" t="s">
        <v>160</v>
      </c>
      <c r="G2099" t="s">
        <v>161</v>
      </c>
      <c r="H2099">
        <v>896</v>
      </c>
      <c r="K2099">
        <v>10</v>
      </c>
      <c r="L2099">
        <v>2</v>
      </c>
      <c r="AQ2099">
        <v>908</v>
      </c>
      <c r="AR2099">
        <v>66.66</v>
      </c>
      <c r="AS2099">
        <v>60527.28</v>
      </c>
    </row>
    <row r="2100" spans="1:45" hidden="1">
      <c r="A2100" t="s">
        <v>301</v>
      </c>
      <c r="B2100" t="s">
        <v>762</v>
      </c>
      <c r="C2100" t="s">
        <v>666</v>
      </c>
      <c r="D2100" t="s">
        <v>378</v>
      </c>
      <c r="E2100" t="s">
        <v>138</v>
      </c>
      <c r="F2100" t="s">
        <v>379</v>
      </c>
      <c r="G2100" t="s">
        <v>380</v>
      </c>
      <c r="AQ2100">
        <v>0</v>
      </c>
      <c r="AR2100">
        <v>389.86</v>
      </c>
      <c r="AS2100">
        <v>0</v>
      </c>
    </row>
    <row r="2101" spans="1:45" hidden="1">
      <c r="A2101" t="s">
        <v>301</v>
      </c>
      <c r="B2101" t="s">
        <v>762</v>
      </c>
      <c r="C2101" t="s">
        <v>667</v>
      </c>
      <c r="D2101" t="s">
        <v>281</v>
      </c>
      <c r="E2101" t="s">
        <v>138</v>
      </c>
      <c r="F2101" t="s">
        <v>384</v>
      </c>
      <c r="G2101" t="s">
        <v>165</v>
      </c>
      <c r="K2101">
        <v>2</v>
      </c>
      <c r="L2101">
        <v>1</v>
      </c>
      <c r="AQ2101">
        <v>3</v>
      </c>
      <c r="AR2101">
        <v>2227.0500000000002</v>
      </c>
      <c r="AS2101">
        <v>6681.15</v>
      </c>
    </row>
    <row r="2102" spans="1:45" hidden="1">
      <c r="A2102" t="s">
        <v>301</v>
      </c>
      <c r="B2102" t="s">
        <v>762</v>
      </c>
      <c r="C2102" t="s">
        <v>162</v>
      </c>
      <c r="D2102" t="s">
        <v>281</v>
      </c>
      <c r="E2102" t="s">
        <v>138</v>
      </c>
      <c r="F2102" t="s">
        <v>164</v>
      </c>
      <c r="G2102" t="s">
        <v>165</v>
      </c>
      <c r="H2102">
        <v>144</v>
      </c>
      <c r="AQ2102">
        <v>144</v>
      </c>
      <c r="AR2102">
        <v>4242</v>
      </c>
      <c r="AS2102">
        <v>610848</v>
      </c>
    </row>
    <row r="2103" spans="1:45" hidden="1">
      <c r="A2103" t="s">
        <v>301</v>
      </c>
      <c r="B2103" t="s">
        <v>762</v>
      </c>
      <c r="C2103" t="s">
        <v>668</v>
      </c>
      <c r="D2103" t="s">
        <v>381</v>
      </c>
      <c r="E2103" t="s">
        <v>138</v>
      </c>
      <c r="F2103" t="s">
        <v>382</v>
      </c>
      <c r="G2103" t="s">
        <v>383</v>
      </c>
      <c r="AQ2103">
        <v>0</v>
      </c>
      <c r="AR2103">
        <v>39.39</v>
      </c>
      <c r="AS2103">
        <v>0</v>
      </c>
    </row>
    <row r="2104" spans="1:45" hidden="1">
      <c r="A2104" t="s">
        <v>301</v>
      </c>
      <c r="B2104" t="s">
        <v>762</v>
      </c>
      <c r="C2104" t="s">
        <v>166</v>
      </c>
      <c r="D2104" t="s">
        <v>282</v>
      </c>
      <c r="E2104" t="s">
        <v>138</v>
      </c>
      <c r="F2104" t="s">
        <v>168</v>
      </c>
      <c r="G2104" t="s">
        <v>169</v>
      </c>
      <c r="H2104">
        <v>121315</v>
      </c>
      <c r="AQ2104">
        <v>121315</v>
      </c>
      <c r="AR2104">
        <v>1.111</v>
      </c>
      <c r="AS2104">
        <v>134780.965</v>
      </c>
    </row>
    <row r="2105" spans="1:45" hidden="1">
      <c r="A2105" t="s">
        <v>301</v>
      </c>
      <c r="B2105" t="s">
        <v>762</v>
      </c>
      <c r="C2105" t="s">
        <v>669</v>
      </c>
      <c r="D2105" t="s">
        <v>385</v>
      </c>
      <c r="E2105" t="s">
        <v>138</v>
      </c>
      <c r="F2105" t="s">
        <v>386</v>
      </c>
      <c r="G2105" t="s">
        <v>387</v>
      </c>
      <c r="H2105">
        <v>3</v>
      </c>
      <c r="K2105">
        <v>1</v>
      </c>
      <c r="AQ2105">
        <v>4</v>
      </c>
      <c r="AR2105">
        <v>22270.5</v>
      </c>
      <c r="AS2105">
        <v>89082</v>
      </c>
    </row>
    <row r="2106" spans="1:45" hidden="1">
      <c r="A2106" t="s">
        <v>301</v>
      </c>
      <c r="B2106" t="s">
        <v>762</v>
      </c>
      <c r="C2106" t="s">
        <v>670</v>
      </c>
      <c r="D2106" t="s">
        <v>385</v>
      </c>
      <c r="E2106" t="s">
        <v>138</v>
      </c>
      <c r="F2106" t="s">
        <v>388</v>
      </c>
      <c r="G2106" t="s">
        <v>389</v>
      </c>
      <c r="H2106">
        <v>50</v>
      </c>
      <c r="AQ2106">
        <v>50</v>
      </c>
      <c r="AR2106">
        <v>0.22220000000000001</v>
      </c>
      <c r="AS2106">
        <v>11.11</v>
      </c>
    </row>
    <row r="2107" spans="1:45" hidden="1">
      <c r="A2107" t="s">
        <v>301</v>
      </c>
      <c r="B2107" t="s">
        <v>762</v>
      </c>
      <c r="C2107" t="s">
        <v>671</v>
      </c>
      <c r="D2107" t="s">
        <v>393</v>
      </c>
      <c r="E2107" t="s">
        <v>138</v>
      </c>
      <c r="F2107" t="s">
        <v>394</v>
      </c>
      <c r="G2107" t="s">
        <v>395</v>
      </c>
      <c r="AQ2107">
        <v>0</v>
      </c>
      <c r="AR2107">
        <v>99.99</v>
      </c>
      <c r="AS2107">
        <v>0</v>
      </c>
    </row>
    <row r="2108" spans="1:45" hidden="1">
      <c r="A2108" t="s">
        <v>301</v>
      </c>
      <c r="B2108" t="s">
        <v>762</v>
      </c>
      <c r="C2108" t="s">
        <v>672</v>
      </c>
      <c r="D2108" t="s">
        <v>393</v>
      </c>
      <c r="E2108" t="s">
        <v>138</v>
      </c>
      <c r="F2108" t="s">
        <v>396</v>
      </c>
      <c r="G2108" t="s">
        <v>395</v>
      </c>
      <c r="AQ2108">
        <v>0</v>
      </c>
      <c r="AR2108">
        <v>99.99</v>
      </c>
      <c r="AS2108">
        <v>0</v>
      </c>
    </row>
    <row r="2109" spans="1:45" hidden="1">
      <c r="A2109" t="s">
        <v>301</v>
      </c>
      <c r="B2109" t="s">
        <v>762</v>
      </c>
      <c r="C2109" t="s">
        <v>673</v>
      </c>
      <c r="D2109" t="s">
        <v>393</v>
      </c>
      <c r="E2109" t="s">
        <v>138</v>
      </c>
      <c r="F2109" t="s">
        <v>397</v>
      </c>
      <c r="G2109" t="s">
        <v>395</v>
      </c>
      <c r="AQ2109">
        <v>0</v>
      </c>
      <c r="AR2109">
        <v>66.66</v>
      </c>
      <c r="AS2109">
        <v>0</v>
      </c>
    </row>
    <row r="2110" spans="1:45" hidden="1">
      <c r="A2110" t="s">
        <v>301</v>
      </c>
      <c r="B2110" t="s">
        <v>762</v>
      </c>
      <c r="C2110" t="s">
        <v>674</v>
      </c>
      <c r="D2110" t="s">
        <v>287</v>
      </c>
      <c r="E2110" t="s">
        <v>138</v>
      </c>
      <c r="F2110" t="s">
        <v>402</v>
      </c>
      <c r="G2110" t="s">
        <v>403</v>
      </c>
      <c r="H2110">
        <v>1</v>
      </c>
      <c r="AQ2110">
        <v>1</v>
      </c>
      <c r="AR2110">
        <v>318150</v>
      </c>
      <c r="AS2110">
        <v>318150</v>
      </c>
    </row>
    <row r="2111" spans="1:45" hidden="1">
      <c r="A2111" t="s">
        <v>301</v>
      </c>
      <c r="B2111" t="s">
        <v>762</v>
      </c>
      <c r="C2111" t="s">
        <v>675</v>
      </c>
      <c r="D2111" t="s">
        <v>390</v>
      </c>
      <c r="E2111" t="s">
        <v>138</v>
      </c>
      <c r="F2111" t="s">
        <v>391</v>
      </c>
      <c r="G2111" t="s">
        <v>392</v>
      </c>
      <c r="AQ2111">
        <v>0</v>
      </c>
      <c r="AR2111">
        <v>1336.23</v>
      </c>
      <c r="AS2111">
        <v>0</v>
      </c>
    </row>
    <row r="2112" spans="1:45" hidden="1">
      <c r="A2112" t="s">
        <v>301</v>
      </c>
      <c r="B2112" t="s">
        <v>762</v>
      </c>
      <c r="C2112" t="s">
        <v>676</v>
      </c>
      <c r="D2112" t="s">
        <v>398</v>
      </c>
      <c r="E2112" t="s">
        <v>138</v>
      </c>
      <c r="F2112" t="s">
        <v>399</v>
      </c>
      <c r="G2112" t="s">
        <v>400</v>
      </c>
      <c r="AQ2112">
        <v>0</v>
      </c>
      <c r="AR2112">
        <v>14475.825000000001</v>
      </c>
      <c r="AS2112">
        <v>0</v>
      </c>
    </row>
    <row r="2113" spans="1:45" hidden="1">
      <c r="A2113" t="s">
        <v>301</v>
      </c>
      <c r="B2113" t="s">
        <v>762</v>
      </c>
      <c r="C2113" t="s">
        <v>170</v>
      </c>
      <c r="D2113" t="s">
        <v>171</v>
      </c>
      <c r="E2113" t="s">
        <v>172</v>
      </c>
      <c r="F2113" t="s">
        <v>173</v>
      </c>
      <c r="G2113" t="s">
        <v>152</v>
      </c>
      <c r="AQ2113">
        <v>0</v>
      </c>
      <c r="AR2113">
        <v>1.2726</v>
      </c>
      <c r="AS2113">
        <v>0</v>
      </c>
    </row>
    <row r="2114" spans="1:45" hidden="1">
      <c r="A2114" t="s">
        <v>301</v>
      </c>
      <c r="B2114" t="s">
        <v>762</v>
      </c>
      <c r="C2114" t="s">
        <v>677</v>
      </c>
      <c r="D2114" t="s">
        <v>405</v>
      </c>
      <c r="E2114" t="s">
        <v>172</v>
      </c>
      <c r="F2114" t="s">
        <v>406</v>
      </c>
      <c r="G2114" t="s">
        <v>407</v>
      </c>
      <c r="AQ2114">
        <v>0</v>
      </c>
      <c r="AR2114">
        <v>47.47</v>
      </c>
      <c r="AS2114">
        <v>0</v>
      </c>
    </row>
    <row r="2115" spans="1:45" hidden="1">
      <c r="A2115" t="s">
        <v>301</v>
      </c>
      <c r="B2115" t="s">
        <v>762</v>
      </c>
      <c r="C2115" t="s">
        <v>678</v>
      </c>
      <c r="D2115" t="s">
        <v>408</v>
      </c>
      <c r="E2115" t="s">
        <v>172</v>
      </c>
      <c r="F2115" t="s">
        <v>409</v>
      </c>
      <c r="G2115" t="s">
        <v>410</v>
      </c>
      <c r="AQ2115">
        <v>0</v>
      </c>
      <c r="AR2115">
        <v>1.0605</v>
      </c>
      <c r="AS2115">
        <v>0</v>
      </c>
    </row>
    <row r="2116" spans="1:45" hidden="1">
      <c r="A2116" t="s">
        <v>301</v>
      </c>
      <c r="B2116" t="s">
        <v>762</v>
      </c>
      <c r="C2116" t="s">
        <v>679</v>
      </c>
      <c r="D2116" t="s">
        <v>411</v>
      </c>
      <c r="E2116" t="s">
        <v>172</v>
      </c>
      <c r="F2116" t="s">
        <v>412</v>
      </c>
      <c r="G2116" t="s">
        <v>413</v>
      </c>
      <c r="AQ2116">
        <v>0</v>
      </c>
      <c r="AR2116">
        <v>37.1175</v>
      </c>
      <c r="AS2116">
        <v>0</v>
      </c>
    </row>
    <row r="2117" spans="1:45" hidden="1">
      <c r="A2117" t="s">
        <v>301</v>
      </c>
      <c r="B2117" t="s">
        <v>762</v>
      </c>
      <c r="C2117" t="s">
        <v>680</v>
      </c>
      <c r="D2117" t="s">
        <v>414</v>
      </c>
      <c r="E2117" t="s">
        <v>172</v>
      </c>
      <c r="F2117" t="s">
        <v>415</v>
      </c>
      <c r="G2117" t="s">
        <v>224</v>
      </c>
      <c r="AQ2117">
        <v>0</v>
      </c>
      <c r="AR2117">
        <v>42.42</v>
      </c>
      <c r="AS2117">
        <v>0</v>
      </c>
    </row>
    <row r="2118" spans="1:45" hidden="1">
      <c r="A2118" t="s">
        <v>301</v>
      </c>
      <c r="B2118" t="s">
        <v>762</v>
      </c>
      <c r="C2118" t="s">
        <v>681</v>
      </c>
      <c r="D2118" t="s">
        <v>416</v>
      </c>
      <c r="E2118" t="s">
        <v>172</v>
      </c>
      <c r="F2118" t="s">
        <v>417</v>
      </c>
      <c r="G2118" t="s">
        <v>418</v>
      </c>
      <c r="AQ2118">
        <v>0</v>
      </c>
      <c r="AR2118">
        <v>0.32319999999999999</v>
      </c>
      <c r="AS2118">
        <v>0</v>
      </c>
    </row>
    <row r="2119" spans="1:45" hidden="1">
      <c r="A2119" t="s">
        <v>301</v>
      </c>
      <c r="B2119" t="s">
        <v>762</v>
      </c>
      <c r="C2119" t="s">
        <v>682</v>
      </c>
      <c r="D2119" t="s">
        <v>419</v>
      </c>
      <c r="E2119" t="s">
        <v>172</v>
      </c>
      <c r="F2119" t="s">
        <v>420</v>
      </c>
      <c r="G2119" t="s">
        <v>421</v>
      </c>
      <c r="AQ2119">
        <v>0</v>
      </c>
      <c r="AR2119">
        <v>42.42</v>
      </c>
      <c r="AS2119">
        <v>0</v>
      </c>
    </row>
    <row r="2120" spans="1:45" hidden="1">
      <c r="A2120" t="s">
        <v>301</v>
      </c>
      <c r="B2120" t="s">
        <v>762</v>
      </c>
      <c r="C2120" t="s">
        <v>683</v>
      </c>
      <c r="D2120" t="s">
        <v>422</v>
      </c>
      <c r="E2120" t="s">
        <v>172</v>
      </c>
      <c r="F2120" t="s">
        <v>423</v>
      </c>
      <c r="G2120" t="s">
        <v>407</v>
      </c>
      <c r="AQ2120">
        <v>0</v>
      </c>
      <c r="AR2120">
        <v>47.47</v>
      </c>
      <c r="AS2120">
        <v>0</v>
      </c>
    </row>
    <row r="2121" spans="1:45" hidden="1">
      <c r="A2121" t="s">
        <v>301</v>
      </c>
      <c r="B2121" t="s">
        <v>762</v>
      </c>
      <c r="C2121" t="s">
        <v>684</v>
      </c>
      <c r="D2121" t="s">
        <v>427</v>
      </c>
      <c r="E2121" t="s">
        <v>172</v>
      </c>
      <c r="F2121" t="s">
        <v>428</v>
      </c>
      <c r="G2121" t="s">
        <v>429</v>
      </c>
      <c r="AQ2121">
        <v>0</v>
      </c>
      <c r="AR2121">
        <v>636.29999999999995</v>
      </c>
      <c r="AS2121">
        <v>0</v>
      </c>
    </row>
    <row r="2122" spans="1:45" hidden="1">
      <c r="A2122" t="s">
        <v>301</v>
      </c>
      <c r="B2122" t="s">
        <v>762</v>
      </c>
      <c r="C2122" t="s">
        <v>174</v>
      </c>
      <c r="D2122" t="s">
        <v>175</v>
      </c>
      <c r="E2122" t="s">
        <v>172</v>
      </c>
      <c r="F2122" t="s">
        <v>176</v>
      </c>
      <c r="G2122" t="s">
        <v>177</v>
      </c>
      <c r="AQ2122">
        <v>0</v>
      </c>
      <c r="AR2122">
        <v>424.2</v>
      </c>
      <c r="AS2122">
        <v>0</v>
      </c>
    </row>
    <row r="2123" spans="1:45" hidden="1">
      <c r="A2123" t="s">
        <v>301</v>
      </c>
      <c r="B2123" t="s">
        <v>762</v>
      </c>
      <c r="C2123" t="s">
        <v>685</v>
      </c>
      <c r="D2123" t="s">
        <v>430</v>
      </c>
      <c r="E2123" t="s">
        <v>172</v>
      </c>
      <c r="F2123" t="s">
        <v>433</v>
      </c>
      <c r="G2123" t="s">
        <v>432</v>
      </c>
      <c r="AQ2123">
        <v>0</v>
      </c>
      <c r="AR2123">
        <v>1908.9</v>
      </c>
      <c r="AS2123">
        <v>0</v>
      </c>
    </row>
    <row r="2124" spans="1:45" hidden="1">
      <c r="A2124" t="s">
        <v>301</v>
      </c>
      <c r="B2124" t="s">
        <v>762</v>
      </c>
      <c r="C2124" t="s">
        <v>686</v>
      </c>
      <c r="D2124" t="s">
        <v>430</v>
      </c>
      <c r="E2124" t="s">
        <v>172</v>
      </c>
      <c r="F2124" t="s">
        <v>431</v>
      </c>
      <c r="G2124" t="s">
        <v>432</v>
      </c>
      <c r="AQ2124">
        <v>0</v>
      </c>
      <c r="AR2124">
        <v>2121</v>
      </c>
      <c r="AS2124">
        <v>0</v>
      </c>
    </row>
    <row r="2125" spans="1:45" hidden="1">
      <c r="A2125" t="s">
        <v>301</v>
      </c>
      <c r="B2125" t="s">
        <v>762</v>
      </c>
      <c r="C2125" t="s">
        <v>687</v>
      </c>
      <c r="D2125" t="s">
        <v>430</v>
      </c>
      <c r="E2125" t="s">
        <v>172</v>
      </c>
      <c r="F2125" t="s">
        <v>438</v>
      </c>
      <c r="G2125" t="s">
        <v>432</v>
      </c>
      <c r="AQ2125">
        <v>0</v>
      </c>
      <c r="AR2125">
        <v>2439.15</v>
      </c>
      <c r="AS2125">
        <v>0</v>
      </c>
    </row>
    <row r="2126" spans="1:45" hidden="1">
      <c r="A2126" t="s">
        <v>301</v>
      </c>
      <c r="B2126" t="s">
        <v>762</v>
      </c>
      <c r="C2126" t="s">
        <v>688</v>
      </c>
      <c r="D2126" t="s">
        <v>430</v>
      </c>
      <c r="E2126" t="s">
        <v>172</v>
      </c>
      <c r="F2126" t="s">
        <v>434</v>
      </c>
      <c r="G2126" t="s">
        <v>432</v>
      </c>
      <c r="AQ2126">
        <v>0</v>
      </c>
      <c r="AR2126">
        <v>2651.25</v>
      </c>
      <c r="AS2126">
        <v>0</v>
      </c>
    </row>
    <row r="2127" spans="1:45" hidden="1">
      <c r="A2127" t="s">
        <v>301</v>
      </c>
      <c r="B2127" t="s">
        <v>762</v>
      </c>
      <c r="C2127" t="s">
        <v>645</v>
      </c>
      <c r="D2127" t="s">
        <v>435</v>
      </c>
      <c r="E2127" t="s">
        <v>172</v>
      </c>
      <c r="F2127" t="s">
        <v>436</v>
      </c>
      <c r="G2127" t="s">
        <v>437</v>
      </c>
      <c r="AQ2127">
        <v>0</v>
      </c>
      <c r="AR2127">
        <v>0.28000000000000003</v>
      </c>
    </row>
    <row r="2128" spans="1:45" hidden="1">
      <c r="A2128" t="s">
        <v>301</v>
      </c>
      <c r="B2128" t="s">
        <v>762</v>
      </c>
      <c r="C2128" t="s">
        <v>689</v>
      </c>
      <c r="D2128" t="s">
        <v>439</v>
      </c>
      <c r="E2128" t="s">
        <v>172</v>
      </c>
      <c r="F2128" t="s">
        <v>690</v>
      </c>
      <c r="G2128" t="s">
        <v>441</v>
      </c>
      <c r="AQ2128">
        <v>0</v>
      </c>
      <c r="AR2128">
        <v>318.14999999999998</v>
      </c>
      <c r="AS2128">
        <v>0</v>
      </c>
    </row>
    <row r="2129" spans="1:45" hidden="1">
      <c r="A2129" t="s">
        <v>301</v>
      </c>
      <c r="B2129" t="s">
        <v>762</v>
      </c>
      <c r="C2129" t="s">
        <v>691</v>
      </c>
      <c r="D2129" t="s">
        <v>439</v>
      </c>
      <c r="E2129" t="s">
        <v>172</v>
      </c>
      <c r="F2129" t="s">
        <v>442</v>
      </c>
      <c r="G2129" t="s">
        <v>441</v>
      </c>
      <c r="AQ2129">
        <v>0</v>
      </c>
      <c r="AR2129">
        <v>1272.5999999999999</v>
      </c>
      <c r="AS2129">
        <v>0</v>
      </c>
    </row>
    <row r="2130" spans="1:45" hidden="1">
      <c r="A2130" t="s">
        <v>301</v>
      </c>
      <c r="B2130" t="s">
        <v>762</v>
      </c>
      <c r="C2130" t="s">
        <v>692</v>
      </c>
      <c r="D2130" t="s">
        <v>439</v>
      </c>
      <c r="E2130" t="s">
        <v>172</v>
      </c>
      <c r="F2130" t="s">
        <v>443</v>
      </c>
      <c r="G2130" t="s">
        <v>441</v>
      </c>
      <c r="AQ2130">
        <v>0</v>
      </c>
      <c r="AR2130">
        <v>1590.75</v>
      </c>
      <c r="AS2130">
        <v>0</v>
      </c>
    </row>
    <row r="2131" spans="1:45" hidden="1">
      <c r="A2131" t="s">
        <v>301</v>
      </c>
      <c r="B2131" t="s">
        <v>762</v>
      </c>
      <c r="C2131" t="s">
        <v>693</v>
      </c>
      <c r="D2131" t="s">
        <v>439</v>
      </c>
      <c r="E2131" t="s">
        <v>172</v>
      </c>
      <c r="F2131" t="s">
        <v>440</v>
      </c>
      <c r="G2131" t="s">
        <v>441</v>
      </c>
      <c r="AQ2131">
        <v>0</v>
      </c>
      <c r="AR2131">
        <v>1590.75</v>
      </c>
      <c r="AS2131">
        <v>0</v>
      </c>
    </row>
    <row r="2132" spans="1:45" hidden="1">
      <c r="A2132" t="s">
        <v>301</v>
      </c>
      <c r="B2132" t="s">
        <v>762</v>
      </c>
      <c r="C2132" t="s">
        <v>694</v>
      </c>
      <c r="D2132" t="s">
        <v>439</v>
      </c>
      <c r="E2132" t="s">
        <v>172</v>
      </c>
      <c r="F2132" t="s">
        <v>695</v>
      </c>
      <c r="G2132" t="s">
        <v>441</v>
      </c>
      <c r="AQ2132">
        <v>0</v>
      </c>
      <c r="AR2132">
        <v>1802.85</v>
      </c>
      <c r="AS2132">
        <v>0</v>
      </c>
    </row>
    <row r="2133" spans="1:45" hidden="1">
      <c r="A2133" t="s">
        <v>301</v>
      </c>
      <c r="B2133" t="s">
        <v>762</v>
      </c>
      <c r="C2133" t="s">
        <v>696</v>
      </c>
      <c r="D2133" t="s">
        <v>446</v>
      </c>
      <c r="E2133" t="s">
        <v>172</v>
      </c>
      <c r="F2133" t="s">
        <v>447</v>
      </c>
      <c r="G2133" t="s">
        <v>448</v>
      </c>
      <c r="AQ2133">
        <v>0</v>
      </c>
      <c r="AR2133">
        <v>10.605</v>
      </c>
      <c r="AS2133">
        <v>0</v>
      </c>
    </row>
    <row r="2134" spans="1:45" hidden="1">
      <c r="A2134" t="s">
        <v>301</v>
      </c>
      <c r="B2134" t="s">
        <v>762</v>
      </c>
      <c r="C2134" t="s">
        <v>178</v>
      </c>
      <c r="D2134" t="s">
        <v>179</v>
      </c>
      <c r="E2134" t="s">
        <v>172</v>
      </c>
      <c r="F2134" t="s">
        <v>180</v>
      </c>
      <c r="G2134" t="s">
        <v>181</v>
      </c>
      <c r="AQ2134">
        <v>0</v>
      </c>
      <c r="AR2134">
        <v>106.05</v>
      </c>
      <c r="AS2134">
        <v>0</v>
      </c>
    </row>
    <row r="2135" spans="1:45" hidden="1">
      <c r="A2135" t="s">
        <v>301</v>
      </c>
      <c r="B2135" t="s">
        <v>762</v>
      </c>
      <c r="C2135" t="s">
        <v>182</v>
      </c>
      <c r="D2135" t="s">
        <v>179</v>
      </c>
      <c r="E2135" t="s">
        <v>172</v>
      </c>
      <c r="F2135" t="s">
        <v>183</v>
      </c>
      <c r="G2135" t="s">
        <v>152</v>
      </c>
      <c r="AQ2135">
        <v>0</v>
      </c>
      <c r="AR2135">
        <v>0.1515</v>
      </c>
      <c r="AS2135">
        <v>0</v>
      </c>
    </row>
    <row r="2136" spans="1:45" hidden="1">
      <c r="A2136" t="s">
        <v>301</v>
      </c>
      <c r="B2136" t="s">
        <v>762</v>
      </c>
      <c r="C2136" t="s">
        <v>697</v>
      </c>
      <c r="D2136" t="s">
        <v>449</v>
      </c>
      <c r="E2136" t="s">
        <v>172</v>
      </c>
      <c r="F2136" t="s">
        <v>450</v>
      </c>
      <c r="G2136" t="s">
        <v>451</v>
      </c>
      <c r="AQ2136">
        <v>0</v>
      </c>
      <c r="AR2136">
        <v>1908.9</v>
      </c>
      <c r="AS2136">
        <v>0</v>
      </c>
    </row>
    <row r="2137" spans="1:45" hidden="1">
      <c r="A2137" t="s">
        <v>301</v>
      </c>
      <c r="B2137" t="s">
        <v>762</v>
      </c>
      <c r="C2137" t="s">
        <v>698</v>
      </c>
      <c r="D2137" t="s">
        <v>424</v>
      </c>
      <c r="E2137" t="s">
        <v>172</v>
      </c>
      <c r="F2137" t="s">
        <v>425</v>
      </c>
      <c r="G2137" t="s">
        <v>426</v>
      </c>
      <c r="AQ2137">
        <v>0</v>
      </c>
      <c r="AR2137">
        <v>132.5625</v>
      </c>
      <c r="AS2137">
        <v>0</v>
      </c>
    </row>
    <row r="2138" spans="1:45" hidden="1">
      <c r="A2138" t="s">
        <v>301</v>
      </c>
      <c r="B2138" t="s">
        <v>762</v>
      </c>
      <c r="C2138" t="s">
        <v>699</v>
      </c>
      <c r="D2138" t="s">
        <v>287</v>
      </c>
      <c r="E2138" t="s">
        <v>172</v>
      </c>
      <c r="F2138" t="s">
        <v>452</v>
      </c>
      <c r="G2138" t="s">
        <v>453</v>
      </c>
      <c r="AQ2138">
        <v>0</v>
      </c>
      <c r="AR2138">
        <v>3181.5</v>
      </c>
      <c r="AS2138">
        <v>0</v>
      </c>
    </row>
    <row r="2139" spans="1:45" hidden="1">
      <c r="A2139" t="s">
        <v>301</v>
      </c>
      <c r="B2139" t="s">
        <v>762</v>
      </c>
      <c r="C2139" t="s">
        <v>700</v>
      </c>
      <c r="D2139" t="s">
        <v>287</v>
      </c>
      <c r="E2139" t="s">
        <v>172</v>
      </c>
      <c r="F2139" t="s">
        <v>454</v>
      </c>
      <c r="G2139" t="s">
        <v>455</v>
      </c>
      <c r="AQ2139">
        <v>0</v>
      </c>
      <c r="AR2139">
        <v>318150</v>
      </c>
      <c r="AS2139">
        <v>0</v>
      </c>
    </row>
    <row r="2140" spans="1:45" hidden="1">
      <c r="A2140" t="s">
        <v>301</v>
      </c>
      <c r="B2140" t="s">
        <v>762</v>
      </c>
      <c r="C2140" t="s">
        <v>701</v>
      </c>
      <c r="D2140" t="s">
        <v>287</v>
      </c>
      <c r="E2140" t="s">
        <v>172</v>
      </c>
      <c r="F2140" t="s">
        <v>456</v>
      </c>
      <c r="G2140" t="s">
        <v>457</v>
      </c>
      <c r="AQ2140">
        <v>0</v>
      </c>
      <c r="AR2140">
        <v>238612.5</v>
      </c>
      <c r="AS2140">
        <v>0</v>
      </c>
    </row>
    <row r="2141" spans="1:45" hidden="1">
      <c r="A2141" t="s">
        <v>301</v>
      </c>
      <c r="B2141" t="s">
        <v>762</v>
      </c>
      <c r="C2141" t="s">
        <v>184</v>
      </c>
      <c r="D2141" t="s">
        <v>185</v>
      </c>
      <c r="E2141" t="s">
        <v>186</v>
      </c>
      <c r="F2141" t="s">
        <v>187</v>
      </c>
      <c r="G2141" t="s">
        <v>188</v>
      </c>
      <c r="AQ2141">
        <v>0</v>
      </c>
      <c r="AR2141">
        <v>2121</v>
      </c>
      <c r="AS2141">
        <v>0</v>
      </c>
    </row>
    <row r="2142" spans="1:45" hidden="1">
      <c r="A2142" t="s">
        <v>301</v>
      </c>
      <c r="B2142" t="s">
        <v>762</v>
      </c>
      <c r="C2142" t="s">
        <v>189</v>
      </c>
      <c r="D2142" t="s">
        <v>190</v>
      </c>
      <c r="E2142" t="s">
        <v>186</v>
      </c>
      <c r="F2142" t="s">
        <v>191</v>
      </c>
      <c r="G2142" t="s">
        <v>192</v>
      </c>
      <c r="K2142">
        <v>1</v>
      </c>
      <c r="L2142">
        <v>1</v>
      </c>
      <c r="AQ2142">
        <v>2</v>
      </c>
      <c r="AR2142">
        <v>1060.5</v>
      </c>
      <c r="AS2142">
        <v>2121</v>
      </c>
    </row>
    <row r="2143" spans="1:45" hidden="1">
      <c r="A2143" t="s">
        <v>301</v>
      </c>
      <c r="B2143" t="s">
        <v>762</v>
      </c>
      <c r="C2143" t="s">
        <v>702</v>
      </c>
      <c r="D2143" t="s">
        <v>190</v>
      </c>
      <c r="E2143" t="s">
        <v>186</v>
      </c>
      <c r="F2143" t="s">
        <v>458</v>
      </c>
      <c r="G2143" t="s">
        <v>459</v>
      </c>
      <c r="AQ2143">
        <v>0</v>
      </c>
      <c r="AR2143">
        <v>1590.75</v>
      </c>
      <c r="AS2143">
        <v>0</v>
      </c>
    </row>
    <row r="2144" spans="1:45" hidden="1">
      <c r="A2144" t="s">
        <v>301</v>
      </c>
      <c r="B2144" t="s">
        <v>762</v>
      </c>
      <c r="C2144" t="s">
        <v>193</v>
      </c>
      <c r="D2144" t="s">
        <v>194</v>
      </c>
      <c r="E2144" t="s">
        <v>186</v>
      </c>
      <c r="F2144" t="s">
        <v>195</v>
      </c>
      <c r="G2144" t="s">
        <v>152</v>
      </c>
      <c r="AQ2144">
        <v>0</v>
      </c>
      <c r="AR2144">
        <v>0.63629999999999998</v>
      </c>
      <c r="AS2144">
        <v>0</v>
      </c>
    </row>
    <row r="2145" spans="1:45" hidden="1">
      <c r="A2145" t="s">
        <v>301</v>
      </c>
      <c r="B2145" t="s">
        <v>762</v>
      </c>
      <c r="C2145" t="s">
        <v>197</v>
      </c>
      <c r="D2145" t="s">
        <v>198</v>
      </c>
      <c r="E2145" t="s">
        <v>186</v>
      </c>
      <c r="F2145" t="s">
        <v>199</v>
      </c>
      <c r="G2145" t="s">
        <v>200</v>
      </c>
      <c r="H2145">
        <v>14</v>
      </c>
      <c r="J2145">
        <v>1</v>
      </c>
      <c r="AQ2145">
        <v>15</v>
      </c>
      <c r="AR2145">
        <v>4984.3500000000004</v>
      </c>
      <c r="AS2145">
        <v>74765.25</v>
      </c>
    </row>
    <row r="2146" spans="1:45" hidden="1">
      <c r="A2146" t="s">
        <v>301</v>
      </c>
      <c r="B2146" t="s">
        <v>762</v>
      </c>
      <c r="C2146" t="s">
        <v>201</v>
      </c>
      <c r="D2146" t="s">
        <v>202</v>
      </c>
      <c r="E2146" t="s">
        <v>186</v>
      </c>
      <c r="F2146" t="s">
        <v>203</v>
      </c>
      <c r="G2146" t="s">
        <v>204</v>
      </c>
      <c r="H2146">
        <v>950</v>
      </c>
      <c r="J2146">
        <v>50</v>
      </c>
      <c r="AQ2146">
        <v>1000</v>
      </c>
      <c r="AR2146">
        <v>31.815000000000001</v>
      </c>
      <c r="AS2146">
        <v>31815</v>
      </c>
    </row>
    <row r="2147" spans="1:45" hidden="1">
      <c r="A2147" t="s">
        <v>301</v>
      </c>
      <c r="B2147" t="s">
        <v>762</v>
      </c>
      <c r="C2147" t="s">
        <v>703</v>
      </c>
      <c r="D2147" t="s">
        <v>460</v>
      </c>
      <c r="E2147" t="s">
        <v>186</v>
      </c>
      <c r="F2147" t="s">
        <v>461</v>
      </c>
      <c r="G2147" t="s">
        <v>462</v>
      </c>
      <c r="AQ2147">
        <v>0</v>
      </c>
      <c r="AR2147">
        <v>15907.5</v>
      </c>
      <c r="AS2147">
        <v>0</v>
      </c>
    </row>
    <row r="2148" spans="1:45" hidden="1">
      <c r="A2148" t="s">
        <v>301</v>
      </c>
      <c r="B2148" t="s">
        <v>762</v>
      </c>
      <c r="C2148" t="s">
        <v>704</v>
      </c>
      <c r="D2148" t="s">
        <v>468</v>
      </c>
      <c r="E2148" t="s">
        <v>186</v>
      </c>
      <c r="F2148" t="s">
        <v>469</v>
      </c>
      <c r="G2148" t="s">
        <v>470</v>
      </c>
      <c r="AQ2148">
        <v>0</v>
      </c>
      <c r="AR2148">
        <v>159.07499999999999</v>
      </c>
      <c r="AS2148">
        <v>0</v>
      </c>
    </row>
    <row r="2149" spans="1:45" hidden="1">
      <c r="A2149" t="s">
        <v>301</v>
      </c>
      <c r="B2149" t="s">
        <v>762</v>
      </c>
      <c r="C2149" t="s">
        <v>705</v>
      </c>
      <c r="D2149" t="s">
        <v>463</v>
      </c>
      <c r="E2149" t="s">
        <v>186</v>
      </c>
      <c r="F2149" t="s">
        <v>466</v>
      </c>
      <c r="G2149" t="s">
        <v>467</v>
      </c>
      <c r="AQ2149">
        <v>0</v>
      </c>
      <c r="AR2149">
        <v>509.04</v>
      </c>
      <c r="AS2149">
        <v>0</v>
      </c>
    </row>
    <row r="2150" spans="1:45" hidden="1">
      <c r="A2150" t="s">
        <v>301</v>
      </c>
      <c r="B2150" t="s">
        <v>762</v>
      </c>
      <c r="C2150" t="s">
        <v>706</v>
      </c>
      <c r="D2150" t="s">
        <v>463</v>
      </c>
      <c r="E2150" t="s">
        <v>186</v>
      </c>
      <c r="F2150" t="s">
        <v>464</v>
      </c>
      <c r="G2150" t="s">
        <v>465</v>
      </c>
      <c r="AQ2150">
        <v>0</v>
      </c>
      <c r="AR2150">
        <v>1060.5</v>
      </c>
      <c r="AS2150">
        <v>0</v>
      </c>
    </row>
    <row r="2151" spans="1:45" hidden="1">
      <c r="A2151" t="s">
        <v>301</v>
      </c>
      <c r="B2151" t="s">
        <v>762</v>
      </c>
      <c r="C2151" t="s">
        <v>707</v>
      </c>
      <c r="D2151" t="s">
        <v>471</v>
      </c>
      <c r="E2151" t="s">
        <v>186</v>
      </c>
      <c r="F2151" t="s">
        <v>472</v>
      </c>
      <c r="G2151" t="s">
        <v>473</v>
      </c>
      <c r="AQ2151">
        <v>0</v>
      </c>
      <c r="AR2151">
        <v>15377.25</v>
      </c>
      <c r="AS2151">
        <v>0</v>
      </c>
    </row>
    <row r="2152" spans="1:45" hidden="1">
      <c r="A2152" t="s">
        <v>301</v>
      </c>
      <c r="B2152" t="s">
        <v>762</v>
      </c>
      <c r="C2152" t="s">
        <v>205</v>
      </c>
      <c r="D2152" t="s">
        <v>206</v>
      </c>
      <c r="E2152" t="s">
        <v>207</v>
      </c>
      <c r="F2152" t="s">
        <v>208</v>
      </c>
      <c r="G2152" t="s">
        <v>209</v>
      </c>
      <c r="AQ2152">
        <v>0</v>
      </c>
      <c r="AR2152">
        <v>0.16159999999999999</v>
      </c>
      <c r="AS2152">
        <v>0</v>
      </c>
    </row>
    <row r="2153" spans="1:45" hidden="1">
      <c r="A2153" t="s">
        <v>301</v>
      </c>
      <c r="B2153" t="s">
        <v>762</v>
      </c>
      <c r="C2153" t="s">
        <v>210</v>
      </c>
      <c r="D2153" t="s">
        <v>211</v>
      </c>
      <c r="E2153" t="s">
        <v>207</v>
      </c>
      <c r="F2153" t="s">
        <v>212</v>
      </c>
      <c r="G2153" t="s">
        <v>209</v>
      </c>
      <c r="AQ2153">
        <v>0</v>
      </c>
      <c r="AR2153">
        <v>0.63629999999999998</v>
      </c>
      <c r="AS2153">
        <v>0</v>
      </c>
    </row>
    <row r="2154" spans="1:45" hidden="1">
      <c r="A2154" t="s">
        <v>301</v>
      </c>
      <c r="B2154" t="s">
        <v>762</v>
      </c>
      <c r="C2154" t="s">
        <v>213</v>
      </c>
      <c r="D2154" t="s">
        <v>214</v>
      </c>
      <c r="E2154" t="s">
        <v>207</v>
      </c>
      <c r="F2154" t="s">
        <v>215</v>
      </c>
      <c r="G2154" t="s">
        <v>152</v>
      </c>
      <c r="AQ2154">
        <v>0</v>
      </c>
      <c r="AR2154">
        <v>0.32319999999999999</v>
      </c>
      <c r="AS2154">
        <v>0</v>
      </c>
    </row>
    <row r="2155" spans="1:45" hidden="1">
      <c r="A2155" t="s">
        <v>301</v>
      </c>
      <c r="B2155" t="s">
        <v>762</v>
      </c>
      <c r="C2155" t="s">
        <v>255</v>
      </c>
      <c r="D2155" t="s">
        <v>256</v>
      </c>
      <c r="E2155" t="s">
        <v>207</v>
      </c>
      <c r="F2155" t="s">
        <v>257</v>
      </c>
      <c r="G2155" t="s">
        <v>258</v>
      </c>
      <c r="AQ2155">
        <v>0</v>
      </c>
      <c r="AR2155">
        <v>31.815000000000001</v>
      </c>
      <c r="AS2155">
        <v>0</v>
      </c>
    </row>
    <row r="2156" spans="1:45" hidden="1">
      <c r="A2156" t="s">
        <v>301</v>
      </c>
      <c r="B2156" t="s">
        <v>762</v>
      </c>
      <c r="C2156" t="s">
        <v>217</v>
      </c>
      <c r="D2156" t="s">
        <v>218</v>
      </c>
      <c r="E2156" t="s">
        <v>207</v>
      </c>
      <c r="F2156" t="s">
        <v>219</v>
      </c>
      <c r="G2156" t="s">
        <v>220</v>
      </c>
      <c r="AQ2156">
        <v>0</v>
      </c>
      <c r="AR2156">
        <v>9.5950000000000006</v>
      </c>
      <c r="AS2156">
        <v>0</v>
      </c>
    </row>
    <row r="2157" spans="1:45" hidden="1">
      <c r="A2157" t="s">
        <v>301</v>
      </c>
      <c r="B2157" t="s">
        <v>762</v>
      </c>
      <c r="C2157" t="s">
        <v>708</v>
      </c>
      <c r="D2157" t="s">
        <v>474</v>
      </c>
      <c r="E2157" t="s">
        <v>207</v>
      </c>
      <c r="F2157" t="s">
        <v>475</v>
      </c>
      <c r="G2157" t="s">
        <v>476</v>
      </c>
      <c r="AQ2157">
        <v>0</v>
      </c>
      <c r="AR2157">
        <v>79.790000000000006</v>
      </c>
      <c r="AS2157">
        <v>0</v>
      </c>
    </row>
    <row r="2158" spans="1:45" hidden="1">
      <c r="A2158" t="s">
        <v>301</v>
      </c>
      <c r="B2158" t="s">
        <v>762</v>
      </c>
      <c r="C2158" t="s">
        <v>709</v>
      </c>
      <c r="D2158" t="s">
        <v>477</v>
      </c>
      <c r="E2158" t="s">
        <v>207</v>
      </c>
      <c r="F2158" t="s">
        <v>478</v>
      </c>
      <c r="G2158" t="s">
        <v>479</v>
      </c>
      <c r="AQ2158">
        <v>0</v>
      </c>
      <c r="AR2158">
        <v>2.121</v>
      </c>
      <c r="AS2158">
        <v>0</v>
      </c>
    </row>
    <row r="2159" spans="1:45" hidden="1">
      <c r="A2159" t="s">
        <v>301</v>
      </c>
      <c r="B2159" t="s">
        <v>762</v>
      </c>
      <c r="C2159" t="s">
        <v>221</v>
      </c>
      <c r="D2159" t="s">
        <v>222</v>
      </c>
      <c r="E2159" t="s">
        <v>207</v>
      </c>
      <c r="F2159" t="s">
        <v>223</v>
      </c>
      <c r="G2159" t="s">
        <v>224</v>
      </c>
      <c r="AQ2159">
        <v>0</v>
      </c>
      <c r="AR2159">
        <v>2651.25</v>
      </c>
      <c r="AS2159">
        <v>0</v>
      </c>
    </row>
    <row r="2160" spans="1:45" hidden="1">
      <c r="A2160" t="s">
        <v>301</v>
      </c>
      <c r="B2160" t="s">
        <v>762</v>
      </c>
      <c r="C2160" t="s">
        <v>225</v>
      </c>
      <c r="D2160" t="s">
        <v>226</v>
      </c>
      <c r="E2160" t="s">
        <v>207</v>
      </c>
      <c r="F2160" t="s">
        <v>227</v>
      </c>
      <c r="G2160" t="s">
        <v>228</v>
      </c>
      <c r="AQ2160">
        <v>0</v>
      </c>
      <c r="AR2160">
        <v>21.21</v>
      </c>
      <c r="AS2160">
        <v>0</v>
      </c>
    </row>
    <row r="2161" spans="1:45" hidden="1">
      <c r="A2161" t="s">
        <v>301</v>
      </c>
      <c r="B2161" t="s">
        <v>762</v>
      </c>
      <c r="C2161" t="s">
        <v>710</v>
      </c>
      <c r="D2161" t="s">
        <v>480</v>
      </c>
      <c r="E2161" t="s">
        <v>207</v>
      </c>
      <c r="F2161" t="s">
        <v>481</v>
      </c>
      <c r="G2161" t="s">
        <v>482</v>
      </c>
      <c r="AQ2161">
        <v>0</v>
      </c>
      <c r="AR2161">
        <v>1272.5999999999999</v>
      </c>
      <c r="AS2161">
        <v>0</v>
      </c>
    </row>
    <row r="2162" spans="1:45" hidden="1">
      <c r="A2162" t="s">
        <v>301</v>
      </c>
      <c r="B2162" t="s">
        <v>762</v>
      </c>
      <c r="C2162" t="s">
        <v>711</v>
      </c>
      <c r="D2162" t="s">
        <v>488</v>
      </c>
      <c r="E2162" t="s">
        <v>207</v>
      </c>
      <c r="F2162" t="s">
        <v>489</v>
      </c>
      <c r="G2162" t="s">
        <v>490</v>
      </c>
      <c r="AQ2162">
        <v>0</v>
      </c>
      <c r="AR2162">
        <v>0.5353</v>
      </c>
      <c r="AS2162">
        <v>0</v>
      </c>
    </row>
    <row r="2163" spans="1:45" hidden="1">
      <c r="A2163" t="s">
        <v>301</v>
      </c>
      <c r="B2163" t="s">
        <v>762</v>
      </c>
      <c r="C2163" t="s">
        <v>712</v>
      </c>
      <c r="D2163" t="s">
        <v>483</v>
      </c>
      <c r="E2163" t="s">
        <v>207</v>
      </c>
      <c r="F2163" t="s">
        <v>484</v>
      </c>
      <c r="G2163" t="s">
        <v>392</v>
      </c>
      <c r="AQ2163">
        <v>0</v>
      </c>
      <c r="AR2163">
        <v>2121</v>
      </c>
      <c r="AS2163">
        <v>0</v>
      </c>
    </row>
    <row r="2164" spans="1:45" hidden="1">
      <c r="A2164" t="s">
        <v>301</v>
      </c>
      <c r="B2164" t="s">
        <v>762</v>
      </c>
      <c r="C2164" t="s">
        <v>713</v>
      </c>
      <c r="D2164" t="s">
        <v>485</v>
      </c>
      <c r="E2164" t="s">
        <v>207</v>
      </c>
      <c r="F2164" t="s">
        <v>486</v>
      </c>
      <c r="G2164" t="s">
        <v>487</v>
      </c>
      <c r="AQ2164">
        <v>0</v>
      </c>
      <c r="AR2164">
        <v>265.125</v>
      </c>
      <c r="AS2164">
        <v>0</v>
      </c>
    </row>
    <row r="2165" spans="1:45" hidden="1">
      <c r="A2165" t="s">
        <v>301</v>
      </c>
      <c r="B2165" t="s">
        <v>762</v>
      </c>
      <c r="C2165" t="s">
        <v>229</v>
      </c>
      <c r="D2165" t="s">
        <v>230</v>
      </c>
      <c r="E2165" t="s">
        <v>231</v>
      </c>
      <c r="F2165" t="s">
        <v>232</v>
      </c>
      <c r="G2165" t="s">
        <v>233</v>
      </c>
      <c r="H2165">
        <v>63</v>
      </c>
      <c r="I2165">
        <v>6</v>
      </c>
      <c r="J2165">
        <v>6</v>
      </c>
      <c r="K2165">
        <v>1</v>
      </c>
      <c r="AQ2165">
        <v>76</v>
      </c>
      <c r="AR2165">
        <v>1484.7</v>
      </c>
      <c r="AS2165">
        <v>112837.2</v>
      </c>
    </row>
    <row r="2166" spans="1:45" hidden="1">
      <c r="A2166" t="s">
        <v>301</v>
      </c>
      <c r="B2166" t="s">
        <v>762</v>
      </c>
      <c r="C2166" t="s">
        <v>234</v>
      </c>
      <c r="D2166" t="s">
        <v>230</v>
      </c>
      <c r="E2166" t="s">
        <v>231</v>
      </c>
      <c r="F2166" t="s">
        <v>285</v>
      </c>
      <c r="G2166" t="s">
        <v>233</v>
      </c>
      <c r="H2166">
        <v>25</v>
      </c>
      <c r="AQ2166">
        <v>25</v>
      </c>
      <c r="AR2166">
        <v>1696.8</v>
      </c>
      <c r="AS2166">
        <v>42420</v>
      </c>
    </row>
    <row r="2167" spans="1:45" hidden="1">
      <c r="A2167" t="s">
        <v>301</v>
      </c>
      <c r="B2167" t="s">
        <v>762</v>
      </c>
      <c r="C2167" t="s">
        <v>714</v>
      </c>
      <c r="D2167" t="s">
        <v>230</v>
      </c>
      <c r="E2167" t="s">
        <v>231</v>
      </c>
      <c r="F2167" t="s">
        <v>491</v>
      </c>
      <c r="G2167" t="s">
        <v>233</v>
      </c>
      <c r="AQ2167">
        <v>0</v>
      </c>
      <c r="AR2167">
        <v>1908.9</v>
      </c>
      <c r="AS2167">
        <v>0</v>
      </c>
    </row>
    <row r="2168" spans="1:45" hidden="1">
      <c r="A2168" t="s">
        <v>301</v>
      </c>
      <c r="B2168" t="s">
        <v>762</v>
      </c>
      <c r="C2168" t="s">
        <v>236</v>
      </c>
      <c r="D2168" t="s">
        <v>237</v>
      </c>
      <c r="E2168" t="s">
        <v>231</v>
      </c>
      <c r="F2168" t="s">
        <v>238</v>
      </c>
      <c r="G2168" t="s">
        <v>239</v>
      </c>
      <c r="H2168">
        <v>4</v>
      </c>
      <c r="AQ2168">
        <v>4</v>
      </c>
      <c r="AR2168">
        <v>265.125</v>
      </c>
      <c r="AS2168">
        <v>1060.5</v>
      </c>
    </row>
    <row r="2169" spans="1:45" hidden="1">
      <c r="A2169" t="s">
        <v>301</v>
      </c>
      <c r="B2169" t="s">
        <v>762</v>
      </c>
      <c r="C2169" t="s">
        <v>715</v>
      </c>
      <c r="D2169" t="s">
        <v>492</v>
      </c>
      <c r="E2169" t="s">
        <v>231</v>
      </c>
      <c r="F2169" t="s">
        <v>493</v>
      </c>
      <c r="G2169" t="s">
        <v>494</v>
      </c>
      <c r="K2169">
        <v>1</v>
      </c>
      <c r="AQ2169">
        <v>1</v>
      </c>
      <c r="AR2169">
        <v>742.35</v>
      </c>
      <c r="AS2169">
        <v>742.35</v>
      </c>
    </row>
    <row r="2170" spans="1:45" hidden="1">
      <c r="A2170" t="s">
        <v>301</v>
      </c>
      <c r="B2170" t="s">
        <v>762</v>
      </c>
      <c r="C2170" t="s">
        <v>716</v>
      </c>
      <c r="D2170" t="s">
        <v>495</v>
      </c>
      <c r="E2170" t="s">
        <v>231</v>
      </c>
      <c r="F2170" t="s">
        <v>496</v>
      </c>
      <c r="G2170" t="s">
        <v>497</v>
      </c>
      <c r="AQ2170">
        <v>0</v>
      </c>
      <c r="AR2170">
        <v>848.4</v>
      </c>
      <c r="AS2170">
        <v>0</v>
      </c>
    </row>
    <row r="2171" spans="1:45" hidden="1">
      <c r="A2171" t="s">
        <v>301</v>
      </c>
      <c r="B2171" t="s">
        <v>762</v>
      </c>
      <c r="C2171" t="s">
        <v>717</v>
      </c>
      <c r="D2171" t="s">
        <v>498</v>
      </c>
      <c r="E2171" t="s">
        <v>242</v>
      </c>
      <c r="F2171" t="s">
        <v>499</v>
      </c>
      <c r="G2171" t="s">
        <v>500</v>
      </c>
      <c r="AQ2171">
        <v>0</v>
      </c>
      <c r="AR2171">
        <v>1.4341999999999999</v>
      </c>
      <c r="AS2171">
        <v>0</v>
      </c>
    </row>
    <row r="2172" spans="1:45" hidden="1">
      <c r="A2172" t="s">
        <v>301</v>
      </c>
      <c r="B2172" t="s">
        <v>762</v>
      </c>
      <c r="C2172" t="s">
        <v>718</v>
      </c>
      <c r="D2172" t="s">
        <v>504</v>
      </c>
      <c r="E2172" t="s">
        <v>242</v>
      </c>
      <c r="F2172" t="s">
        <v>505</v>
      </c>
      <c r="G2172" t="s">
        <v>506</v>
      </c>
      <c r="AQ2172">
        <v>0</v>
      </c>
      <c r="AR2172">
        <v>0.84840000000000004</v>
      </c>
      <c r="AS2172">
        <v>0</v>
      </c>
    </row>
    <row r="2173" spans="1:45" hidden="1">
      <c r="A2173" t="s">
        <v>301</v>
      </c>
      <c r="B2173" t="s">
        <v>762</v>
      </c>
      <c r="C2173" t="s">
        <v>719</v>
      </c>
      <c r="D2173" t="s">
        <v>501</v>
      </c>
      <c r="E2173" t="s">
        <v>242</v>
      </c>
      <c r="F2173" t="s">
        <v>502</v>
      </c>
      <c r="G2173" t="s">
        <v>503</v>
      </c>
      <c r="AQ2173">
        <v>0</v>
      </c>
      <c r="AR2173">
        <v>1272.5999999999999</v>
      </c>
      <c r="AS2173">
        <v>0</v>
      </c>
    </row>
    <row r="2174" spans="1:45" hidden="1">
      <c r="A2174" t="s">
        <v>301</v>
      </c>
      <c r="B2174" t="s">
        <v>762</v>
      </c>
      <c r="C2174" t="s">
        <v>720</v>
      </c>
      <c r="D2174" t="s">
        <v>518</v>
      </c>
      <c r="E2174" t="s">
        <v>242</v>
      </c>
      <c r="F2174" t="s">
        <v>519</v>
      </c>
      <c r="G2174" t="s">
        <v>517</v>
      </c>
      <c r="AQ2174">
        <v>0</v>
      </c>
      <c r="AR2174">
        <v>3181.5</v>
      </c>
      <c r="AS2174">
        <v>0</v>
      </c>
    </row>
    <row r="2175" spans="1:45" hidden="1">
      <c r="A2175" t="s">
        <v>301</v>
      </c>
      <c r="B2175" t="s">
        <v>762</v>
      </c>
      <c r="C2175" t="s">
        <v>721</v>
      </c>
      <c r="D2175" t="s">
        <v>520</v>
      </c>
      <c r="E2175" t="s">
        <v>242</v>
      </c>
      <c r="F2175" t="s">
        <v>521</v>
      </c>
      <c r="G2175" t="s">
        <v>517</v>
      </c>
      <c r="AQ2175">
        <v>0</v>
      </c>
      <c r="AR2175">
        <v>2651.25</v>
      </c>
      <c r="AS2175">
        <v>0</v>
      </c>
    </row>
    <row r="2176" spans="1:45" hidden="1">
      <c r="A2176" t="s">
        <v>301</v>
      </c>
      <c r="B2176" t="s">
        <v>762</v>
      </c>
      <c r="C2176" t="s">
        <v>240</v>
      </c>
      <c r="D2176" t="s">
        <v>241</v>
      </c>
      <c r="E2176" t="s">
        <v>242</v>
      </c>
      <c r="F2176" t="s">
        <v>243</v>
      </c>
      <c r="G2176" t="s">
        <v>244</v>
      </c>
      <c r="AQ2176">
        <v>0</v>
      </c>
      <c r="AR2176">
        <v>318.14999999999998</v>
      </c>
      <c r="AS2176">
        <v>0</v>
      </c>
    </row>
    <row r="2177" spans="1:45" hidden="1">
      <c r="A2177" t="s">
        <v>301</v>
      </c>
      <c r="B2177" t="s">
        <v>762</v>
      </c>
      <c r="C2177" t="s">
        <v>245</v>
      </c>
      <c r="D2177" t="s">
        <v>246</v>
      </c>
      <c r="E2177" t="s">
        <v>242</v>
      </c>
      <c r="F2177" t="s">
        <v>247</v>
      </c>
      <c r="G2177" t="s">
        <v>248</v>
      </c>
      <c r="H2177">
        <v>27</v>
      </c>
      <c r="I2177">
        <v>2</v>
      </c>
      <c r="J2177">
        <v>3</v>
      </c>
      <c r="K2177">
        <v>1</v>
      </c>
      <c r="L2177">
        <v>1</v>
      </c>
      <c r="AQ2177">
        <v>34</v>
      </c>
      <c r="AR2177">
        <v>265.125</v>
      </c>
      <c r="AS2177">
        <v>9014.25</v>
      </c>
    </row>
    <row r="2178" spans="1:45" hidden="1">
      <c r="A2178" t="s">
        <v>301</v>
      </c>
      <c r="B2178" t="s">
        <v>762</v>
      </c>
      <c r="C2178" t="s">
        <v>259</v>
      </c>
      <c r="D2178" t="s">
        <v>260</v>
      </c>
      <c r="E2178" t="s">
        <v>242</v>
      </c>
      <c r="F2178" t="s">
        <v>261</v>
      </c>
      <c r="G2178" t="s">
        <v>262</v>
      </c>
      <c r="H2178">
        <v>101</v>
      </c>
      <c r="AQ2178">
        <v>101</v>
      </c>
      <c r="AR2178">
        <v>318.14999999999998</v>
      </c>
      <c r="AS2178">
        <v>32133.15</v>
      </c>
    </row>
    <row r="2179" spans="1:45" hidden="1">
      <c r="A2179" t="s">
        <v>301</v>
      </c>
      <c r="B2179" t="s">
        <v>762</v>
      </c>
      <c r="C2179" t="s">
        <v>722</v>
      </c>
      <c r="D2179" t="s">
        <v>507</v>
      </c>
      <c r="E2179" t="s">
        <v>242</v>
      </c>
      <c r="F2179" t="s">
        <v>508</v>
      </c>
      <c r="G2179" t="s">
        <v>509</v>
      </c>
      <c r="AQ2179">
        <v>0</v>
      </c>
      <c r="AR2179">
        <v>2121</v>
      </c>
      <c r="AS2179">
        <v>0</v>
      </c>
    </row>
    <row r="2180" spans="1:45" hidden="1">
      <c r="A2180" t="s">
        <v>301</v>
      </c>
      <c r="B2180" t="s">
        <v>762</v>
      </c>
      <c r="C2180" t="s">
        <v>723</v>
      </c>
      <c r="D2180" t="s">
        <v>510</v>
      </c>
      <c r="E2180" t="s">
        <v>242</v>
      </c>
      <c r="F2180" t="s">
        <v>511</v>
      </c>
      <c r="G2180" t="s">
        <v>512</v>
      </c>
      <c r="AQ2180">
        <v>0</v>
      </c>
      <c r="AR2180">
        <v>212.1</v>
      </c>
      <c r="AS2180">
        <v>0</v>
      </c>
    </row>
    <row r="2181" spans="1:45" hidden="1">
      <c r="A2181" t="s">
        <v>301</v>
      </c>
      <c r="B2181" t="s">
        <v>762</v>
      </c>
      <c r="C2181" t="s">
        <v>724</v>
      </c>
      <c r="D2181" t="s">
        <v>526</v>
      </c>
      <c r="E2181" t="s">
        <v>242</v>
      </c>
      <c r="F2181" t="s">
        <v>527</v>
      </c>
      <c r="G2181" t="s">
        <v>528</v>
      </c>
      <c r="AQ2181">
        <v>0</v>
      </c>
      <c r="AR2181">
        <v>0.42420000000000002</v>
      </c>
      <c r="AS2181">
        <v>0</v>
      </c>
    </row>
    <row r="2182" spans="1:45" hidden="1">
      <c r="A2182" t="s">
        <v>301</v>
      </c>
      <c r="B2182" t="s">
        <v>762</v>
      </c>
      <c r="C2182" t="s">
        <v>725</v>
      </c>
      <c r="D2182" t="s">
        <v>529</v>
      </c>
      <c r="E2182" t="s">
        <v>242</v>
      </c>
      <c r="F2182" t="s">
        <v>530</v>
      </c>
      <c r="G2182" t="s">
        <v>531</v>
      </c>
      <c r="AQ2182">
        <v>0</v>
      </c>
      <c r="AR2182">
        <v>212.1</v>
      </c>
      <c r="AS2182">
        <v>0</v>
      </c>
    </row>
    <row r="2183" spans="1:45" hidden="1">
      <c r="A2183" t="s">
        <v>301</v>
      </c>
      <c r="B2183" t="s">
        <v>762</v>
      </c>
      <c r="C2183" t="s">
        <v>726</v>
      </c>
      <c r="D2183" t="s">
        <v>532</v>
      </c>
      <c r="E2183" t="s">
        <v>242</v>
      </c>
      <c r="F2183" t="s">
        <v>533</v>
      </c>
      <c r="G2183" t="s">
        <v>534</v>
      </c>
      <c r="AQ2183">
        <v>0</v>
      </c>
      <c r="AR2183">
        <v>21.21</v>
      </c>
      <c r="AS2183">
        <v>0</v>
      </c>
    </row>
    <row r="2184" spans="1:45" hidden="1">
      <c r="A2184" t="s">
        <v>301</v>
      </c>
      <c r="B2184" t="s">
        <v>762</v>
      </c>
      <c r="C2184" t="s">
        <v>727</v>
      </c>
      <c r="D2184" t="s">
        <v>287</v>
      </c>
      <c r="E2184" t="s">
        <v>242</v>
      </c>
      <c r="F2184" t="s">
        <v>537</v>
      </c>
      <c r="G2184" t="s">
        <v>538</v>
      </c>
      <c r="AQ2184">
        <v>0</v>
      </c>
      <c r="AR2184">
        <v>127.26</v>
      </c>
      <c r="AS2184">
        <v>0</v>
      </c>
    </row>
    <row r="2185" spans="1:45" hidden="1">
      <c r="A2185" t="s">
        <v>301</v>
      </c>
      <c r="B2185" t="s">
        <v>762</v>
      </c>
      <c r="C2185" t="s">
        <v>728</v>
      </c>
      <c r="D2185" t="s">
        <v>287</v>
      </c>
      <c r="E2185" t="s">
        <v>242</v>
      </c>
      <c r="F2185" t="s">
        <v>535</v>
      </c>
      <c r="G2185" t="s">
        <v>536</v>
      </c>
      <c r="AQ2185">
        <v>0</v>
      </c>
      <c r="AR2185">
        <v>424.2</v>
      </c>
      <c r="AS2185">
        <v>0</v>
      </c>
    </row>
    <row r="2186" spans="1:45" hidden="1">
      <c r="A2186" t="s">
        <v>301</v>
      </c>
      <c r="B2186" t="s">
        <v>762</v>
      </c>
      <c r="C2186" t="s">
        <v>729</v>
      </c>
      <c r="D2186" t="s">
        <v>522</v>
      </c>
      <c r="E2186" t="s">
        <v>242</v>
      </c>
      <c r="F2186" t="s">
        <v>523</v>
      </c>
      <c r="G2186" t="s">
        <v>517</v>
      </c>
      <c r="AQ2186">
        <v>0</v>
      </c>
      <c r="AR2186">
        <v>1272.5999999999999</v>
      </c>
      <c r="AS2186">
        <v>0</v>
      </c>
    </row>
    <row r="2187" spans="1:45" hidden="1">
      <c r="A2187" t="s">
        <v>301</v>
      </c>
      <c r="B2187" t="s">
        <v>762</v>
      </c>
      <c r="C2187" t="s">
        <v>730</v>
      </c>
      <c r="D2187" t="s">
        <v>515</v>
      </c>
      <c r="E2187" t="s">
        <v>242</v>
      </c>
      <c r="F2187" t="s">
        <v>516</v>
      </c>
      <c r="G2187" t="s">
        <v>517</v>
      </c>
      <c r="AQ2187">
        <v>0</v>
      </c>
      <c r="AR2187">
        <v>3181.5</v>
      </c>
      <c r="AS2187">
        <v>0</v>
      </c>
    </row>
    <row r="2188" spans="1:45" hidden="1">
      <c r="A2188" t="s">
        <v>301</v>
      </c>
      <c r="B2188" t="s">
        <v>762</v>
      </c>
      <c r="C2188" t="s">
        <v>731</v>
      </c>
      <c r="D2188" t="s">
        <v>524</v>
      </c>
      <c r="E2188" t="s">
        <v>242</v>
      </c>
      <c r="F2188" t="s">
        <v>525</v>
      </c>
      <c r="G2188" t="s">
        <v>503</v>
      </c>
      <c r="AQ2188">
        <v>0</v>
      </c>
      <c r="AR2188">
        <v>15907.5</v>
      </c>
      <c r="AS2188">
        <v>0</v>
      </c>
    </row>
    <row r="2189" spans="1:45" hidden="1">
      <c r="A2189" t="s">
        <v>301</v>
      </c>
      <c r="B2189" t="s">
        <v>762</v>
      </c>
      <c r="C2189" t="s">
        <v>732</v>
      </c>
      <c r="D2189" t="s">
        <v>513</v>
      </c>
      <c r="E2189" t="s">
        <v>242</v>
      </c>
      <c r="F2189" t="s">
        <v>514</v>
      </c>
      <c r="G2189" t="s">
        <v>453</v>
      </c>
      <c r="AQ2189">
        <v>0</v>
      </c>
      <c r="AR2189">
        <v>848.4</v>
      </c>
      <c r="AS2189">
        <v>0</v>
      </c>
    </row>
    <row r="2190" spans="1:45" hidden="1">
      <c r="A2190" t="s">
        <v>301</v>
      </c>
      <c r="B2190" t="s">
        <v>762</v>
      </c>
      <c r="C2190" t="s">
        <v>733</v>
      </c>
      <c r="D2190" t="s">
        <v>287</v>
      </c>
      <c r="E2190" t="s">
        <v>242</v>
      </c>
      <c r="F2190" t="s">
        <v>539</v>
      </c>
      <c r="G2190" t="s">
        <v>540</v>
      </c>
      <c r="AQ2190">
        <v>0</v>
      </c>
      <c r="AR2190">
        <v>8.08</v>
      </c>
      <c r="AS2190">
        <v>0</v>
      </c>
    </row>
    <row r="2191" spans="1:45" hidden="1">
      <c r="A2191" t="s">
        <v>301</v>
      </c>
      <c r="B2191" t="s">
        <v>762</v>
      </c>
      <c r="C2191" t="s">
        <v>734</v>
      </c>
      <c r="D2191" t="s">
        <v>287</v>
      </c>
      <c r="E2191" t="s">
        <v>242</v>
      </c>
      <c r="F2191" t="s">
        <v>541</v>
      </c>
      <c r="G2191" t="s">
        <v>540</v>
      </c>
      <c r="AQ2191">
        <v>0</v>
      </c>
      <c r="AR2191">
        <v>7.4740000000000002</v>
      </c>
      <c r="AS2191">
        <v>0</v>
      </c>
    </row>
    <row r="2192" spans="1:45" hidden="1">
      <c r="A2192" t="s">
        <v>301</v>
      </c>
      <c r="B2192" t="s">
        <v>762</v>
      </c>
      <c r="C2192" t="s">
        <v>735</v>
      </c>
      <c r="D2192" t="s">
        <v>543</v>
      </c>
      <c r="E2192" t="s">
        <v>542</v>
      </c>
      <c r="F2192" t="s">
        <v>544</v>
      </c>
      <c r="G2192" t="s">
        <v>545</v>
      </c>
      <c r="AQ2192">
        <v>0</v>
      </c>
      <c r="AR2192">
        <v>0</v>
      </c>
      <c r="AS2192">
        <v>0</v>
      </c>
    </row>
    <row r="2193" spans="1:45" hidden="1">
      <c r="A2193" t="s">
        <v>301</v>
      </c>
      <c r="B2193" t="s">
        <v>762</v>
      </c>
      <c r="C2193" t="s">
        <v>286</v>
      </c>
      <c r="D2193" t="s">
        <v>287</v>
      </c>
      <c r="E2193" t="s">
        <v>288</v>
      </c>
      <c r="F2193" t="s">
        <v>289</v>
      </c>
      <c r="G2193" t="s">
        <v>547</v>
      </c>
      <c r="AQ2193">
        <v>0</v>
      </c>
      <c r="AR2193">
        <v>0.05</v>
      </c>
      <c r="AS2193">
        <v>102703.6781</v>
      </c>
    </row>
    <row r="2194" spans="1:45" hidden="1">
      <c r="A2194" t="s">
        <v>301</v>
      </c>
      <c r="B2194" t="s">
        <v>762</v>
      </c>
      <c r="C2194" t="s">
        <v>291</v>
      </c>
      <c r="D2194" t="s">
        <v>287</v>
      </c>
      <c r="E2194" t="s">
        <v>288</v>
      </c>
      <c r="F2194" t="s">
        <v>292</v>
      </c>
      <c r="G2194" t="s">
        <v>293</v>
      </c>
      <c r="AQ2194">
        <v>0</v>
      </c>
      <c r="AR2194">
        <v>6.0600000000000001E-2</v>
      </c>
      <c r="AS2194">
        <v>0</v>
      </c>
    </row>
    <row r="2195" spans="1:45" hidden="1">
      <c r="A2195" t="s">
        <v>301</v>
      </c>
      <c r="B2195" t="s">
        <v>762</v>
      </c>
      <c r="C2195" t="s">
        <v>736</v>
      </c>
      <c r="D2195" t="s">
        <v>287</v>
      </c>
      <c r="E2195" t="s">
        <v>288</v>
      </c>
      <c r="F2195" t="s">
        <v>550</v>
      </c>
      <c r="G2195" t="s">
        <v>293</v>
      </c>
      <c r="AQ2195">
        <v>0</v>
      </c>
      <c r="AR2195">
        <v>5.0500000000000003E-2</v>
      </c>
      <c r="AS2195">
        <v>0</v>
      </c>
    </row>
    <row r="2196" spans="1:45" hidden="1">
      <c r="A2196" t="s">
        <v>301</v>
      </c>
      <c r="B2196" t="s">
        <v>762</v>
      </c>
      <c r="C2196" t="s">
        <v>737</v>
      </c>
      <c r="D2196" t="s">
        <v>287</v>
      </c>
      <c r="E2196" t="s">
        <v>288</v>
      </c>
      <c r="F2196" t="s">
        <v>548</v>
      </c>
      <c r="G2196" t="s">
        <v>293</v>
      </c>
      <c r="AQ2196">
        <v>0</v>
      </c>
      <c r="AR2196">
        <v>0.1111</v>
      </c>
      <c r="AS2196">
        <v>0</v>
      </c>
    </row>
    <row r="2197" spans="1:45" hidden="1">
      <c r="A2197" t="s">
        <v>301</v>
      </c>
      <c r="B2197" t="s">
        <v>762</v>
      </c>
      <c r="C2197" t="s">
        <v>738</v>
      </c>
      <c r="D2197" t="s">
        <v>287</v>
      </c>
      <c r="E2197" t="s">
        <v>288</v>
      </c>
      <c r="F2197" t="s">
        <v>549</v>
      </c>
      <c r="G2197" t="s">
        <v>293</v>
      </c>
      <c r="AQ2197">
        <v>0</v>
      </c>
      <c r="AR2197">
        <v>0.10100000000000001</v>
      </c>
      <c r="AS2197">
        <v>0</v>
      </c>
    </row>
    <row r="2198" spans="1:45" hidden="1">
      <c r="A2198" t="s">
        <v>299</v>
      </c>
      <c r="B2198" t="s">
        <v>761</v>
      </c>
      <c r="C2198" t="s">
        <v>641</v>
      </c>
      <c r="D2198" t="s">
        <v>324</v>
      </c>
      <c r="E2198" t="s">
        <v>323</v>
      </c>
      <c r="F2198" t="s">
        <v>325</v>
      </c>
      <c r="G2198" t="s">
        <v>326</v>
      </c>
      <c r="H2198">
        <v>3300000</v>
      </c>
      <c r="I2198">
        <v>125000</v>
      </c>
      <c r="J2198">
        <v>500000</v>
      </c>
      <c r="K2198">
        <v>0</v>
      </c>
      <c r="AQ2198">
        <v>3925000</v>
      </c>
      <c r="AR2198">
        <v>1.35E-2</v>
      </c>
      <c r="AS2198">
        <v>52987.5</v>
      </c>
    </row>
    <row r="2199" spans="1:45" hidden="1">
      <c r="A2199" t="s">
        <v>299</v>
      </c>
      <c r="B2199" t="s">
        <v>761</v>
      </c>
      <c r="C2199" t="s">
        <v>642</v>
      </c>
      <c r="D2199" t="s">
        <v>327</v>
      </c>
      <c r="E2199" t="s">
        <v>323</v>
      </c>
      <c r="F2199" t="s">
        <v>328</v>
      </c>
      <c r="G2199" t="s">
        <v>329</v>
      </c>
      <c r="K2199">
        <v>0</v>
      </c>
      <c r="AQ2199">
        <v>0</v>
      </c>
      <c r="AR2199">
        <v>5.9330000000000001E-2</v>
      </c>
      <c r="AS2199">
        <v>0</v>
      </c>
    </row>
    <row r="2200" spans="1:45" hidden="1">
      <c r="A2200" t="s">
        <v>299</v>
      </c>
      <c r="B2200" t="s">
        <v>761</v>
      </c>
      <c r="C2200" t="s">
        <v>643</v>
      </c>
      <c r="D2200" t="s">
        <v>330</v>
      </c>
      <c r="E2200" t="s">
        <v>323</v>
      </c>
      <c r="F2200" t="s">
        <v>331</v>
      </c>
      <c r="G2200" t="s">
        <v>740</v>
      </c>
      <c r="H2200">
        <v>0</v>
      </c>
      <c r="I2200">
        <v>0</v>
      </c>
      <c r="J2200">
        <v>0</v>
      </c>
      <c r="K2200">
        <v>0</v>
      </c>
      <c r="AQ2200">
        <v>0</v>
      </c>
      <c r="AR2200">
        <v>0.1</v>
      </c>
      <c r="AS2200">
        <v>0</v>
      </c>
    </row>
    <row r="2201" spans="1:45" hidden="1">
      <c r="A2201" t="s">
        <v>299</v>
      </c>
      <c r="B2201" t="s">
        <v>761</v>
      </c>
      <c r="C2201" t="s">
        <v>644</v>
      </c>
      <c r="D2201" t="s">
        <v>332</v>
      </c>
      <c r="E2201" t="s">
        <v>323</v>
      </c>
      <c r="F2201" t="s">
        <v>333</v>
      </c>
      <c r="G2201" t="s">
        <v>740</v>
      </c>
      <c r="H2201">
        <v>0</v>
      </c>
      <c r="I2201">
        <v>0</v>
      </c>
      <c r="J2201">
        <v>0</v>
      </c>
      <c r="K2201">
        <v>0</v>
      </c>
      <c r="AQ2201">
        <v>0</v>
      </c>
      <c r="AR2201">
        <v>0.125</v>
      </c>
      <c r="AS2201">
        <v>0</v>
      </c>
    </row>
    <row r="2202" spans="1:45" hidden="1">
      <c r="A2202" t="s">
        <v>299</v>
      </c>
      <c r="B2202" t="s">
        <v>761</v>
      </c>
      <c r="C2202" t="s">
        <v>645</v>
      </c>
      <c r="D2202" t="s">
        <v>334</v>
      </c>
      <c r="E2202" t="s">
        <v>323</v>
      </c>
      <c r="F2202" t="s">
        <v>335</v>
      </c>
      <c r="G2202" t="s">
        <v>329</v>
      </c>
      <c r="H2202">
        <v>0</v>
      </c>
      <c r="I2202">
        <v>0</v>
      </c>
      <c r="J2202">
        <v>0</v>
      </c>
      <c r="K2202">
        <v>0</v>
      </c>
      <c r="AQ2202">
        <v>0</v>
      </c>
      <c r="AR2202">
        <v>0.28000000000000003</v>
      </c>
    </row>
    <row r="2203" spans="1:45" hidden="1">
      <c r="A2203" t="s">
        <v>299</v>
      </c>
      <c r="B2203" t="s">
        <v>761</v>
      </c>
      <c r="C2203" t="s">
        <v>646</v>
      </c>
      <c r="D2203" t="s">
        <v>137</v>
      </c>
      <c r="E2203" t="s">
        <v>138</v>
      </c>
      <c r="F2203" t="s">
        <v>337</v>
      </c>
      <c r="G2203" t="s">
        <v>140</v>
      </c>
      <c r="H2203">
        <v>1</v>
      </c>
      <c r="I2203">
        <v>0</v>
      </c>
      <c r="J2203">
        <v>0</v>
      </c>
      <c r="K2203">
        <v>1</v>
      </c>
      <c r="AQ2203">
        <v>2</v>
      </c>
      <c r="AR2203">
        <v>212.1</v>
      </c>
      <c r="AS2203">
        <v>424.2</v>
      </c>
    </row>
    <row r="2204" spans="1:45" hidden="1">
      <c r="A2204" t="s">
        <v>299</v>
      </c>
      <c r="B2204" t="s">
        <v>761</v>
      </c>
      <c r="C2204" t="s">
        <v>136</v>
      </c>
      <c r="D2204" t="s">
        <v>137</v>
      </c>
      <c r="E2204" t="s">
        <v>138</v>
      </c>
      <c r="F2204" t="s">
        <v>139</v>
      </c>
      <c r="G2204" t="s">
        <v>140</v>
      </c>
      <c r="H2204">
        <v>0</v>
      </c>
      <c r="I2204">
        <v>2</v>
      </c>
      <c r="J2204">
        <v>0</v>
      </c>
      <c r="K2204">
        <v>0</v>
      </c>
      <c r="AQ2204">
        <v>2</v>
      </c>
      <c r="AR2204">
        <v>1696.8</v>
      </c>
      <c r="AS2204">
        <v>3393.6</v>
      </c>
    </row>
    <row r="2205" spans="1:45" hidden="1">
      <c r="A2205" t="s">
        <v>299</v>
      </c>
      <c r="B2205" t="s">
        <v>761</v>
      </c>
      <c r="C2205" t="s">
        <v>143</v>
      </c>
      <c r="D2205" t="s">
        <v>137</v>
      </c>
      <c r="E2205" t="s">
        <v>138</v>
      </c>
      <c r="F2205" t="s">
        <v>277</v>
      </c>
      <c r="G2205" t="s">
        <v>140</v>
      </c>
      <c r="H2205">
        <v>1</v>
      </c>
      <c r="I2205">
        <v>5</v>
      </c>
      <c r="J2205">
        <v>2</v>
      </c>
      <c r="K2205">
        <v>0</v>
      </c>
      <c r="AQ2205">
        <v>8</v>
      </c>
      <c r="AR2205">
        <v>3923.85</v>
      </c>
      <c r="AS2205">
        <v>31390.799999999999</v>
      </c>
    </row>
    <row r="2206" spans="1:45" hidden="1">
      <c r="A2206" t="s">
        <v>299</v>
      </c>
      <c r="B2206" t="s">
        <v>761</v>
      </c>
      <c r="C2206" t="s">
        <v>647</v>
      </c>
      <c r="D2206" t="s">
        <v>137</v>
      </c>
      <c r="E2206" t="s">
        <v>138</v>
      </c>
      <c r="F2206" t="s">
        <v>338</v>
      </c>
      <c r="G2206" t="s">
        <v>140</v>
      </c>
      <c r="H2206">
        <v>4</v>
      </c>
      <c r="I2206">
        <v>0</v>
      </c>
      <c r="J2206">
        <v>2</v>
      </c>
      <c r="K2206">
        <v>0</v>
      </c>
      <c r="AQ2206">
        <v>6</v>
      </c>
      <c r="AR2206">
        <v>6893.25</v>
      </c>
      <c r="AS2206">
        <v>41359.5</v>
      </c>
    </row>
    <row r="2207" spans="1:45" hidden="1">
      <c r="A2207" t="s">
        <v>299</v>
      </c>
      <c r="B2207" t="s">
        <v>761</v>
      </c>
      <c r="C2207" t="s">
        <v>648</v>
      </c>
      <c r="D2207" t="s">
        <v>342</v>
      </c>
      <c r="E2207" t="s">
        <v>138</v>
      </c>
      <c r="F2207" t="s">
        <v>343</v>
      </c>
      <c r="G2207" t="s">
        <v>140</v>
      </c>
      <c r="H2207">
        <v>0</v>
      </c>
      <c r="I2207">
        <v>0</v>
      </c>
      <c r="J2207">
        <v>0</v>
      </c>
      <c r="K2207">
        <v>0</v>
      </c>
      <c r="AQ2207">
        <v>0</v>
      </c>
      <c r="AR2207">
        <v>13786.5</v>
      </c>
      <c r="AS2207">
        <v>0</v>
      </c>
    </row>
    <row r="2208" spans="1:45" hidden="1">
      <c r="A2208" t="s">
        <v>299</v>
      </c>
      <c r="B2208" t="s">
        <v>761</v>
      </c>
      <c r="C2208" t="s">
        <v>649</v>
      </c>
      <c r="D2208" t="s">
        <v>344</v>
      </c>
      <c r="E2208" t="s">
        <v>138</v>
      </c>
      <c r="F2208" t="s">
        <v>345</v>
      </c>
      <c r="G2208" t="s">
        <v>346</v>
      </c>
      <c r="H2208">
        <v>18</v>
      </c>
      <c r="I2208">
        <v>0</v>
      </c>
      <c r="J2208">
        <v>44</v>
      </c>
      <c r="K2208">
        <v>0</v>
      </c>
      <c r="AQ2208">
        <v>62</v>
      </c>
      <c r="AR2208">
        <v>11.11</v>
      </c>
      <c r="AS2208">
        <v>688.82</v>
      </c>
    </row>
    <row r="2209" spans="1:45" hidden="1">
      <c r="A2209" t="s">
        <v>299</v>
      </c>
      <c r="B2209" t="s">
        <v>761</v>
      </c>
      <c r="C2209" t="s">
        <v>650</v>
      </c>
      <c r="D2209" t="s">
        <v>339</v>
      </c>
      <c r="E2209" t="s">
        <v>138</v>
      </c>
      <c r="F2209" t="s">
        <v>340</v>
      </c>
      <c r="G2209" t="s">
        <v>341</v>
      </c>
      <c r="H2209">
        <v>1</v>
      </c>
      <c r="I2209">
        <v>1</v>
      </c>
      <c r="J2209">
        <v>1</v>
      </c>
      <c r="K2209">
        <v>0</v>
      </c>
      <c r="AQ2209">
        <v>3</v>
      </c>
      <c r="AR2209">
        <v>557.52</v>
      </c>
      <c r="AS2209">
        <v>1672.56</v>
      </c>
    </row>
    <row r="2210" spans="1:45" hidden="1">
      <c r="A2210" t="s">
        <v>299</v>
      </c>
      <c r="B2210" t="s">
        <v>761</v>
      </c>
      <c r="C2210" t="s">
        <v>651</v>
      </c>
      <c r="D2210" t="s">
        <v>347</v>
      </c>
      <c r="E2210" t="s">
        <v>138</v>
      </c>
      <c r="F2210" t="s">
        <v>350</v>
      </c>
      <c r="G2210" t="s">
        <v>349</v>
      </c>
      <c r="H2210">
        <v>2</v>
      </c>
      <c r="I2210">
        <v>0</v>
      </c>
      <c r="J2210">
        <v>0</v>
      </c>
      <c r="K2210">
        <v>0</v>
      </c>
      <c r="AQ2210">
        <v>2</v>
      </c>
      <c r="AR2210">
        <v>234.32</v>
      </c>
      <c r="AS2210">
        <v>468.64</v>
      </c>
    </row>
    <row r="2211" spans="1:45" hidden="1">
      <c r="A2211" t="s">
        <v>299</v>
      </c>
      <c r="B2211" t="s">
        <v>761</v>
      </c>
      <c r="C2211" t="s">
        <v>652</v>
      </c>
      <c r="D2211" t="s">
        <v>347</v>
      </c>
      <c r="E2211" t="s">
        <v>138</v>
      </c>
      <c r="F2211" t="s">
        <v>348</v>
      </c>
      <c r="G2211" t="s">
        <v>349</v>
      </c>
      <c r="H2211">
        <v>16</v>
      </c>
      <c r="I2211">
        <v>5</v>
      </c>
      <c r="J2211">
        <v>11</v>
      </c>
      <c r="K2211">
        <v>0</v>
      </c>
      <c r="AQ2211">
        <v>32</v>
      </c>
      <c r="AR2211">
        <v>456.52</v>
      </c>
      <c r="AS2211">
        <v>14608.64</v>
      </c>
    </row>
    <row r="2212" spans="1:45" hidden="1">
      <c r="A2212" t="s">
        <v>299</v>
      </c>
      <c r="B2212" t="s">
        <v>761</v>
      </c>
      <c r="C2212" t="s">
        <v>653</v>
      </c>
      <c r="D2212" t="s">
        <v>347</v>
      </c>
      <c r="E2212" t="s">
        <v>138</v>
      </c>
      <c r="F2212" t="s">
        <v>351</v>
      </c>
      <c r="G2212" t="s">
        <v>349</v>
      </c>
      <c r="H2212">
        <v>0</v>
      </c>
      <c r="I2212">
        <v>0</v>
      </c>
      <c r="J2212">
        <v>0</v>
      </c>
      <c r="K2212">
        <v>0</v>
      </c>
      <c r="AQ2212">
        <v>0</v>
      </c>
      <c r="AR2212">
        <v>679.73</v>
      </c>
      <c r="AS2212">
        <v>0</v>
      </c>
    </row>
    <row r="2213" spans="1:45" hidden="1">
      <c r="A2213" t="s">
        <v>299</v>
      </c>
      <c r="B2213" t="s">
        <v>761</v>
      </c>
      <c r="C2213" t="s">
        <v>654</v>
      </c>
      <c r="D2213" t="s">
        <v>352</v>
      </c>
      <c r="E2213" t="s">
        <v>138</v>
      </c>
      <c r="F2213" t="s">
        <v>353</v>
      </c>
      <c r="G2213" t="s">
        <v>354</v>
      </c>
      <c r="H2213">
        <v>2</v>
      </c>
      <c r="I2213">
        <v>0</v>
      </c>
      <c r="J2213">
        <v>0</v>
      </c>
      <c r="K2213">
        <v>0</v>
      </c>
      <c r="AQ2213">
        <v>2</v>
      </c>
      <c r="AR2213">
        <v>3923.85</v>
      </c>
      <c r="AS2213">
        <v>7847.7</v>
      </c>
    </row>
    <row r="2214" spans="1:45" hidden="1">
      <c r="A2214" t="s">
        <v>299</v>
      </c>
      <c r="B2214" t="s">
        <v>761</v>
      </c>
      <c r="C2214" t="s">
        <v>655</v>
      </c>
      <c r="D2214" t="s">
        <v>355</v>
      </c>
      <c r="E2214" t="s">
        <v>138</v>
      </c>
      <c r="F2214" t="s">
        <v>356</v>
      </c>
      <c r="G2214" t="s">
        <v>357</v>
      </c>
      <c r="H2214">
        <v>0</v>
      </c>
      <c r="I2214">
        <v>0</v>
      </c>
      <c r="J2214">
        <v>0</v>
      </c>
      <c r="K2214">
        <v>0</v>
      </c>
      <c r="AQ2214">
        <v>0</v>
      </c>
      <c r="AR2214">
        <v>556.51</v>
      </c>
      <c r="AS2214">
        <v>0</v>
      </c>
    </row>
    <row r="2215" spans="1:45" hidden="1">
      <c r="A2215" t="s">
        <v>299</v>
      </c>
      <c r="B2215" t="s">
        <v>761</v>
      </c>
      <c r="C2215" t="s">
        <v>656</v>
      </c>
      <c r="D2215" t="s">
        <v>358</v>
      </c>
      <c r="E2215" t="s">
        <v>138</v>
      </c>
      <c r="F2215" t="s">
        <v>359</v>
      </c>
      <c r="G2215" t="s">
        <v>360</v>
      </c>
      <c r="H2215">
        <v>0</v>
      </c>
      <c r="I2215">
        <v>0</v>
      </c>
      <c r="J2215">
        <v>0</v>
      </c>
      <c r="K2215">
        <v>0</v>
      </c>
      <c r="AQ2215">
        <v>0</v>
      </c>
      <c r="AR2215">
        <v>334.31</v>
      </c>
      <c r="AS2215">
        <v>0</v>
      </c>
    </row>
    <row r="2216" spans="1:45" hidden="1">
      <c r="A2216" t="s">
        <v>299</v>
      </c>
      <c r="B2216" t="s">
        <v>761</v>
      </c>
      <c r="C2216" t="s">
        <v>657</v>
      </c>
      <c r="D2216" t="s">
        <v>361</v>
      </c>
      <c r="E2216" t="s">
        <v>138</v>
      </c>
      <c r="F2216" t="s">
        <v>362</v>
      </c>
      <c r="G2216" t="s">
        <v>363</v>
      </c>
      <c r="H2216">
        <v>13600</v>
      </c>
      <c r="I2216">
        <v>0</v>
      </c>
      <c r="J2216">
        <v>6800</v>
      </c>
      <c r="K2216">
        <v>0</v>
      </c>
      <c r="AQ2216">
        <v>20400</v>
      </c>
      <c r="AR2216">
        <v>1.0605</v>
      </c>
      <c r="AS2216">
        <v>21634.2</v>
      </c>
    </row>
    <row r="2217" spans="1:45" hidden="1">
      <c r="A2217" t="s">
        <v>299</v>
      </c>
      <c r="B2217" t="s">
        <v>761</v>
      </c>
      <c r="C2217" t="s">
        <v>658</v>
      </c>
      <c r="D2217" t="s">
        <v>364</v>
      </c>
      <c r="E2217" t="s">
        <v>138</v>
      </c>
      <c r="F2217" t="s">
        <v>366</v>
      </c>
      <c r="G2217" t="s">
        <v>363</v>
      </c>
      <c r="H2217">
        <v>0</v>
      </c>
      <c r="I2217">
        <v>0</v>
      </c>
      <c r="J2217">
        <v>0</v>
      </c>
      <c r="K2217">
        <v>0</v>
      </c>
      <c r="AQ2217">
        <v>0</v>
      </c>
      <c r="AR2217">
        <v>4.242</v>
      </c>
      <c r="AS2217">
        <v>0</v>
      </c>
    </row>
    <row r="2218" spans="1:45" hidden="1">
      <c r="A2218" t="s">
        <v>299</v>
      </c>
      <c r="B2218" t="s">
        <v>761</v>
      </c>
      <c r="C2218" t="s">
        <v>659</v>
      </c>
      <c r="D2218" t="s">
        <v>364</v>
      </c>
      <c r="E2218" t="s">
        <v>138</v>
      </c>
      <c r="F2218" t="s">
        <v>365</v>
      </c>
      <c r="G2218" t="s">
        <v>363</v>
      </c>
      <c r="H2218">
        <v>0</v>
      </c>
      <c r="I2218">
        <v>0</v>
      </c>
      <c r="J2218">
        <v>6800</v>
      </c>
      <c r="K2218">
        <v>0</v>
      </c>
      <c r="AQ2218">
        <v>6800</v>
      </c>
      <c r="AR2218">
        <v>8.484</v>
      </c>
      <c r="AS2218">
        <v>57691.199999999997</v>
      </c>
    </row>
    <row r="2219" spans="1:45" hidden="1">
      <c r="A2219" t="s">
        <v>299</v>
      </c>
      <c r="B2219" t="s">
        <v>761</v>
      </c>
      <c r="C2219" t="s">
        <v>660</v>
      </c>
      <c r="D2219" t="s">
        <v>364</v>
      </c>
      <c r="E2219" t="s">
        <v>138</v>
      </c>
      <c r="F2219" t="s">
        <v>367</v>
      </c>
      <c r="G2219" t="s">
        <v>363</v>
      </c>
      <c r="H2219">
        <v>13600</v>
      </c>
      <c r="I2219">
        <v>0</v>
      </c>
      <c r="J2219">
        <v>0</v>
      </c>
      <c r="K2219">
        <v>0</v>
      </c>
      <c r="AQ2219">
        <v>13600</v>
      </c>
      <c r="AR2219">
        <v>21.21</v>
      </c>
      <c r="AS2219">
        <v>288456</v>
      </c>
    </row>
    <row r="2220" spans="1:45" hidden="1">
      <c r="A2220" t="s">
        <v>299</v>
      </c>
      <c r="B2220" t="s">
        <v>761</v>
      </c>
      <c r="C2220" t="s">
        <v>278</v>
      </c>
      <c r="D2220" t="s">
        <v>146</v>
      </c>
      <c r="E2220" t="s">
        <v>138</v>
      </c>
      <c r="F2220" t="s">
        <v>279</v>
      </c>
      <c r="G2220" t="s">
        <v>148</v>
      </c>
      <c r="H2220">
        <v>0</v>
      </c>
      <c r="I2220">
        <v>0</v>
      </c>
      <c r="J2220">
        <v>1</v>
      </c>
      <c r="K2220">
        <v>0</v>
      </c>
      <c r="AQ2220">
        <v>1</v>
      </c>
      <c r="AR2220">
        <v>1272.5999999999999</v>
      </c>
      <c r="AS2220">
        <v>1272.5999999999999</v>
      </c>
    </row>
    <row r="2221" spans="1:45" hidden="1">
      <c r="A2221" t="s">
        <v>299</v>
      </c>
      <c r="B2221" t="s">
        <v>761</v>
      </c>
      <c r="C2221" t="s">
        <v>661</v>
      </c>
      <c r="D2221" t="s">
        <v>146</v>
      </c>
      <c r="E2221" t="s">
        <v>138</v>
      </c>
      <c r="F2221" t="s">
        <v>368</v>
      </c>
      <c r="G2221" t="s">
        <v>148</v>
      </c>
      <c r="H2221">
        <v>2</v>
      </c>
      <c r="I2221">
        <v>0</v>
      </c>
      <c r="J2221">
        <v>2</v>
      </c>
      <c r="K2221">
        <v>0</v>
      </c>
      <c r="AQ2221">
        <v>4</v>
      </c>
      <c r="AR2221">
        <v>2333.1</v>
      </c>
      <c r="AS2221">
        <v>9332.4</v>
      </c>
    </row>
    <row r="2222" spans="1:45" hidden="1">
      <c r="A2222" t="s">
        <v>299</v>
      </c>
      <c r="B2222" t="s">
        <v>761</v>
      </c>
      <c r="C2222" t="s">
        <v>662</v>
      </c>
      <c r="D2222" t="s">
        <v>146</v>
      </c>
      <c r="E2222" t="s">
        <v>138</v>
      </c>
      <c r="F2222" t="s">
        <v>369</v>
      </c>
      <c r="G2222" t="s">
        <v>148</v>
      </c>
      <c r="H2222">
        <v>1</v>
      </c>
      <c r="I2222">
        <v>2</v>
      </c>
      <c r="J2222">
        <v>4</v>
      </c>
      <c r="K2222">
        <v>0</v>
      </c>
      <c r="AQ2222">
        <v>7</v>
      </c>
      <c r="AR2222">
        <v>3711.75</v>
      </c>
      <c r="AS2222">
        <v>25982.25</v>
      </c>
    </row>
    <row r="2223" spans="1:45" hidden="1">
      <c r="A2223" t="s">
        <v>299</v>
      </c>
      <c r="B2223" t="s">
        <v>761</v>
      </c>
      <c r="C2223" t="s">
        <v>663</v>
      </c>
      <c r="D2223" t="s">
        <v>146</v>
      </c>
      <c r="E2223" t="s">
        <v>138</v>
      </c>
      <c r="F2223" t="s">
        <v>370</v>
      </c>
      <c r="G2223" t="s">
        <v>148</v>
      </c>
      <c r="H2223">
        <v>3</v>
      </c>
      <c r="I2223">
        <v>0</v>
      </c>
      <c r="J2223">
        <v>0</v>
      </c>
      <c r="K2223">
        <v>0</v>
      </c>
      <c r="AQ2223">
        <v>3</v>
      </c>
      <c r="AR2223">
        <v>5832.75</v>
      </c>
      <c r="AS2223">
        <v>17498.25</v>
      </c>
    </row>
    <row r="2224" spans="1:45" hidden="1">
      <c r="A2224" t="s">
        <v>299</v>
      </c>
      <c r="B2224" t="s">
        <v>761</v>
      </c>
      <c r="C2224" t="s">
        <v>664</v>
      </c>
      <c r="D2224" t="s">
        <v>371</v>
      </c>
      <c r="E2224" t="s">
        <v>138</v>
      </c>
      <c r="F2224" t="s">
        <v>372</v>
      </c>
      <c r="G2224" t="s">
        <v>373</v>
      </c>
      <c r="H2224">
        <v>3</v>
      </c>
      <c r="I2224">
        <v>0</v>
      </c>
      <c r="J2224">
        <v>0</v>
      </c>
      <c r="K2224">
        <v>0</v>
      </c>
      <c r="AQ2224">
        <v>3</v>
      </c>
      <c r="AR2224">
        <v>3711.75</v>
      </c>
      <c r="AS2224">
        <v>11135.25</v>
      </c>
    </row>
    <row r="2225" spans="1:45" hidden="1">
      <c r="A2225" t="s">
        <v>299</v>
      </c>
      <c r="B2225" t="s">
        <v>761</v>
      </c>
      <c r="C2225" t="s">
        <v>149</v>
      </c>
      <c r="D2225" t="s">
        <v>280</v>
      </c>
      <c r="E2225" t="s">
        <v>138</v>
      </c>
      <c r="F2225" t="s">
        <v>151</v>
      </c>
      <c r="G2225" t="s">
        <v>152</v>
      </c>
      <c r="H2225">
        <v>15114</v>
      </c>
      <c r="I2225">
        <v>8110</v>
      </c>
      <c r="J2225">
        <v>6570</v>
      </c>
      <c r="K2225">
        <v>0</v>
      </c>
      <c r="AQ2225">
        <v>29794</v>
      </c>
      <c r="AR2225">
        <v>1.111</v>
      </c>
      <c r="AS2225">
        <v>33101.133999999998</v>
      </c>
    </row>
    <row r="2226" spans="1:45" hidden="1">
      <c r="A2226" t="s">
        <v>299</v>
      </c>
      <c r="B2226" t="s">
        <v>761</v>
      </c>
      <c r="C2226" t="s">
        <v>153</v>
      </c>
      <c r="D2226" t="s">
        <v>154</v>
      </c>
      <c r="E2226" t="s">
        <v>138</v>
      </c>
      <c r="F2226" t="s">
        <v>155</v>
      </c>
      <c r="G2226" t="s">
        <v>156</v>
      </c>
      <c r="H2226">
        <v>405</v>
      </c>
      <c r="I2226">
        <v>169</v>
      </c>
      <c r="J2226">
        <v>70</v>
      </c>
      <c r="K2226">
        <v>0</v>
      </c>
      <c r="AQ2226">
        <v>644</v>
      </c>
      <c r="AR2226">
        <v>116.655</v>
      </c>
      <c r="AS2226">
        <v>75125.820000000007</v>
      </c>
    </row>
    <row r="2227" spans="1:45" hidden="1">
      <c r="A2227" t="s">
        <v>299</v>
      </c>
      <c r="B2227" t="s">
        <v>761</v>
      </c>
      <c r="C2227" t="s">
        <v>665</v>
      </c>
      <c r="D2227" t="s">
        <v>375</v>
      </c>
      <c r="E2227" t="s">
        <v>138</v>
      </c>
      <c r="F2227" t="s">
        <v>376</v>
      </c>
      <c r="G2227" t="s">
        <v>377</v>
      </c>
      <c r="H2227">
        <v>3</v>
      </c>
      <c r="I2227">
        <v>0</v>
      </c>
      <c r="J2227">
        <v>3</v>
      </c>
      <c r="K2227">
        <v>0</v>
      </c>
      <c r="AQ2227">
        <v>6</v>
      </c>
      <c r="AR2227">
        <v>89.081999999999994</v>
      </c>
      <c r="AS2227">
        <v>534.49199999999996</v>
      </c>
    </row>
    <row r="2228" spans="1:45" hidden="1">
      <c r="A2228" t="s">
        <v>299</v>
      </c>
      <c r="B2228" t="s">
        <v>761</v>
      </c>
      <c r="C2228" t="s">
        <v>158</v>
      </c>
      <c r="D2228" t="s">
        <v>159</v>
      </c>
      <c r="E2228" t="s">
        <v>138</v>
      </c>
      <c r="F2228" t="s">
        <v>160</v>
      </c>
      <c r="G2228" t="s">
        <v>161</v>
      </c>
      <c r="H2228">
        <v>106</v>
      </c>
      <c r="I2228">
        <v>7</v>
      </c>
      <c r="J2228">
        <v>157</v>
      </c>
      <c r="AQ2228">
        <v>270</v>
      </c>
      <c r="AR2228">
        <v>66.66</v>
      </c>
      <c r="AS2228">
        <v>17998.2</v>
      </c>
    </row>
    <row r="2229" spans="1:45" hidden="1">
      <c r="A2229" t="s">
        <v>299</v>
      </c>
      <c r="B2229" t="s">
        <v>761</v>
      </c>
      <c r="C2229" t="s">
        <v>666</v>
      </c>
      <c r="D2229" t="s">
        <v>378</v>
      </c>
      <c r="E2229" t="s">
        <v>138</v>
      </c>
      <c r="F2229" t="s">
        <v>379</v>
      </c>
      <c r="G2229" t="s">
        <v>380</v>
      </c>
      <c r="H2229">
        <v>0</v>
      </c>
      <c r="I2229">
        <v>0</v>
      </c>
      <c r="J2229">
        <v>0</v>
      </c>
      <c r="K2229">
        <v>0</v>
      </c>
      <c r="AQ2229">
        <v>0</v>
      </c>
      <c r="AR2229">
        <v>389.86</v>
      </c>
      <c r="AS2229">
        <v>0</v>
      </c>
    </row>
    <row r="2230" spans="1:45" hidden="1">
      <c r="A2230" t="s">
        <v>299</v>
      </c>
      <c r="B2230" t="s">
        <v>761</v>
      </c>
      <c r="C2230" t="s">
        <v>667</v>
      </c>
      <c r="D2230" t="s">
        <v>281</v>
      </c>
      <c r="E2230" t="s">
        <v>138</v>
      </c>
      <c r="F2230" t="s">
        <v>384</v>
      </c>
      <c r="G2230" t="s">
        <v>165</v>
      </c>
      <c r="H2230">
        <v>42</v>
      </c>
      <c r="I2230">
        <v>10</v>
      </c>
      <c r="J2230">
        <v>13</v>
      </c>
      <c r="K2230">
        <v>0</v>
      </c>
      <c r="AQ2230">
        <v>65</v>
      </c>
      <c r="AR2230">
        <v>2227.0500000000002</v>
      </c>
      <c r="AS2230">
        <v>144758.25</v>
      </c>
    </row>
    <row r="2231" spans="1:45" hidden="1">
      <c r="A2231" t="s">
        <v>299</v>
      </c>
      <c r="B2231" t="s">
        <v>761</v>
      </c>
      <c r="C2231" t="s">
        <v>162</v>
      </c>
      <c r="D2231" t="s">
        <v>281</v>
      </c>
      <c r="E2231" t="s">
        <v>138</v>
      </c>
      <c r="F2231" t="s">
        <v>164</v>
      </c>
      <c r="G2231" t="s">
        <v>165</v>
      </c>
      <c r="H2231">
        <v>0</v>
      </c>
      <c r="I2231">
        <v>0</v>
      </c>
      <c r="J2231">
        <v>2</v>
      </c>
      <c r="K2231">
        <v>0</v>
      </c>
      <c r="AQ2231">
        <v>2</v>
      </c>
      <c r="AR2231">
        <v>4242</v>
      </c>
      <c r="AS2231">
        <v>8484</v>
      </c>
    </row>
    <row r="2232" spans="1:45" hidden="1">
      <c r="A2232" t="s">
        <v>299</v>
      </c>
      <c r="B2232" t="s">
        <v>761</v>
      </c>
      <c r="C2232" t="s">
        <v>668</v>
      </c>
      <c r="D2232" t="s">
        <v>381</v>
      </c>
      <c r="E2232" t="s">
        <v>138</v>
      </c>
      <c r="F2232" t="s">
        <v>382</v>
      </c>
      <c r="G2232" t="s">
        <v>383</v>
      </c>
      <c r="H2232">
        <v>1</v>
      </c>
      <c r="I2232">
        <v>0</v>
      </c>
      <c r="J2232">
        <v>0</v>
      </c>
      <c r="K2232">
        <v>0</v>
      </c>
      <c r="AQ2232">
        <v>1</v>
      </c>
      <c r="AR2232">
        <v>39.39</v>
      </c>
      <c r="AS2232">
        <v>39.39</v>
      </c>
    </row>
    <row r="2233" spans="1:45" hidden="1">
      <c r="A2233" t="s">
        <v>299</v>
      </c>
      <c r="B2233" t="s">
        <v>761</v>
      </c>
      <c r="C2233" t="s">
        <v>166</v>
      </c>
      <c r="D2233" t="s">
        <v>282</v>
      </c>
      <c r="E2233" t="s">
        <v>138</v>
      </c>
      <c r="F2233" t="s">
        <v>168</v>
      </c>
      <c r="G2233" t="s">
        <v>169</v>
      </c>
      <c r="H2233">
        <v>15114</v>
      </c>
      <c r="I2233">
        <v>8110</v>
      </c>
      <c r="J2233">
        <v>6570</v>
      </c>
      <c r="K2233">
        <v>0</v>
      </c>
      <c r="AQ2233">
        <v>29794</v>
      </c>
      <c r="AR2233">
        <v>1.111</v>
      </c>
      <c r="AS2233">
        <v>33101.133999999998</v>
      </c>
    </row>
    <row r="2234" spans="1:45" hidden="1">
      <c r="A2234" t="s">
        <v>299</v>
      </c>
      <c r="B2234" t="s">
        <v>761</v>
      </c>
      <c r="C2234" t="s">
        <v>669</v>
      </c>
      <c r="D2234" t="s">
        <v>385</v>
      </c>
      <c r="E2234" t="s">
        <v>138</v>
      </c>
      <c r="F2234" t="s">
        <v>386</v>
      </c>
      <c r="G2234" t="s">
        <v>387</v>
      </c>
      <c r="H2234">
        <v>2</v>
      </c>
      <c r="I2234">
        <v>1</v>
      </c>
      <c r="J2234">
        <v>1</v>
      </c>
      <c r="K2234">
        <v>0</v>
      </c>
      <c r="AQ2234">
        <v>4</v>
      </c>
      <c r="AR2234">
        <v>22270.5</v>
      </c>
      <c r="AS2234">
        <v>89082</v>
      </c>
    </row>
    <row r="2235" spans="1:45" hidden="1">
      <c r="A2235" t="s">
        <v>299</v>
      </c>
      <c r="B2235" t="s">
        <v>761</v>
      </c>
      <c r="C2235" t="s">
        <v>670</v>
      </c>
      <c r="D2235" t="s">
        <v>385</v>
      </c>
      <c r="E2235" t="s">
        <v>138</v>
      </c>
      <c r="F2235" t="s">
        <v>388</v>
      </c>
      <c r="G2235" t="s">
        <v>389</v>
      </c>
      <c r="H2235">
        <v>650</v>
      </c>
      <c r="I2235">
        <v>130</v>
      </c>
      <c r="J2235">
        <v>250</v>
      </c>
      <c r="K2235">
        <v>0</v>
      </c>
      <c r="AQ2235">
        <v>1030</v>
      </c>
      <c r="AR2235">
        <v>0.22220000000000001</v>
      </c>
      <c r="AS2235">
        <v>228.86600000000001</v>
      </c>
    </row>
    <row r="2236" spans="1:45" hidden="1">
      <c r="A2236" t="s">
        <v>299</v>
      </c>
      <c r="B2236" t="s">
        <v>761</v>
      </c>
      <c r="C2236" t="s">
        <v>671</v>
      </c>
      <c r="D2236" t="s">
        <v>393</v>
      </c>
      <c r="E2236" t="s">
        <v>138</v>
      </c>
      <c r="F2236" t="s">
        <v>394</v>
      </c>
      <c r="G2236" t="s">
        <v>395</v>
      </c>
      <c r="H2236">
        <v>72</v>
      </c>
      <c r="I2236">
        <v>0</v>
      </c>
      <c r="J2236">
        <v>24</v>
      </c>
      <c r="K2236">
        <v>0</v>
      </c>
      <c r="AQ2236">
        <v>96</v>
      </c>
      <c r="AR2236">
        <v>99.99</v>
      </c>
      <c r="AS2236">
        <v>9599.0400000000009</v>
      </c>
    </row>
    <row r="2237" spans="1:45" hidden="1">
      <c r="A2237" t="s">
        <v>299</v>
      </c>
      <c r="B2237" t="s">
        <v>761</v>
      </c>
      <c r="C2237" t="s">
        <v>672</v>
      </c>
      <c r="D2237" t="s">
        <v>393</v>
      </c>
      <c r="E2237" t="s">
        <v>138</v>
      </c>
      <c r="F2237" t="s">
        <v>396</v>
      </c>
      <c r="G2237" t="s">
        <v>395</v>
      </c>
      <c r="H2237">
        <v>72</v>
      </c>
      <c r="I2237">
        <v>0</v>
      </c>
      <c r="J2237">
        <v>12</v>
      </c>
      <c r="K2237">
        <v>0</v>
      </c>
      <c r="AQ2237">
        <v>84</v>
      </c>
      <c r="AR2237">
        <v>99.99</v>
      </c>
      <c r="AS2237">
        <v>8399.16</v>
      </c>
    </row>
    <row r="2238" spans="1:45" hidden="1">
      <c r="A2238" t="s">
        <v>299</v>
      </c>
      <c r="B2238" t="s">
        <v>761</v>
      </c>
      <c r="C2238" t="s">
        <v>673</v>
      </c>
      <c r="D2238" t="s">
        <v>393</v>
      </c>
      <c r="E2238" t="s">
        <v>138</v>
      </c>
      <c r="F2238" t="s">
        <v>397</v>
      </c>
      <c r="G2238" t="s">
        <v>395</v>
      </c>
      <c r="H2238">
        <v>0</v>
      </c>
      <c r="I2238">
        <v>0</v>
      </c>
      <c r="J2238">
        <v>12</v>
      </c>
      <c r="K2238">
        <v>0</v>
      </c>
      <c r="AQ2238">
        <v>12</v>
      </c>
      <c r="AR2238">
        <v>66.66</v>
      </c>
      <c r="AS2238">
        <v>799.92</v>
      </c>
    </row>
    <row r="2239" spans="1:45" hidden="1">
      <c r="A2239" t="s">
        <v>299</v>
      </c>
      <c r="B2239" t="s">
        <v>761</v>
      </c>
      <c r="C2239" t="s">
        <v>674</v>
      </c>
      <c r="D2239" t="s">
        <v>287</v>
      </c>
      <c r="E2239" t="s">
        <v>138</v>
      </c>
      <c r="F2239" t="s">
        <v>402</v>
      </c>
      <c r="G2239" t="s">
        <v>403</v>
      </c>
      <c r="H2239">
        <v>0</v>
      </c>
      <c r="I2239">
        <v>0</v>
      </c>
      <c r="J2239">
        <v>0</v>
      </c>
      <c r="K2239">
        <v>0</v>
      </c>
      <c r="AQ2239">
        <v>0</v>
      </c>
      <c r="AR2239">
        <v>318150</v>
      </c>
      <c r="AS2239">
        <v>0</v>
      </c>
    </row>
    <row r="2240" spans="1:45" hidden="1">
      <c r="A2240" t="s">
        <v>299</v>
      </c>
      <c r="B2240" t="s">
        <v>761</v>
      </c>
      <c r="C2240" t="s">
        <v>675</v>
      </c>
      <c r="D2240" t="s">
        <v>390</v>
      </c>
      <c r="E2240" t="s">
        <v>138</v>
      </c>
      <c r="F2240" t="s">
        <v>391</v>
      </c>
      <c r="G2240" t="s">
        <v>392</v>
      </c>
      <c r="H2240">
        <v>0</v>
      </c>
      <c r="I2240">
        <v>0</v>
      </c>
      <c r="J2240">
        <v>0</v>
      </c>
      <c r="K2240">
        <v>0</v>
      </c>
      <c r="AQ2240">
        <v>0</v>
      </c>
      <c r="AR2240">
        <v>1336.23</v>
      </c>
      <c r="AS2240">
        <v>0</v>
      </c>
    </row>
    <row r="2241" spans="1:45" hidden="1">
      <c r="A2241" t="s">
        <v>299</v>
      </c>
      <c r="B2241" t="s">
        <v>761</v>
      </c>
      <c r="C2241" t="s">
        <v>676</v>
      </c>
      <c r="D2241" t="s">
        <v>398</v>
      </c>
      <c r="E2241" t="s">
        <v>138</v>
      </c>
      <c r="F2241" t="s">
        <v>399</v>
      </c>
      <c r="G2241" t="s">
        <v>400</v>
      </c>
      <c r="H2241">
        <v>0</v>
      </c>
      <c r="I2241">
        <v>0</v>
      </c>
      <c r="J2241">
        <v>0</v>
      </c>
      <c r="K2241">
        <v>0</v>
      </c>
      <c r="AQ2241">
        <v>0</v>
      </c>
      <c r="AR2241">
        <v>14475.825000000001</v>
      </c>
      <c r="AS2241">
        <v>0</v>
      </c>
    </row>
    <row r="2242" spans="1:45" hidden="1">
      <c r="A2242" t="s">
        <v>299</v>
      </c>
      <c r="B2242" t="s">
        <v>761</v>
      </c>
      <c r="C2242" t="s">
        <v>170</v>
      </c>
      <c r="D2242" t="s">
        <v>171</v>
      </c>
      <c r="E2242" t="s">
        <v>172</v>
      </c>
      <c r="F2242" t="s">
        <v>173</v>
      </c>
      <c r="G2242" t="s">
        <v>152</v>
      </c>
      <c r="H2242">
        <v>54366.73</v>
      </c>
      <c r="I2242">
        <v>20021.830000000002</v>
      </c>
      <c r="J2242">
        <v>31652.49</v>
      </c>
      <c r="K2242">
        <v>358.1</v>
      </c>
      <c r="AQ2242">
        <v>106399.15</v>
      </c>
      <c r="AR2242">
        <v>1.2726</v>
      </c>
      <c r="AS2242">
        <v>135403.55828999999</v>
      </c>
    </row>
    <row r="2243" spans="1:45" hidden="1">
      <c r="A2243" t="s">
        <v>299</v>
      </c>
      <c r="B2243" t="s">
        <v>761</v>
      </c>
      <c r="C2243" t="s">
        <v>677</v>
      </c>
      <c r="D2243" t="s">
        <v>405</v>
      </c>
      <c r="E2243" t="s">
        <v>172</v>
      </c>
      <c r="F2243" t="s">
        <v>406</v>
      </c>
      <c r="G2243" t="s">
        <v>407</v>
      </c>
      <c r="H2243">
        <v>59</v>
      </c>
      <c r="I2243">
        <v>27</v>
      </c>
      <c r="J2243">
        <v>29</v>
      </c>
      <c r="K2243">
        <v>0</v>
      </c>
      <c r="AQ2243">
        <v>115</v>
      </c>
      <c r="AR2243">
        <v>47.47</v>
      </c>
      <c r="AS2243">
        <v>5459.05</v>
      </c>
    </row>
    <row r="2244" spans="1:45" hidden="1">
      <c r="A2244" t="s">
        <v>299</v>
      </c>
      <c r="B2244" t="s">
        <v>761</v>
      </c>
      <c r="C2244" t="s">
        <v>678</v>
      </c>
      <c r="D2244" t="s">
        <v>408</v>
      </c>
      <c r="E2244" t="s">
        <v>172</v>
      </c>
      <c r="F2244" t="s">
        <v>409</v>
      </c>
      <c r="G2244" t="s">
        <v>410</v>
      </c>
      <c r="H2244">
        <v>516</v>
      </c>
      <c r="I2244">
        <v>105</v>
      </c>
      <c r="J2244">
        <v>15</v>
      </c>
      <c r="K2244">
        <v>0</v>
      </c>
      <c r="AQ2244">
        <v>636</v>
      </c>
      <c r="AR2244">
        <v>1.0605</v>
      </c>
      <c r="AS2244">
        <v>674.47799999999995</v>
      </c>
    </row>
    <row r="2245" spans="1:45" hidden="1">
      <c r="A2245" t="s">
        <v>299</v>
      </c>
      <c r="B2245" t="s">
        <v>761</v>
      </c>
      <c r="C2245" t="s">
        <v>679</v>
      </c>
      <c r="D2245" t="s">
        <v>411</v>
      </c>
      <c r="E2245" t="s">
        <v>172</v>
      </c>
      <c r="F2245" t="s">
        <v>412</v>
      </c>
      <c r="G2245" t="s">
        <v>413</v>
      </c>
      <c r="H2245">
        <v>260</v>
      </c>
      <c r="I2245">
        <v>124</v>
      </c>
      <c r="J2245">
        <v>125</v>
      </c>
      <c r="K2245">
        <v>0</v>
      </c>
      <c r="AQ2245">
        <v>509</v>
      </c>
      <c r="AR2245">
        <v>37.1175</v>
      </c>
      <c r="AS2245">
        <v>18892.807499999999</v>
      </c>
    </row>
    <row r="2246" spans="1:45" hidden="1">
      <c r="A2246" t="s">
        <v>299</v>
      </c>
      <c r="B2246" t="s">
        <v>761</v>
      </c>
      <c r="C2246" t="s">
        <v>680</v>
      </c>
      <c r="D2246" t="s">
        <v>414</v>
      </c>
      <c r="E2246" t="s">
        <v>172</v>
      </c>
      <c r="F2246" t="s">
        <v>415</v>
      </c>
      <c r="G2246" t="s">
        <v>224</v>
      </c>
      <c r="H2246">
        <v>15</v>
      </c>
      <c r="I2246">
        <v>3</v>
      </c>
      <c r="J2246">
        <v>36</v>
      </c>
      <c r="K2246">
        <v>0</v>
      </c>
      <c r="AQ2246">
        <v>54</v>
      </c>
      <c r="AR2246">
        <v>42.42</v>
      </c>
      <c r="AS2246">
        <v>2290.6799999999998</v>
      </c>
    </row>
    <row r="2247" spans="1:45" hidden="1">
      <c r="A2247" t="s">
        <v>299</v>
      </c>
      <c r="B2247" t="s">
        <v>761</v>
      </c>
      <c r="C2247" t="s">
        <v>681</v>
      </c>
      <c r="D2247" t="s">
        <v>416</v>
      </c>
      <c r="E2247" t="s">
        <v>172</v>
      </c>
      <c r="F2247" t="s">
        <v>417</v>
      </c>
      <c r="G2247" t="s">
        <v>418</v>
      </c>
      <c r="H2247">
        <v>1085.25</v>
      </c>
      <c r="I2247">
        <v>393.12</v>
      </c>
      <c r="J2247">
        <v>0</v>
      </c>
      <c r="K2247">
        <v>0</v>
      </c>
      <c r="AQ2247">
        <v>1478.37</v>
      </c>
      <c r="AR2247">
        <v>0.32319999999999999</v>
      </c>
      <c r="AS2247">
        <v>477.80918400000002</v>
      </c>
    </row>
    <row r="2248" spans="1:45" hidden="1">
      <c r="A2248" t="s">
        <v>299</v>
      </c>
      <c r="B2248" t="s">
        <v>761</v>
      </c>
      <c r="C2248" t="s">
        <v>682</v>
      </c>
      <c r="D2248" t="s">
        <v>419</v>
      </c>
      <c r="E2248" t="s">
        <v>172</v>
      </c>
      <c r="F2248" t="s">
        <v>420</v>
      </c>
      <c r="G2248" t="s">
        <v>421</v>
      </c>
      <c r="H2248">
        <v>3</v>
      </c>
      <c r="I2248">
        <v>2</v>
      </c>
      <c r="J2248">
        <v>3</v>
      </c>
      <c r="K2248">
        <v>2</v>
      </c>
      <c r="AQ2248">
        <v>10</v>
      </c>
      <c r="AR2248">
        <v>42.42</v>
      </c>
      <c r="AS2248">
        <v>424.2</v>
      </c>
    </row>
    <row r="2249" spans="1:45" hidden="1">
      <c r="A2249" t="s">
        <v>299</v>
      </c>
      <c r="B2249" t="s">
        <v>761</v>
      </c>
      <c r="C2249" t="s">
        <v>683</v>
      </c>
      <c r="D2249" t="s">
        <v>422</v>
      </c>
      <c r="E2249" t="s">
        <v>172</v>
      </c>
      <c r="F2249" t="s">
        <v>423</v>
      </c>
      <c r="G2249" t="s">
        <v>407</v>
      </c>
      <c r="H2249">
        <v>0</v>
      </c>
      <c r="I2249">
        <v>0</v>
      </c>
      <c r="J2249">
        <v>0</v>
      </c>
      <c r="K2249">
        <v>0</v>
      </c>
      <c r="AQ2249">
        <v>0</v>
      </c>
      <c r="AR2249">
        <v>47.47</v>
      </c>
      <c r="AS2249">
        <v>0</v>
      </c>
    </row>
    <row r="2250" spans="1:45" hidden="1">
      <c r="A2250" t="s">
        <v>299</v>
      </c>
      <c r="B2250" t="s">
        <v>761</v>
      </c>
      <c r="C2250" t="s">
        <v>684</v>
      </c>
      <c r="D2250" t="s">
        <v>427</v>
      </c>
      <c r="E2250" t="s">
        <v>172</v>
      </c>
      <c r="F2250" t="s">
        <v>428</v>
      </c>
      <c r="G2250" t="s">
        <v>429</v>
      </c>
      <c r="H2250">
        <v>6</v>
      </c>
      <c r="I2250">
        <v>2</v>
      </c>
      <c r="J2250">
        <v>3</v>
      </c>
      <c r="K2250">
        <v>0</v>
      </c>
      <c r="AQ2250">
        <v>11</v>
      </c>
      <c r="AR2250">
        <v>636.29999999999995</v>
      </c>
      <c r="AS2250">
        <v>6999.3</v>
      </c>
    </row>
    <row r="2251" spans="1:45" hidden="1">
      <c r="A2251" t="s">
        <v>299</v>
      </c>
      <c r="B2251" t="s">
        <v>761</v>
      </c>
      <c r="C2251" t="s">
        <v>174</v>
      </c>
      <c r="D2251" t="s">
        <v>175</v>
      </c>
      <c r="E2251" t="s">
        <v>172</v>
      </c>
      <c r="F2251" t="s">
        <v>176</v>
      </c>
      <c r="G2251" t="s">
        <v>177</v>
      </c>
      <c r="H2251">
        <v>4</v>
      </c>
      <c r="I2251">
        <v>2</v>
      </c>
      <c r="J2251">
        <v>1</v>
      </c>
      <c r="K2251">
        <v>0</v>
      </c>
      <c r="AQ2251">
        <v>7</v>
      </c>
      <c r="AR2251">
        <v>424.2</v>
      </c>
      <c r="AS2251">
        <v>2969.4</v>
      </c>
    </row>
    <row r="2252" spans="1:45" hidden="1">
      <c r="A2252" t="s">
        <v>299</v>
      </c>
      <c r="B2252" t="s">
        <v>761</v>
      </c>
      <c r="C2252" t="s">
        <v>685</v>
      </c>
      <c r="D2252" t="s">
        <v>430</v>
      </c>
      <c r="E2252" t="s">
        <v>172</v>
      </c>
      <c r="F2252" t="s">
        <v>433</v>
      </c>
      <c r="G2252" t="s">
        <v>432</v>
      </c>
      <c r="H2252">
        <v>1</v>
      </c>
      <c r="I2252">
        <v>0</v>
      </c>
      <c r="J2252">
        <v>0</v>
      </c>
      <c r="K2252">
        <v>0</v>
      </c>
      <c r="AQ2252">
        <v>1</v>
      </c>
      <c r="AR2252">
        <v>1908.9</v>
      </c>
      <c r="AS2252">
        <v>1908.9</v>
      </c>
    </row>
    <row r="2253" spans="1:45" hidden="1">
      <c r="A2253" t="s">
        <v>299</v>
      </c>
      <c r="B2253" t="s">
        <v>761</v>
      </c>
      <c r="C2253" t="s">
        <v>686</v>
      </c>
      <c r="D2253" t="s">
        <v>430</v>
      </c>
      <c r="E2253" t="s">
        <v>172</v>
      </c>
      <c r="F2253" t="s">
        <v>431</v>
      </c>
      <c r="G2253" t="s">
        <v>432</v>
      </c>
      <c r="H2253">
        <v>0</v>
      </c>
      <c r="I2253">
        <v>0</v>
      </c>
      <c r="J2253">
        <v>1</v>
      </c>
      <c r="K2253">
        <v>0</v>
      </c>
      <c r="AQ2253">
        <v>1</v>
      </c>
      <c r="AR2253">
        <v>2121</v>
      </c>
      <c r="AS2253">
        <v>2121</v>
      </c>
    </row>
    <row r="2254" spans="1:45" hidden="1">
      <c r="A2254" t="s">
        <v>299</v>
      </c>
      <c r="B2254" t="s">
        <v>761</v>
      </c>
      <c r="C2254" t="s">
        <v>687</v>
      </c>
      <c r="D2254" t="s">
        <v>430</v>
      </c>
      <c r="E2254" t="s">
        <v>172</v>
      </c>
      <c r="F2254" t="s">
        <v>438</v>
      </c>
      <c r="G2254" t="s">
        <v>432</v>
      </c>
      <c r="H2254">
        <v>0</v>
      </c>
      <c r="I2254">
        <v>1</v>
      </c>
      <c r="J2254">
        <v>0</v>
      </c>
      <c r="K2254">
        <v>0</v>
      </c>
      <c r="AQ2254">
        <v>1</v>
      </c>
      <c r="AR2254">
        <v>2439.15</v>
      </c>
      <c r="AS2254">
        <v>2439.15</v>
      </c>
    </row>
    <row r="2255" spans="1:45" hidden="1">
      <c r="A2255" t="s">
        <v>299</v>
      </c>
      <c r="B2255" t="s">
        <v>761</v>
      </c>
      <c r="C2255" t="s">
        <v>688</v>
      </c>
      <c r="D2255" t="s">
        <v>430</v>
      </c>
      <c r="E2255" t="s">
        <v>172</v>
      </c>
      <c r="F2255" t="s">
        <v>434</v>
      </c>
      <c r="G2255" t="s">
        <v>432</v>
      </c>
      <c r="H2255">
        <v>1</v>
      </c>
      <c r="I2255">
        <v>0</v>
      </c>
      <c r="J2255">
        <v>0</v>
      </c>
      <c r="K2255">
        <v>0</v>
      </c>
      <c r="AQ2255">
        <v>1</v>
      </c>
      <c r="AR2255">
        <v>2651.25</v>
      </c>
      <c r="AS2255">
        <v>2651.25</v>
      </c>
    </row>
    <row r="2256" spans="1:45" hidden="1">
      <c r="A2256" t="s">
        <v>299</v>
      </c>
      <c r="B2256" t="s">
        <v>761</v>
      </c>
      <c r="C2256" t="s">
        <v>645</v>
      </c>
      <c r="D2256" t="s">
        <v>435</v>
      </c>
      <c r="E2256" t="s">
        <v>172</v>
      </c>
      <c r="F2256" t="s">
        <v>436</v>
      </c>
      <c r="G2256" t="s">
        <v>437</v>
      </c>
      <c r="H2256">
        <v>0</v>
      </c>
      <c r="I2256">
        <v>0</v>
      </c>
      <c r="J2256">
        <v>0</v>
      </c>
      <c r="K2256">
        <v>0</v>
      </c>
      <c r="AQ2256">
        <v>0</v>
      </c>
      <c r="AR2256">
        <v>0.28000000000000003</v>
      </c>
    </row>
    <row r="2257" spans="1:45" hidden="1">
      <c r="A2257" t="s">
        <v>299</v>
      </c>
      <c r="B2257" t="s">
        <v>761</v>
      </c>
      <c r="C2257" t="s">
        <v>689</v>
      </c>
      <c r="D2257" t="s">
        <v>439</v>
      </c>
      <c r="E2257" t="s">
        <v>172</v>
      </c>
      <c r="F2257" t="s">
        <v>690</v>
      </c>
      <c r="G2257" t="s">
        <v>441</v>
      </c>
      <c r="H2257">
        <v>2</v>
      </c>
      <c r="I2257">
        <v>1</v>
      </c>
      <c r="J2257">
        <v>1</v>
      </c>
      <c r="K2257">
        <v>0</v>
      </c>
      <c r="AQ2257">
        <v>4</v>
      </c>
      <c r="AR2257">
        <v>318.14999999999998</v>
      </c>
      <c r="AS2257">
        <v>1272.5999999999999</v>
      </c>
    </row>
    <row r="2258" spans="1:45" hidden="1">
      <c r="A2258" t="s">
        <v>299</v>
      </c>
      <c r="B2258" t="s">
        <v>761</v>
      </c>
      <c r="C2258" t="s">
        <v>691</v>
      </c>
      <c r="D2258" t="s">
        <v>439</v>
      </c>
      <c r="E2258" t="s">
        <v>172</v>
      </c>
      <c r="F2258" t="s">
        <v>442</v>
      </c>
      <c r="G2258" t="s">
        <v>441</v>
      </c>
      <c r="H2258">
        <v>8</v>
      </c>
      <c r="I2258">
        <v>0</v>
      </c>
      <c r="J2258">
        <v>0</v>
      </c>
      <c r="K2258">
        <v>0</v>
      </c>
      <c r="AQ2258">
        <v>8</v>
      </c>
      <c r="AR2258">
        <v>1272.5999999999999</v>
      </c>
      <c r="AS2258">
        <v>10180.799999999999</v>
      </c>
    </row>
    <row r="2259" spans="1:45" hidden="1">
      <c r="A2259" t="s">
        <v>299</v>
      </c>
      <c r="B2259" t="s">
        <v>761</v>
      </c>
      <c r="C2259" t="s">
        <v>692</v>
      </c>
      <c r="D2259" t="s">
        <v>439</v>
      </c>
      <c r="E2259" t="s">
        <v>172</v>
      </c>
      <c r="F2259" t="s">
        <v>443</v>
      </c>
      <c r="G2259" t="s">
        <v>441</v>
      </c>
      <c r="H2259">
        <v>4</v>
      </c>
      <c r="I2259">
        <v>1</v>
      </c>
      <c r="J2259">
        <v>0</v>
      </c>
      <c r="K2259">
        <v>0</v>
      </c>
      <c r="AQ2259">
        <v>5</v>
      </c>
      <c r="AR2259">
        <v>1590.75</v>
      </c>
      <c r="AS2259">
        <v>7953.75</v>
      </c>
    </row>
    <row r="2260" spans="1:45" hidden="1">
      <c r="A2260" t="s">
        <v>299</v>
      </c>
      <c r="B2260" t="s">
        <v>761</v>
      </c>
      <c r="C2260" t="s">
        <v>693</v>
      </c>
      <c r="D2260" t="s">
        <v>439</v>
      </c>
      <c r="E2260" t="s">
        <v>172</v>
      </c>
      <c r="F2260" t="s">
        <v>440</v>
      </c>
      <c r="G2260" t="s">
        <v>441</v>
      </c>
      <c r="H2260">
        <v>0</v>
      </c>
      <c r="I2260">
        <v>0</v>
      </c>
      <c r="J2260">
        <v>0</v>
      </c>
      <c r="K2260">
        <v>0</v>
      </c>
      <c r="AQ2260">
        <v>0</v>
      </c>
      <c r="AR2260">
        <v>1590.75</v>
      </c>
      <c r="AS2260">
        <v>0</v>
      </c>
    </row>
    <row r="2261" spans="1:45" hidden="1">
      <c r="A2261" t="s">
        <v>299</v>
      </c>
      <c r="B2261" t="s">
        <v>761</v>
      </c>
      <c r="C2261" t="s">
        <v>694</v>
      </c>
      <c r="D2261" t="s">
        <v>439</v>
      </c>
      <c r="E2261" t="s">
        <v>172</v>
      </c>
      <c r="F2261" t="s">
        <v>695</v>
      </c>
      <c r="G2261" t="s">
        <v>441</v>
      </c>
      <c r="H2261">
        <v>0</v>
      </c>
      <c r="I2261">
        <v>0</v>
      </c>
      <c r="J2261">
        <v>0</v>
      </c>
      <c r="K2261">
        <v>0</v>
      </c>
      <c r="AQ2261">
        <v>0</v>
      </c>
      <c r="AR2261">
        <v>1802.85</v>
      </c>
      <c r="AS2261">
        <v>0</v>
      </c>
    </row>
    <row r="2262" spans="1:45" hidden="1">
      <c r="A2262" t="s">
        <v>299</v>
      </c>
      <c r="B2262" t="s">
        <v>761</v>
      </c>
      <c r="C2262" t="s">
        <v>696</v>
      </c>
      <c r="D2262" t="s">
        <v>446</v>
      </c>
      <c r="E2262" t="s">
        <v>172</v>
      </c>
      <c r="F2262" t="s">
        <v>447</v>
      </c>
      <c r="G2262" t="s">
        <v>448</v>
      </c>
      <c r="H2262">
        <v>0</v>
      </c>
      <c r="I2262">
        <v>0</v>
      </c>
      <c r="J2262">
        <v>0</v>
      </c>
      <c r="K2262">
        <v>0</v>
      </c>
      <c r="AQ2262">
        <v>0</v>
      </c>
      <c r="AR2262">
        <v>10.605</v>
      </c>
      <c r="AS2262">
        <v>0</v>
      </c>
    </row>
    <row r="2263" spans="1:45" hidden="1">
      <c r="A2263" t="s">
        <v>299</v>
      </c>
      <c r="B2263" t="s">
        <v>761</v>
      </c>
      <c r="C2263" t="s">
        <v>178</v>
      </c>
      <c r="D2263" t="s">
        <v>179</v>
      </c>
      <c r="E2263" t="s">
        <v>172</v>
      </c>
      <c r="F2263" t="s">
        <v>180</v>
      </c>
      <c r="G2263" t="s">
        <v>181</v>
      </c>
      <c r="H2263">
        <v>330</v>
      </c>
      <c r="I2263">
        <v>107</v>
      </c>
      <c r="J2263">
        <v>190</v>
      </c>
      <c r="K2263">
        <v>0</v>
      </c>
      <c r="AQ2263">
        <v>627</v>
      </c>
      <c r="AR2263">
        <v>106.05</v>
      </c>
      <c r="AS2263">
        <v>66493.350000000006</v>
      </c>
    </row>
    <row r="2264" spans="1:45" hidden="1">
      <c r="A2264" t="s">
        <v>299</v>
      </c>
      <c r="B2264" t="s">
        <v>761</v>
      </c>
      <c r="C2264" t="s">
        <v>182</v>
      </c>
      <c r="D2264" t="s">
        <v>179</v>
      </c>
      <c r="E2264" t="s">
        <v>172</v>
      </c>
      <c r="F2264" t="s">
        <v>183</v>
      </c>
      <c r="G2264" t="s">
        <v>152</v>
      </c>
      <c r="H2264">
        <v>0</v>
      </c>
      <c r="I2264">
        <v>0</v>
      </c>
      <c r="J2264">
        <v>0</v>
      </c>
      <c r="K2264">
        <v>0</v>
      </c>
      <c r="AQ2264">
        <v>0</v>
      </c>
      <c r="AR2264">
        <v>0.1515</v>
      </c>
      <c r="AS2264">
        <v>0</v>
      </c>
    </row>
    <row r="2265" spans="1:45" hidden="1">
      <c r="A2265" t="s">
        <v>299</v>
      </c>
      <c r="B2265" t="s">
        <v>761</v>
      </c>
      <c r="C2265" t="s">
        <v>697</v>
      </c>
      <c r="D2265" t="s">
        <v>449</v>
      </c>
      <c r="E2265" t="s">
        <v>172</v>
      </c>
      <c r="F2265" t="s">
        <v>450</v>
      </c>
      <c r="G2265" t="s">
        <v>451</v>
      </c>
      <c r="H2265">
        <v>1</v>
      </c>
      <c r="I2265">
        <v>1</v>
      </c>
      <c r="J2265">
        <v>1</v>
      </c>
      <c r="K2265">
        <v>0</v>
      </c>
      <c r="AQ2265">
        <v>3</v>
      </c>
      <c r="AR2265">
        <v>1908.9</v>
      </c>
      <c r="AS2265">
        <v>5726.7</v>
      </c>
    </row>
    <row r="2266" spans="1:45" hidden="1">
      <c r="A2266" t="s">
        <v>299</v>
      </c>
      <c r="B2266" t="s">
        <v>761</v>
      </c>
      <c r="C2266" t="s">
        <v>698</v>
      </c>
      <c r="D2266" t="s">
        <v>424</v>
      </c>
      <c r="E2266" t="s">
        <v>172</v>
      </c>
      <c r="F2266" t="s">
        <v>425</v>
      </c>
      <c r="G2266" t="s">
        <v>426</v>
      </c>
      <c r="H2266">
        <v>31</v>
      </c>
      <c r="I2266">
        <v>4</v>
      </c>
      <c r="J2266">
        <v>4</v>
      </c>
      <c r="K2266">
        <v>0</v>
      </c>
      <c r="AQ2266">
        <v>39</v>
      </c>
      <c r="AR2266">
        <v>132.5625</v>
      </c>
      <c r="AS2266">
        <v>5169.9375</v>
      </c>
    </row>
    <row r="2267" spans="1:45" hidden="1">
      <c r="A2267" t="s">
        <v>299</v>
      </c>
      <c r="B2267" t="s">
        <v>761</v>
      </c>
      <c r="C2267" t="s">
        <v>699</v>
      </c>
      <c r="D2267" t="s">
        <v>287</v>
      </c>
      <c r="E2267" t="s">
        <v>172</v>
      </c>
      <c r="F2267" t="s">
        <v>452</v>
      </c>
      <c r="G2267" t="s">
        <v>453</v>
      </c>
      <c r="H2267">
        <v>0</v>
      </c>
      <c r="I2267">
        <v>0</v>
      </c>
      <c r="J2267">
        <v>0</v>
      </c>
      <c r="K2267">
        <v>0</v>
      </c>
      <c r="AQ2267">
        <v>0</v>
      </c>
      <c r="AR2267">
        <v>3181.5</v>
      </c>
      <c r="AS2267">
        <v>0</v>
      </c>
    </row>
    <row r="2268" spans="1:45" hidden="1">
      <c r="A2268" t="s">
        <v>299</v>
      </c>
      <c r="B2268" t="s">
        <v>761</v>
      </c>
      <c r="C2268" t="s">
        <v>700</v>
      </c>
      <c r="D2268" t="s">
        <v>287</v>
      </c>
      <c r="E2268" t="s">
        <v>172</v>
      </c>
      <c r="F2268" t="s">
        <v>454</v>
      </c>
      <c r="G2268" t="s">
        <v>455</v>
      </c>
      <c r="H2268">
        <v>1</v>
      </c>
      <c r="I2268">
        <v>0</v>
      </c>
      <c r="J2268">
        <v>0</v>
      </c>
      <c r="K2268">
        <v>0</v>
      </c>
      <c r="AQ2268">
        <v>1</v>
      </c>
      <c r="AR2268">
        <v>318150</v>
      </c>
      <c r="AS2268">
        <v>318150</v>
      </c>
    </row>
    <row r="2269" spans="1:45" hidden="1">
      <c r="A2269" t="s">
        <v>299</v>
      </c>
      <c r="B2269" t="s">
        <v>761</v>
      </c>
      <c r="C2269" t="s">
        <v>701</v>
      </c>
      <c r="D2269" t="s">
        <v>287</v>
      </c>
      <c r="E2269" t="s">
        <v>172</v>
      </c>
      <c r="F2269" t="s">
        <v>456</v>
      </c>
      <c r="G2269" t="s">
        <v>457</v>
      </c>
      <c r="H2269">
        <v>1</v>
      </c>
      <c r="I2269">
        <v>0</v>
      </c>
      <c r="J2269">
        <v>0</v>
      </c>
      <c r="K2269">
        <v>0</v>
      </c>
      <c r="AQ2269">
        <v>1</v>
      </c>
      <c r="AR2269">
        <v>238612.5</v>
      </c>
      <c r="AS2269">
        <v>238612.5</v>
      </c>
    </row>
    <row r="2270" spans="1:45" hidden="1">
      <c r="A2270" t="s">
        <v>299</v>
      </c>
      <c r="B2270" t="s">
        <v>761</v>
      </c>
      <c r="C2270" t="s">
        <v>184</v>
      </c>
      <c r="D2270" t="s">
        <v>185</v>
      </c>
      <c r="E2270" t="s">
        <v>186</v>
      </c>
      <c r="F2270" t="s">
        <v>187</v>
      </c>
      <c r="G2270" t="s">
        <v>188</v>
      </c>
      <c r="H2270">
        <v>17</v>
      </c>
      <c r="I2270">
        <v>5</v>
      </c>
      <c r="J2270">
        <v>9</v>
      </c>
      <c r="K2270">
        <v>0</v>
      </c>
      <c r="AQ2270">
        <v>31</v>
      </c>
      <c r="AR2270">
        <v>2121</v>
      </c>
      <c r="AS2270">
        <v>65751</v>
      </c>
    </row>
    <row r="2271" spans="1:45" hidden="1">
      <c r="A2271" t="s">
        <v>299</v>
      </c>
      <c r="B2271" t="s">
        <v>761</v>
      </c>
      <c r="C2271" t="s">
        <v>189</v>
      </c>
      <c r="D2271" t="s">
        <v>190</v>
      </c>
      <c r="E2271" t="s">
        <v>186</v>
      </c>
      <c r="F2271" t="s">
        <v>191</v>
      </c>
      <c r="G2271" t="s">
        <v>192</v>
      </c>
      <c r="H2271">
        <v>8</v>
      </c>
      <c r="I2271">
        <v>1</v>
      </c>
      <c r="J2271">
        <v>6</v>
      </c>
      <c r="K2271">
        <v>0</v>
      </c>
      <c r="AQ2271">
        <v>15</v>
      </c>
      <c r="AR2271">
        <v>1060.5</v>
      </c>
      <c r="AS2271">
        <v>15907.5</v>
      </c>
    </row>
    <row r="2272" spans="1:45" hidden="1">
      <c r="A2272" t="s">
        <v>299</v>
      </c>
      <c r="B2272" t="s">
        <v>761</v>
      </c>
      <c r="C2272" t="s">
        <v>702</v>
      </c>
      <c r="D2272" t="s">
        <v>190</v>
      </c>
      <c r="E2272" t="s">
        <v>186</v>
      </c>
      <c r="F2272" t="s">
        <v>458</v>
      </c>
      <c r="G2272" t="s">
        <v>459</v>
      </c>
      <c r="H2272">
        <v>1</v>
      </c>
      <c r="I2272">
        <v>1</v>
      </c>
      <c r="J2272">
        <v>1</v>
      </c>
      <c r="K2272">
        <v>0</v>
      </c>
      <c r="AQ2272">
        <v>3</v>
      </c>
      <c r="AR2272">
        <v>1590.75</v>
      </c>
      <c r="AS2272">
        <v>4772.25</v>
      </c>
    </row>
    <row r="2273" spans="1:45" hidden="1">
      <c r="A2273" t="s">
        <v>299</v>
      </c>
      <c r="B2273" t="s">
        <v>761</v>
      </c>
      <c r="C2273" t="s">
        <v>193</v>
      </c>
      <c r="D2273" t="s">
        <v>194</v>
      </c>
      <c r="E2273" t="s">
        <v>186</v>
      </c>
      <c r="F2273" t="s">
        <v>195</v>
      </c>
      <c r="G2273" t="s">
        <v>152</v>
      </c>
      <c r="H2273">
        <v>54366.73</v>
      </c>
      <c r="I2273">
        <v>20021.830000000002</v>
      </c>
      <c r="J2273">
        <v>31652.49</v>
      </c>
      <c r="K2273">
        <v>358.1</v>
      </c>
      <c r="AQ2273">
        <v>106399.15</v>
      </c>
      <c r="AR2273">
        <v>0.63629999999999998</v>
      </c>
      <c r="AS2273">
        <v>67701.779144999993</v>
      </c>
    </row>
    <row r="2274" spans="1:45" hidden="1">
      <c r="A2274" t="s">
        <v>299</v>
      </c>
      <c r="B2274" t="s">
        <v>761</v>
      </c>
      <c r="C2274" t="s">
        <v>197</v>
      </c>
      <c r="D2274" t="s">
        <v>198</v>
      </c>
      <c r="E2274" t="s">
        <v>186</v>
      </c>
      <c r="F2274" t="s">
        <v>199</v>
      </c>
      <c r="G2274" t="s">
        <v>200</v>
      </c>
      <c r="H2274">
        <v>1</v>
      </c>
      <c r="I2274">
        <v>1</v>
      </c>
      <c r="J2274">
        <v>1</v>
      </c>
      <c r="K2274">
        <v>0</v>
      </c>
      <c r="AQ2274">
        <v>3</v>
      </c>
      <c r="AR2274">
        <v>4984.3500000000004</v>
      </c>
      <c r="AS2274">
        <v>14953.05</v>
      </c>
    </row>
    <row r="2275" spans="1:45" hidden="1">
      <c r="A2275" t="s">
        <v>299</v>
      </c>
      <c r="B2275" t="s">
        <v>761</v>
      </c>
      <c r="C2275" t="s">
        <v>201</v>
      </c>
      <c r="D2275" t="s">
        <v>202</v>
      </c>
      <c r="E2275" t="s">
        <v>186</v>
      </c>
      <c r="F2275" t="s">
        <v>203</v>
      </c>
      <c r="G2275" t="s">
        <v>204</v>
      </c>
      <c r="H2275">
        <v>42</v>
      </c>
      <c r="I2275">
        <v>24</v>
      </c>
      <c r="J2275">
        <v>39</v>
      </c>
      <c r="K2275">
        <v>0</v>
      </c>
      <c r="AQ2275">
        <v>105</v>
      </c>
      <c r="AR2275">
        <v>31.815000000000001</v>
      </c>
      <c r="AS2275">
        <v>3340.5749999999998</v>
      </c>
    </row>
    <row r="2276" spans="1:45" hidden="1">
      <c r="A2276" t="s">
        <v>299</v>
      </c>
      <c r="B2276" t="s">
        <v>761</v>
      </c>
      <c r="C2276" t="s">
        <v>703</v>
      </c>
      <c r="D2276" t="s">
        <v>460</v>
      </c>
      <c r="E2276" t="s">
        <v>186</v>
      </c>
      <c r="F2276" t="s">
        <v>461</v>
      </c>
      <c r="G2276" t="s">
        <v>462</v>
      </c>
      <c r="H2276">
        <v>0</v>
      </c>
      <c r="I2276">
        <v>0</v>
      </c>
      <c r="J2276">
        <v>0</v>
      </c>
      <c r="K2276">
        <v>0</v>
      </c>
      <c r="AQ2276">
        <v>0</v>
      </c>
      <c r="AR2276">
        <v>15907.5</v>
      </c>
      <c r="AS2276">
        <v>0</v>
      </c>
    </row>
    <row r="2277" spans="1:45" hidden="1">
      <c r="A2277" t="s">
        <v>299</v>
      </c>
      <c r="B2277" t="s">
        <v>761</v>
      </c>
      <c r="C2277" t="s">
        <v>704</v>
      </c>
      <c r="D2277" t="s">
        <v>468</v>
      </c>
      <c r="E2277" t="s">
        <v>186</v>
      </c>
      <c r="F2277" t="s">
        <v>469</v>
      </c>
      <c r="G2277" t="s">
        <v>470</v>
      </c>
      <c r="H2277">
        <v>0</v>
      </c>
      <c r="I2277">
        <v>0</v>
      </c>
      <c r="J2277">
        <v>0</v>
      </c>
      <c r="K2277">
        <v>0</v>
      </c>
      <c r="AQ2277">
        <v>0</v>
      </c>
      <c r="AR2277">
        <v>159.07499999999999</v>
      </c>
      <c r="AS2277">
        <v>0</v>
      </c>
    </row>
    <row r="2278" spans="1:45" hidden="1">
      <c r="A2278" t="s">
        <v>299</v>
      </c>
      <c r="B2278" t="s">
        <v>761</v>
      </c>
      <c r="C2278" t="s">
        <v>705</v>
      </c>
      <c r="D2278" t="s">
        <v>463</v>
      </c>
      <c r="E2278" t="s">
        <v>186</v>
      </c>
      <c r="F2278" t="s">
        <v>466</v>
      </c>
      <c r="G2278" t="s">
        <v>467</v>
      </c>
      <c r="H2278">
        <v>0</v>
      </c>
      <c r="I2278">
        <v>0</v>
      </c>
      <c r="J2278">
        <v>0</v>
      </c>
      <c r="K2278">
        <v>0</v>
      </c>
      <c r="AQ2278">
        <v>0</v>
      </c>
      <c r="AR2278">
        <v>509.04</v>
      </c>
      <c r="AS2278">
        <v>0</v>
      </c>
    </row>
    <row r="2279" spans="1:45" hidden="1">
      <c r="A2279" t="s">
        <v>299</v>
      </c>
      <c r="B2279" t="s">
        <v>761</v>
      </c>
      <c r="C2279" t="s">
        <v>706</v>
      </c>
      <c r="D2279" t="s">
        <v>463</v>
      </c>
      <c r="E2279" t="s">
        <v>186</v>
      </c>
      <c r="F2279" t="s">
        <v>464</v>
      </c>
      <c r="G2279" t="s">
        <v>465</v>
      </c>
      <c r="H2279">
        <v>1</v>
      </c>
      <c r="I2279">
        <v>0</v>
      </c>
      <c r="J2279">
        <v>1</v>
      </c>
      <c r="K2279">
        <v>0</v>
      </c>
      <c r="AQ2279">
        <v>2</v>
      </c>
      <c r="AR2279">
        <v>1060.5</v>
      </c>
      <c r="AS2279">
        <v>2121</v>
      </c>
    </row>
    <row r="2280" spans="1:45" hidden="1">
      <c r="A2280" t="s">
        <v>299</v>
      </c>
      <c r="B2280" t="s">
        <v>761</v>
      </c>
      <c r="C2280" t="s">
        <v>707</v>
      </c>
      <c r="D2280" t="s">
        <v>471</v>
      </c>
      <c r="E2280" t="s">
        <v>186</v>
      </c>
      <c r="F2280" t="s">
        <v>472</v>
      </c>
      <c r="G2280" t="s">
        <v>473</v>
      </c>
      <c r="H2280">
        <v>0</v>
      </c>
      <c r="I2280">
        <v>5</v>
      </c>
      <c r="J2280">
        <v>1</v>
      </c>
      <c r="K2280">
        <v>0</v>
      </c>
      <c r="AQ2280">
        <v>6</v>
      </c>
      <c r="AR2280">
        <v>15377.25</v>
      </c>
      <c r="AS2280">
        <v>92263.5</v>
      </c>
    </row>
    <row r="2281" spans="1:45" hidden="1">
      <c r="A2281" t="s">
        <v>299</v>
      </c>
      <c r="B2281" t="s">
        <v>761</v>
      </c>
      <c r="C2281" t="s">
        <v>205</v>
      </c>
      <c r="D2281" t="s">
        <v>206</v>
      </c>
      <c r="E2281" t="s">
        <v>207</v>
      </c>
      <c r="F2281" t="s">
        <v>208</v>
      </c>
      <c r="G2281" t="s">
        <v>209</v>
      </c>
      <c r="H2281">
        <v>54366.73</v>
      </c>
      <c r="I2281">
        <v>20021.830000000002</v>
      </c>
      <c r="J2281">
        <v>31652.49</v>
      </c>
      <c r="K2281">
        <v>0</v>
      </c>
      <c r="AQ2281">
        <v>106041.05</v>
      </c>
      <c r="AR2281">
        <v>0.16159999999999999</v>
      </c>
      <c r="AS2281">
        <v>17136.233680000001</v>
      </c>
    </row>
    <row r="2282" spans="1:45" hidden="1">
      <c r="A2282" t="s">
        <v>299</v>
      </c>
      <c r="B2282" t="s">
        <v>761</v>
      </c>
      <c r="C2282" t="s">
        <v>210</v>
      </c>
      <c r="D2282" t="s">
        <v>211</v>
      </c>
      <c r="E2282" t="s">
        <v>207</v>
      </c>
      <c r="F2282" t="s">
        <v>212</v>
      </c>
      <c r="G2282" t="s">
        <v>209</v>
      </c>
      <c r="H2282">
        <v>54366.73</v>
      </c>
      <c r="I2282">
        <v>20021.830000000002</v>
      </c>
      <c r="J2282">
        <v>31652.49</v>
      </c>
      <c r="K2282">
        <v>0</v>
      </c>
      <c r="AQ2282">
        <v>106041.05</v>
      </c>
      <c r="AR2282">
        <v>0.63629999999999998</v>
      </c>
      <c r="AS2282">
        <v>67473.920115000001</v>
      </c>
    </row>
    <row r="2283" spans="1:45" hidden="1">
      <c r="A2283" t="s">
        <v>299</v>
      </c>
      <c r="B2283" t="s">
        <v>761</v>
      </c>
      <c r="C2283" t="s">
        <v>213</v>
      </c>
      <c r="D2283" t="s">
        <v>214</v>
      </c>
      <c r="E2283" t="s">
        <v>207</v>
      </c>
      <c r="F2283" t="s">
        <v>215</v>
      </c>
      <c r="G2283" t="s">
        <v>152</v>
      </c>
      <c r="H2283">
        <v>54366.73</v>
      </c>
      <c r="I2283">
        <v>20021.830000000002</v>
      </c>
      <c r="J2283">
        <v>31652.49</v>
      </c>
      <c r="K2283">
        <v>0</v>
      </c>
      <c r="AQ2283">
        <v>106041.05</v>
      </c>
      <c r="AR2283">
        <v>0.32319999999999999</v>
      </c>
      <c r="AS2283">
        <v>34272.467360000002</v>
      </c>
    </row>
    <row r="2284" spans="1:45" hidden="1">
      <c r="A2284" t="s">
        <v>299</v>
      </c>
      <c r="B2284" t="s">
        <v>761</v>
      </c>
      <c r="C2284" t="s">
        <v>255</v>
      </c>
      <c r="D2284" t="s">
        <v>256</v>
      </c>
      <c r="E2284" t="s">
        <v>207</v>
      </c>
      <c r="F2284" t="s">
        <v>257</v>
      </c>
      <c r="G2284" t="s">
        <v>258</v>
      </c>
      <c r="H2284">
        <v>347</v>
      </c>
      <c r="I2284">
        <v>16</v>
      </c>
      <c r="J2284">
        <v>244</v>
      </c>
      <c r="K2284">
        <v>0</v>
      </c>
      <c r="AQ2284">
        <v>607</v>
      </c>
      <c r="AR2284">
        <v>31.815000000000001</v>
      </c>
      <c r="AS2284">
        <v>19311.705000000002</v>
      </c>
    </row>
    <row r="2285" spans="1:45" hidden="1">
      <c r="A2285" t="s">
        <v>299</v>
      </c>
      <c r="B2285" t="s">
        <v>761</v>
      </c>
      <c r="C2285" t="s">
        <v>217</v>
      </c>
      <c r="D2285" t="s">
        <v>218</v>
      </c>
      <c r="E2285" t="s">
        <v>207</v>
      </c>
      <c r="F2285" t="s">
        <v>219</v>
      </c>
      <c r="G2285" t="s">
        <v>220</v>
      </c>
      <c r="H2285">
        <v>627</v>
      </c>
      <c r="I2285">
        <v>110</v>
      </c>
      <c r="J2285">
        <v>310</v>
      </c>
      <c r="K2285">
        <v>3</v>
      </c>
      <c r="AQ2285">
        <v>1050</v>
      </c>
      <c r="AR2285">
        <v>9.5950000000000006</v>
      </c>
      <c r="AS2285">
        <v>10074.75</v>
      </c>
    </row>
    <row r="2286" spans="1:45" hidden="1">
      <c r="A2286" t="s">
        <v>299</v>
      </c>
      <c r="B2286" t="s">
        <v>761</v>
      </c>
      <c r="C2286" t="s">
        <v>708</v>
      </c>
      <c r="D2286" t="s">
        <v>474</v>
      </c>
      <c r="E2286" t="s">
        <v>207</v>
      </c>
      <c r="F2286" t="s">
        <v>475</v>
      </c>
      <c r="G2286" t="s">
        <v>476</v>
      </c>
      <c r="H2286">
        <v>1</v>
      </c>
      <c r="I2286">
        <v>5</v>
      </c>
      <c r="J2286">
        <v>0</v>
      </c>
      <c r="K2286">
        <v>0</v>
      </c>
      <c r="AQ2286">
        <v>6</v>
      </c>
      <c r="AR2286">
        <v>79.790000000000006</v>
      </c>
      <c r="AS2286">
        <v>478.74</v>
      </c>
    </row>
    <row r="2287" spans="1:45" hidden="1">
      <c r="A2287" t="s">
        <v>299</v>
      </c>
      <c r="B2287" t="s">
        <v>761</v>
      </c>
      <c r="C2287" t="s">
        <v>709</v>
      </c>
      <c r="D2287" t="s">
        <v>477</v>
      </c>
      <c r="E2287" t="s">
        <v>207</v>
      </c>
      <c r="F2287" t="s">
        <v>478</v>
      </c>
      <c r="G2287" t="s">
        <v>479</v>
      </c>
      <c r="H2287">
        <v>2870</v>
      </c>
      <c r="I2287">
        <v>550</v>
      </c>
      <c r="J2287">
        <v>422</v>
      </c>
      <c r="K2287">
        <v>0</v>
      </c>
      <c r="AQ2287">
        <v>3842</v>
      </c>
      <c r="AR2287">
        <v>2.121</v>
      </c>
      <c r="AS2287">
        <v>8148.8819999999996</v>
      </c>
    </row>
    <row r="2288" spans="1:45" hidden="1">
      <c r="A2288" t="s">
        <v>299</v>
      </c>
      <c r="B2288" t="s">
        <v>761</v>
      </c>
      <c r="C2288" t="s">
        <v>221</v>
      </c>
      <c r="D2288" t="s">
        <v>222</v>
      </c>
      <c r="E2288" t="s">
        <v>207</v>
      </c>
      <c r="F2288" t="s">
        <v>223</v>
      </c>
      <c r="G2288" t="s">
        <v>224</v>
      </c>
      <c r="H2288">
        <v>1</v>
      </c>
      <c r="I2288">
        <v>1</v>
      </c>
      <c r="J2288">
        <v>1</v>
      </c>
      <c r="K2288">
        <v>0</v>
      </c>
      <c r="AQ2288">
        <v>3</v>
      </c>
      <c r="AR2288">
        <v>2651.25</v>
      </c>
      <c r="AS2288">
        <v>7953.75</v>
      </c>
    </row>
    <row r="2289" spans="1:45" hidden="1">
      <c r="A2289" t="s">
        <v>299</v>
      </c>
      <c r="B2289" t="s">
        <v>761</v>
      </c>
      <c r="C2289" t="s">
        <v>225</v>
      </c>
      <c r="D2289" t="s">
        <v>226</v>
      </c>
      <c r="E2289" t="s">
        <v>207</v>
      </c>
      <c r="F2289" t="s">
        <v>227</v>
      </c>
      <c r="G2289" t="s">
        <v>228</v>
      </c>
      <c r="H2289">
        <v>103</v>
      </c>
      <c r="I2289">
        <v>112</v>
      </c>
      <c r="J2289">
        <v>81</v>
      </c>
      <c r="K2289">
        <v>0</v>
      </c>
      <c r="AQ2289">
        <v>296</v>
      </c>
      <c r="AR2289">
        <v>21.21</v>
      </c>
      <c r="AS2289">
        <v>6278.16</v>
      </c>
    </row>
    <row r="2290" spans="1:45" hidden="1">
      <c r="A2290" t="s">
        <v>299</v>
      </c>
      <c r="B2290" t="s">
        <v>761</v>
      </c>
      <c r="C2290" t="s">
        <v>710</v>
      </c>
      <c r="D2290" t="s">
        <v>480</v>
      </c>
      <c r="E2290" t="s">
        <v>207</v>
      </c>
      <c r="F2290" t="s">
        <v>481</v>
      </c>
      <c r="G2290" t="s">
        <v>482</v>
      </c>
      <c r="H2290">
        <v>2</v>
      </c>
      <c r="I2290">
        <v>0</v>
      </c>
      <c r="J2290">
        <v>0</v>
      </c>
      <c r="K2290">
        <v>0</v>
      </c>
      <c r="AQ2290">
        <v>2</v>
      </c>
      <c r="AR2290">
        <v>1272.5999999999999</v>
      </c>
      <c r="AS2290">
        <v>2545.1999999999998</v>
      </c>
    </row>
    <row r="2291" spans="1:45" hidden="1">
      <c r="A2291" t="s">
        <v>299</v>
      </c>
      <c r="B2291" t="s">
        <v>761</v>
      </c>
      <c r="C2291" t="s">
        <v>711</v>
      </c>
      <c r="D2291" t="s">
        <v>488</v>
      </c>
      <c r="E2291" t="s">
        <v>207</v>
      </c>
      <c r="F2291" t="s">
        <v>489</v>
      </c>
      <c r="G2291" t="s">
        <v>490</v>
      </c>
      <c r="H2291">
        <v>0</v>
      </c>
      <c r="I2291">
        <v>3644.98</v>
      </c>
      <c r="J2291">
        <v>0</v>
      </c>
      <c r="K2291">
        <v>0</v>
      </c>
      <c r="AQ2291">
        <v>3644.98</v>
      </c>
      <c r="AR2291">
        <v>0.5353</v>
      </c>
      <c r="AS2291">
        <v>1951.157794</v>
      </c>
    </row>
    <row r="2292" spans="1:45" hidden="1">
      <c r="A2292" t="s">
        <v>299</v>
      </c>
      <c r="B2292" t="s">
        <v>761</v>
      </c>
      <c r="C2292" t="s">
        <v>712</v>
      </c>
      <c r="D2292" t="s">
        <v>483</v>
      </c>
      <c r="E2292" t="s">
        <v>207</v>
      </c>
      <c r="F2292" t="s">
        <v>484</v>
      </c>
      <c r="G2292" t="s">
        <v>392</v>
      </c>
      <c r="H2292">
        <v>0</v>
      </c>
      <c r="I2292">
        <v>0</v>
      </c>
      <c r="J2292">
        <v>0</v>
      </c>
      <c r="K2292">
        <v>0</v>
      </c>
      <c r="AQ2292">
        <v>0</v>
      </c>
      <c r="AR2292">
        <v>2121</v>
      </c>
      <c r="AS2292">
        <v>0</v>
      </c>
    </row>
    <row r="2293" spans="1:45" hidden="1">
      <c r="A2293" t="s">
        <v>299</v>
      </c>
      <c r="B2293" t="s">
        <v>761</v>
      </c>
      <c r="C2293" t="s">
        <v>713</v>
      </c>
      <c r="D2293" t="s">
        <v>485</v>
      </c>
      <c r="E2293" t="s">
        <v>207</v>
      </c>
      <c r="F2293" t="s">
        <v>486</v>
      </c>
      <c r="G2293" t="s">
        <v>487</v>
      </c>
      <c r="H2293">
        <v>0</v>
      </c>
      <c r="I2293">
        <v>0</v>
      </c>
      <c r="J2293">
        <v>0</v>
      </c>
      <c r="K2293">
        <v>0</v>
      </c>
      <c r="AQ2293">
        <v>0</v>
      </c>
      <c r="AR2293">
        <v>265.125</v>
      </c>
      <c r="AS2293">
        <v>0</v>
      </c>
    </row>
    <row r="2294" spans="1:45" hidden="1">
      <c r="A2294" t="s">
        <v>299</v>
      </c>
      <c r="B2294" t="s">
        <v>761</v>
      </c>
      <c r="C2294" t="s">
        <v>229</v>
      </c>
      <c r="D2294" t="s">
        <v>230</v>
      </c>
      <c r="E2294" t="s">
        <v>231</v>
      </c>
      <c r="F2294" t="s">
        <v>232</v>
      </c>
      <c r="G2294" t="s">
        <v>233</v>
      </c>
      <c r="H2294">
        <v>13</v>
      </c>
      <c r="I2294">
        <v>5</v>
      </c>
      <c r="J2294">
        <v>11</v>
      </c>
      <c r="K2294">
        <v>0</v>
      </c>
      <c r="AQ2294">
        <v>29</v>
      </c>
      <c r="AR2294">
        <v>1484.7</v>
      </c>
      <c r="AS2294">
        <v>43056.3</v>
      </c>
    </row>
    <row r="2295" spans="1:45" hidden="1">
      <c r="A2295" t="s">
        <v>299</v>
      </c>
      <c r="B2295" t="s">
        <v>761</v>
      </c>
      <c r="C2295" t="s">
        <v>234</v>
      </c>
      <c r="D2295" t="s">
        <v>230</v>
      </c>
      <c r="E2295" t="s">
        <v>231</v>
      </c>
      <c r="F2295" t="s">
        <v>285</v>
      </c>
      <c r="G2295" t="s">
        <v>233</v>
      </c>
      <c r="H2295">
        <v>14</v>
      </c>
      <c r="I2295">
        <v>2</v>
      </c>
      <c r="J2295">
        <v>0</v>
      </c>
      <c r="K2295">
        <v>0</v>
      </c>
      <c r="AQ2295">
        <v>16</v>
      </c>
      <c r="AR2295">
        <v>1696.8</v>
      </c>
      <c r="AS2295">
        <v>27148.799999999999</v>
      </c>
    </row>
    <row r="2296" spans="1:45" hidden="1">
      <c r="A2296" t="s">
        <v>299</v>
      </c>
      <c r="B2296" t="s">
        <v>761</v>
      </c>
      <c r="C2296" t="s">
        <v>714</v>
      </c>
      <c r="D2296" t="s">
        <v>230</v>
      </c>
      <c r="E2296" t="s">
        <v>231</v>
      </c>
      <c r="F2296" t="s">
        <v>491</v>
      </c>
      <c r="G2296" t="s">
        <v>233</v>
      </c>
      <c r="H2296">
        <v>3</v>
      </c>
      <c r="I2296">
        <v>0</v>
      </c>
      <c r="J2296">
        <v>0</v>
      </c>
      <c r="K2296">
        <v>0</v>
      </c>
      <c r="AQ2296">
        <v>3</v>
      </c>
      <c r="AR2296">
        <v>1908.9</v>
      </c>
      <c r="AS2296">
        <v>5726.7</v>
      </c>
    </row>
    <row r="2297" spans="1:45" hidden="1">
      <c r="A2297" t="s">
        <v>299</v>
      </c>
      <c r="B2297" t="s">
        <v>761</v>
      </c>
      <c r="C2297" t="s">
        <v>236</v>
      </c>
      <c r="D2297" t="s">
        <v>237</v>
      </c>
      <c r="E2297" t="s">
        <v>231</v>
      </c>
      <c r="F2297" t="s">
        <v>238</v>
      </c>
      <c r="G2297" t="s">
        <v>239</v>
      </c>
      <c r="H2297">
        <v>6</v>
      </c>
      <c r="I2297">
        <v>0</v>
      </c>
      <c r="J2297">
        <v>1</v>
      </c>
      <c r="K2297">
        <v>0</v>
      </c>
      <c r="AQ2297">
        <v>7</v>
      </c>
      <c r="AR2297">
        <v>265.125</v>
      </c>
      <c r="AS2297">
        <v>1855.875</v>
      </c>
    </row>
    <row r="2298" spans="1:45" hidden="1">
      <c r="A2298" t="s">
        <v>299</v>
      </c>
      <c r="B2298" t="s">
        <v>761</v>
      </c>
      <c r="C2298" t="s">
        <v>715</v>
      </c>
      <c r="D2298" t="s">
        <v>492</v>
      </c>
      <c r="E2298" t="s">
        <v>231</v>
      </c>
      <c r="F2298" t="s">
        <v>493</v>
      </c>
      <c r="G2298" t="s">
        <v>494</v>
      </c>
      <c r="H2298">
        <v>0</v>
      </c>
      <c r="I2298">
        <v>0</v>
      </c>
      <c r="J2298">
        <v>0</v>
      </c>
      <c r="K2298">
        <v>0</v>
      </c>
      <c r="AQ2298">
        <v>0</v>
      </c>
      <c r="AR2298">
        <v>742.35</v>
      </c>
      <c r="AS2298">
        <v>0</v>
      </c>
    </row>
    <row r="2299" spans="1:45" hidden="1">
      <c r="A2299" t="s">
        <v>299</v>
      </c>
      <c r="B2299" t="s">
        <v>761</v>
      </c>
      <c r="C2299" t="s">
        <v>716</v>
      </c>
      <c r="D2299" t="s">
        <v>495</v>
      </c>
      <c r="E2299" t="s">
        <v>231</v>
      </c>
      <c r="F2299" t="s">
        <v>496</v>
      </c>
      <c r="G2299" t="s">
        <v>497</v>
      </c>
      <c r="H2299">
        <v>1</v>
      </c>
      <c r="I2299">
        <v>0</v>
      </c>
      <c r="J2299">
        <v>1</v>
      </c>
      <c r="K2299">
        <v>0</v>
      </c>
      <c r="AQ2299">
        <v>2</v>
      </c>
      <c r="AR2299">
        <v>848.4</v>
      </c>
      <c r="AS2299">
        <v>1696.8</v>
      </c>
    </row>
    <row r="2300" spans="1:45" hidden="1">
      <c r="A2300" t="s">
        <v>299</v>
      </c>
      <c r="B2300" t="s">
        <v>761</v>
      </c>
      <c r="C2300" t="s">
        <v>717</v>
      </c>
      <c r="D2300" t="s">
        <v>498</v>
      </c>
      <c r="E2300" t="s">
        <v>242</v>
      </c>
      <c r="F2300" t="s">
        <v>499</v>
      </c>
      <c r="G2300" t="s">
        <v>500</v>
      </c>
      <c r="H2300">
        <v>54366.73</v>
      </c>
      <c r="I2300">
        <v>20021.830000000002</v>
      </c>
      <c r="J2300">
        <v>31652.49</v>
      </c>
      <c r="K2300">
        <v>358</v>
      </c>
      <c r="AQ2300">
        <v>106399.05</v>
      </c>
      <c r="AR2300">
        <v>1.4341999999999999</v>
      </c>
      <c r="AS2300">
        <v>152597.51751000001</v>
      </c>
    </row>
    <row r="2301" spans="1:45" hidden="1">
      <c r="A2301" t="s">
        <v>299</v>
      </c>
      <c r="B2301" t="s">
        <v>761</v>
      </c>
      <c r="C2301" t="s">
        <v>718</v>
      </c>
      <c r="D2301" t="s">
        <v>504</v>
      </c>
      <c r="E2301" t="s">
        <v>242</v>
      </c>
      <c r="F2301" t="s">
        <v>505</v>
      </c>
      <c r="G2301" t="s">
        <v>506</v>
      </c>
      <c r="H2301">
        <v>4875</v>
      </c>
      <c r="I2301">
        <v>1156</v>
      </c>
      <c r="J2301">
        <v>13527</v>
      </c>
      <c r="K2301">
        <v>0</v>
      </c>
      <c r="AQ2301">
        <v>19558</v>
      </c>
      <c r="AR2301">
        <v>0.84840000000000004</v>
      </c>
      <c r="AS2301">
        <v>16593.0072</v>
      </c>
    </row>
    <row r="2302" spans="1:45" hidden="1">
      <c r="A2302" t="s">
        <v>299</v>
      </c>
      <c r="B2302" t="s">
        <v>761</v>
      </c>
      <c r="C2302" t="s">
        <v>719</v>
      </c>
      <c r="D2302" t="s">
        <v>501</v>
      </c>
      <c r="E2302" t="s">
        <v>242</v>
      </c>
      <c r="F2302" t="s">
        <v>502</v>
      </c>
      <c r="G2302" t="s">
        <v>503</v>
      </c>
      <c r="H2302">
        <v>2</v>
      </c>
      <c r="I2302">
        <v>1</v>
      </c>
      <c r="J2302">
        <v>1</v>
      </c>
      <c r="K2302">
        <v>0</v>
      </c>
      <c r="AQ2302">
        <v>4</v>
      </c>
      <c r="AR2302">
        <v>1272.5999999999999</v>
      </c>
      <c r="AS2302">
        <v>5090.3999999999996</v>
      </c>
    </row>
    <row r="2303" spans="1:45" hidden="1">
      <c r="A2303" t="s">
        <v>299</v>
      </c>
      <c r="B2303" t="s">
        <v>761</v>
      </c>
      <c r="C2303" t="s">
        <v>720</v>
      </c>
      <c r="D2303" t="s">
        <v>518</v>
      </c>
      <c r="E2303" t="s">
        <v>242</v>
      </c>
      <c r="F2303" t="s">
        <v>519</v>
      </c>
      <c r="G2303" t="s">
        <v>517</v>
      </c>
      <c r="H2303">
        <v>0</v>
      </c>
      <c r="I2303">
        <v>0</v>
      </c>
      <c r="J2303">
        <v>0</v>
      </c>
      <c r="K2303">
        <v>0</v>
      </c>
      <c r="AQ2303">
        <v>0</v>
      </c>
      <c r="AR2303">
        <v>3181.5</v>
      </c>
      <c r="AS2303">
        <v>0</v>
      </c>
    </row>
    <row r="2304" spans="1:45" hidden="1">
      <c r="A2304" t="s">
        <v>299</v>
      </c>
      <c r="B2304" t="s">
        <v>761</v>
      </c>
      <c r="C2304" t="s">
        <v>721</v>
      </c>
      <c r="D2304" t="s">
        <v>520</v>
      </c>
      <c r="E2304" t="s">
        <v>242</v>
      </c>
      <c r="F2304" t="s">
        <v>521</v>
      </c>
      <c r="G2304" t="s">
        <v>517</v>
      </c>
      <c r="H2304">
        <v>0</v>
      </c>
      <c r="I2304">
        <v>0</v>
      </c>
      <c r="J2304">
        <v>0</v>
      </c>
      <c r="K2304">
        <v>0</v>
      </c>
      <c r="AQ2304">
        <v>0</v>
      </c>
      <c r="AR2304">
        <v>2651.25</v>
      </c>
      <c r="AS2304">
        <v>0</v>
      </c>
    </row>
    <row r="2305" spans="1:45" hidden="1">
      <c r="A2305" t="s">
        <v>299</v>
      </c>
      <c r="B2305" t="s">
        <v>761</v>
      </c>
      <c r="C2305" t="s">
        <v>240</v>
      </c>
      <c r="D2305" t="s">
        <v>241</v>
      </c>
      <c r="E2305" t="s">
        <v>242</v>
      </c>
      <c r="F2305" t="s">
        <v>243</v>
      </c>
      <c r="G2305" t="s">
        <v>244</v>
      </c>
      <c r="H2305">
        <v>6</v>
      </c>
      <c r="I2305">
        <v>2</v>
      </c>
      <c r="J2305">
        <v>2</v>
      </c>
      <c r="K2305">
        <v>0</v>
      </c>
      <c r="AQ2305">
        <v>10</v>
      </c>
      <c r="AR2305">
        <v>318.14999999999998</v>
      </c>
      <c r="AS2305">
        <v>3181.5</v>
      </c>
    </row>
    <row r="2306" spans="1:45" hidden="1">
      <c r="A2306" t="s">
        <v>299</v>
      </c>
      <c r="B2306" t="s">
        <v>761</v>
      </c>
      <c r="C2306" t="s">
        <v>245</v>
      </c>
      <c r="D2306" t="s">
        <v>246</v>
      </c>
      <c r="E2306" t="s">
        <v>242</v>
      </c>
      <c r="F2306" t="s">
        <v>247</v>
      </c>
      <c r="G2306" t="s">
        <v>248</v>
      </c>
      <c r="H2306">
        <v>9</v>
      </c>
      <c r="I2306">
        <v>3</v>
      </c>
      <c r="J2306">
        <v>2</v>
      </c>
      <c r="K2306">
        <v>0</v>
      </c>
      <c r="AQ2306">
        <v>14</v>
      </c>
      <c r="AR2306">
        <v>265.125</v>
      </c>
      <c r="AS2306">
        <v>3711.75</v>
      </c>
    </row>
    <row r="2307" spans="1:45" hidden="1">
      <c r="A2307" t="s">
        <v>299</v>
      </c>
      <c r="B2307" t="s">
        <v>761</v>
      </c>
      <c r="C2307" t="s">
        <v>259</v>
      </c>
      <c r="D2307" t="s">
        <v>260</v>
      </c>
      <c r="E2307" t="s">
        <v>242</v>
      </c>
      <c r="F2307" t="s">
        <v>261</v>
      </c>
      <c r="G2307" t="s">
        <v>262</v>
      </c>
      <c r="H2307">
        <v>60</v>
      </c>
      <c r="I2307">
        <v>2</v>
      </c>
      <c r="J2307">
        <v>34</v>
      </c>
      <c r="K2307">
        <v>0</v>
      </c>
      <c r="AQ2307">
        <v>96</v>
      </c>
      <c r="AR2307">
        <v>318.14999999999998</v>
      </c>
      <c r="AS2307">
        <v>30542.400000000001</v>
      </c>
    </row>
    <row r="2308" spans="1:45" hidden="1">
      <c r="A2308" t="s">
        <v>299</v>
      </c>
      <c r="B2308" t="s">
        <v>761</v>
      </c>
      <c r="C2308" t="s">
        <v>722</v>
      </c>
      <c r="D2308" t="s">
        <v>507</v>
      </c>
      <c r="E2308" t="s">
        <v>242</v>
      </c>
      <c r="F2308" t="s">
        <v>508</v>
      </c>
      <c r="G2308" t="s">
        <v>509</v>
      </c>
      <c r="H2308">
        <v>0</v>
      </c>
      <c r="I2308">
        <v>0</v>
      </c>
      <c r="J2308">
        <v>0</v>
      </c>
      <c r="K2308">
        <v>0</v>
      </c>
      <c r="AQ2308">
        <v>0</v>
      </c>
      <c r="AR2308">
        <v>2121</v>
      </c>
      <c r="AS2308">
        <v>0</v>
      </c>
    </row>
    <row r="2309" spans="1:45" hidden="1">
      <c r="A2309" t="s">
        <v>299</v>
      </c>
      <c r="B2309" t="s">
        <v>761</v>
      </c>
      <c r="C2309" t="s">
        <v>723</v>
      </c>
      <c r="D2309" t="s">
        <v>510</v>
      </c>
      <c r="E2309" t="s">
        <v>242</v>
      </c>
      <c r="F2309" t="s">
        <v>511</v>
      </c>
      <c r="G2309" t="s">
        <v>512</v>
      </c>
      <c r="H2309">
        <v>8</v>
      </c>
      <c r="I2309">
        <v>0</v>
      </c>
      <c r="J2309">
        <v>0</v>
      </c>
      <c r="K2309">
        <v>0</v>
      </c>
      <c r="AQ2309">
        <v>8</v>
      </c>
      <c r="AR2309">
        <v>212.1</v>
      </c>
      <c r="AS2309">
        <v>1696.8</v>
      </c>
    </row>
    <row r="2310" spans="1:45" hidden="1">
      <c r="A2310" t="s">
        <v>299</v>
      </c>
      <c r="B2310" t="s">
        <v>761</v>
      </c>
      <c r="C2310" t="s">
        <v>724</v>
      </c>
      <c r="D2310" t="s">
        <v>526</v>
      </c>
      <c r="E2310" t="s">
        <v>242</v>
      </c>
      <c r="F2310" t="s">
        <v>527</v>
      </c>
      <c r="G2310" t="s">
        <v>528</v>
      </c>
      <c r="H2310">
        <v>1808</v>
      </c>
      <c r="I2310">
        <v>107</v>
      </c>
      <c r="J2310">
        <v>10021</v>
      </c>
      <c r="K2310">
        <v>0</v>
      </c>
      <c r="AQ2310">
        <v>11936</v>
      </c>
      <c r="AR2310">
        <v>0.42420000000000002</v>
      </c>
      <c r="AS2310">
        <v>5063.2511999999997</v>
      </c>
    </row>
    <row r="2311" spans="1:45" hidden="1">
      <c r="A2311" t="s">
        <v>299</v>
      </c>
      <c r="B2311" t="s">
        <v>761</v>
      </c>
      <c r="C2311" t="s">
        <v>725</v>
      </c>
      <c r="D2311" t="s">
        <v>529</v>
      </c>
      <c r="E2311" t="s">
        <v>242</v>
      </c>
      <c r="F2311" t="s">
        <v>530</v>
      </c>
      <c r="G2311" t="s">
        <v>531</v>
      </c>
      <c r="H2311">
        <v>10</v>
      </c>
      <c r="I2311">
        <v>0</v>
      </c>
      <c r="J2311">
        <v>0</v>
      </c>
      <c r="K2311">
        <v>0</v>
      </c>
      <c r="AQ2311">
        <v>10</v>
      </c>
      <c r="AR2311">
        <v>212.1</v>
      </c>
      <c r="AS2311">
        <v>2121</v>
      </c>
    </row>
    <row r="2312" spans="1:45" hidden="1">
      <c r="A2312" t="s">
        <v>299</v>
      </c>
      <c r="B2312" t="s">
        <v>761</v>
      </c>
      <c r="C2312" t="s">
        <v>726</v>
      </c>
      <c r="D2312" t="s">
        <v>532</v>
      </c>
      <c r="E2312" t="s">
        <v>242</v>
      </c>
      <c r="F2312" t="s">
        <v>533</v>
      </c>
      <c r="G2312" t="s">
        <v>534</v>
      </c>
      <c r="H2312">
        <v>49</v>
      </c>
      <c r="I2312">
        <v>0</v>
      </c>
      <c r="J2312">
        <v>48</v>
      </c>
      <c r="K2312">
        <v>0</v>
      </c>
      <c r="AQ2312">
        <v>97</v>
      </c>
      <c r="AR2312">
        <v>21.21</v>
      </c>
      <c r="AS2312">
        <v>2057.37</v>
      </c>
    </row>
    <row r="2313" spans="1:45" hidden="1">
      <c r="A2313" t="s">
        <v>299</v>
      </c>
      <c r="B2313" t="s">
        <v>761</v>
      </c>
      <c r="C2313" t="s">
        <v>727</v>
      </c>
      <c r="D2313" t="s">
        <v>287</v>
      </c>
      <c r="E2313" t="s">
        <v>242</v>
      </c>
      <c r="F2313" t="s">
        <v>537</v>
      </c>
      <c r="G2313" t="s">
        <v>538</v>
      </c>
      <c r="H2313">
        <v>0</v>
      </c>
      <c r="I2313">
        <v>0</v>
      </c>
      <c r="J2313">
        <v>0</v>
      </c>
      <c r="K2313">
        <v>0</v>
      </c>
      <c r="AQ2313">
        <v>0</v>
      </c>
      <c r="AR2313">
        <v>127.26</v>
      </c>
      <c r="AS2313">
        <v>0</v>
      </c>
    </row>
    <row r="2314" spans="1:45" hidden="1">
      <c r="A2314" t="s">
        <v>299</v>
      </c>
      <c r="B2314" t="s">
        <v>761</v>
      </c>
      <c r="C2314" t="s">
        <v>728</v>
      </c>
      <c r="D2314" t="s">
        <v>287</v>
      </c>
      <c r="E2314" t="s">
        <v>242</v>
      </c>
      <c r="F2314" t="s">
        <v>535</v>
      </c>
      <c r="G2314" t="s">
        <v>536</v>
      </c>
      <c r="H2314">
        <v>0</v>
      </c>
      <c r="I2314">
        <v>0</v>
      </c>
      <c r="J2314">
        <v>0</v>
      </c>
      <c r="K2314">
        <v>0</v>
      </c>
      <c r="AQ2314">
        <v>0</v>
      </c>
      <c r="AR2314">
        <v>424.2</v>
      </c>
      <c r="AS2314">
        <v>0</v>
      </c>
    </row>
    <row r="2315" spans="1:45" hidden="1">
      <c r="A2315" t="s">
        <v>299</v>
      </c>
      <c r="B2315" t="s">
        <v>761</v>
      </c>
      <c r="C2315" t="s">
        <v>729</v>
      </c>
      <c r="D2315" t="s">
        <v>522</v>
      </c>
      <c r="E2315" t="s">
        <v>242</v>
      </c>
      <c r="F2315" t="s">
        <v>523</v>
      </c>
      <c r="G2315" t="s">
        <v>517</v>
      </c>
      <c r="H2315">
        <v>0</v>
      </c>
      <c r="I2315">
        <v>0</v>
      </c>
      <c r="J2315">
        <v>0</v>
      </c>
      <c r="K2315">
        <v>0</v>
      </c>
      <c r="AQ2315">
        <v>0</v>
      </c>
      <c r="AR2315">
        <v>1272.5999999999999</v>
      </c>
      <c r="AS2315">
        <v>0</v>
      </c>
    </row>
    <row r="2316" spans="1:45" hidden="1">
      <c r="A2316" t="s">
        <v>299</v>
      </c>
      <c r="B2316" t="s">
        <v>761</v>
      </c>
      <c r="C2316" t="s">
        <v>730</v>
      </c>
      <c r="D2316" t="s">
        <v>515</v>
      </c>
      <c r="E2316" t="s">
        <v>242</v>
      </c>
      <c r="F2316" t="s">
        <v>516</v>
      </c>
      <c r="G2316" t="s">
        <v>517</v>
      </c>
      <c r="H2316">
        <v>0</v>
      </c>
      <c r="I2316">
        <v>0</v>
      </c>
      <c r="J2316">
        <v>0</v>
      </c>
      <c r="K2316">
        <v>0</v>
      </c>
      <c r="AQ2316">
        <v>0</v>
      </c>
      <c r="AR2316">
        <v>3181.5</v>
      </c>
      <c r="AS2316">
        <v>0</v>
      </c>
    </row>
    <row r="2317" spans="1:45" hidden="1">
      <c r="A2317" t="s">
        <v>299</v>
      </c>
      <c r="B2317" t="s">
        <v>761</v>
      </c>
      <c r="C2317" t="s">
        <v>731</v>
      </c>
      <c r="D2317" t="s">
        <v>524</v>
      </c>
      <c r="E2317" t="s">
        <v>242</v>
      </c>
      <c r="F2317" t="s">
        <v>525</v>
      </c>
      <c r="G2317" t="s">
        <v>503</v>
      </c>
      <c r="H2317">
        <v>0</v>
      </c>
      <c r="I2317">
        <v>0</v>
      </c>
      <c r="J2317">
        <v>0</v>
      </c>
      <c r="K2317">
        <v>0</v>
      </c>
      <c r="AQ2317">
        <v>0</v>
      </c>
      <c r="AR2317">
        <v>15907.5</v>
      </c>
      <c r="AS2317">
        <v>0</v>
      </c>
    </row>
    <row r="2318" spans="1:45" hidden="1">
      <c r="A2318" t="s">
        <v>299</v>
      </c>
      <c r="B2318" t="s">
        <v>761</v>
      </c>
      <c r="C2318" t="s">
        <v>732</v>
      </c>
      <c r="D2318" t="s">
        <v>513</v>
      </c>
      <c r="E2318" t="s">
        <v>242</v>
      </c>
      <c r="F2318" t="s">
        <v>514</v>
      </c>
      <c r="G2318" t="s">
        <v>453</v>
      </c>
      <c r="H2318">
        <v>0</v>
      </c>
      <c r="I2318">
        <v>0</v>
      </c>
      <c r="J2318">
        <v>0</v>
      </c>
      <c r="K2318">
        <v>0</v>
      </c>
      <c r="AQ2318">
        <v>0</v>
      </c>
      <c r="AR2318">
        <v>848.4</v>
      </c>
      <c r="AS2318">
        <v>0</v>
      </c>
    </row>
    <row r="2319" spans="1:45" hidden="1">
      <c r="A2319" t="s">
        <v>299</v>
      </c>
      <c r="B2319" t="s">
        <v>761</v>
      </c>
      <c r="C2319" t="s">
        <v>733</v>
      </c>
      <c r="D2319" t="s">
        <v>287</v>
      </c>
      <c r="E2319" t="s">
        <v>242</v>
      </c>
      <c r="F2319" t="s">
        <v>539</v>
      </c>
      <c r="G2319" t="s">
        <v>540</v>
      </c>
      <c r="H2319">
        <v>50889</v>
      </c>
      <c r="I2319">
        <v>17115</v>
      </c>
      <c r="J2319">
        <v>30140</v>
      </c>
      <c r="K2319">
        <v>0</v>
      </c>
      <c r="AQ2319">
        <v>98144</v>
      </c>
      <c r="AR2319">
        <v>8.08</v>
      </c>
      <c r="AS2319">
        <v>793003.52000000002</v>
      </c>
    </row>
    <row r="2320" spans="1:45" hidden="1">
      <c r="A2320" t="s">
        <v>299</v>
      </c>
      <c r="B2320" t="s">
        <v>761</v>
      </c>
      <c r="C2320" t="s">
        <v>734</v>
      </c>
      <c r="D2320" t="s">
        <v>287</v>
      </c>
      <c r="E2320" t="s">
        <v>242</v>
      </c>
      <c r="F2320" t="s">
        <v>541</v>
      </c>
      <c r="G2320" t="s">
        <v>540</v>
      </c>
      <c r="H2320">
        <v>76333</v>
      </c>
      <c r="I2320">
        <v>25672</v>
      </c>
      <c r="J2320">
        <v>45209</v>
      </c>
      <c r="K2320">
        <v>1074</v>
      </c>
      <c r="AQ2320">
        <v>148288</v>
      </c>
      <c r="AR2320">
        <v>7.4740000000000002</v>
      </c>
      <c r="AS2320">
        <v>1108304.5120000001</v>
      </c>
    </row>
    <row r="2321" spans="1:45" hidden="1">
      <c r="A2321" t="s">
        <v>299</v>
      </c>
      <c r="B2321" t="s">
        <v>761</v>
      </c>
      <c r="C2321" t="s">
        <v>735</v>
      </c>
      <c r="D2321" t="s">
        <v>543</v>
      </c>
      <c r="E2321" t="s">
        <v>542</v>
      </c>
      <c r="F2321" t="s">
        <v>544</v>
      </c>
      <c r="G2321" t="s">
        <v>545</v>
      </c>
      <c r="AQ2321">
        <v>0</v>
      </c>
      <c r="AR2321">
        <v>0</v>
      </c>
      <c r="AS2321">
        <v>0</v>
      </c>
    </row>
    <row r="2322" spans="1:45" hidden="1">
      <c r="A2322" t="s">
        <v>299</v>
      </c>
      <c r="B2322" t="s">
        <v>761</v>
      </c>
      <c r="C2322" t="s">
        <v>286</v>
      </c>
      <c r="D2322" t="s">
        <v>287</v>
      </c>
      <c r="E2322" t="s">
        <v>288</v>
      </c>
      <c r="F2322" t="s">
        <v>289</v>
      </c>
      <c r="G2322" t="s">
        <v>547</v>
      </c>
      <c r="AQ2322">
        <v>0</v>
      </c>
      <c r="AR2322">
        <v>0.05</v>
      </c>
      <c r="AS2322">
        <v>224562.49296999999</v>
      </c>
    </row>
    <row r="2323" spans="1:45" hidden="1">
      <c r="A2323" t="s">
        <v>299</v>
      </c>
      <c r="B2323" t="s">
        <v>761</v>
      </c>
      <c r="C2323" t="s">
        <v>291</v>
      </c>
      <c r="D2323" t="s">
        <v>287</v>
      </c>
      <c r="E2323" t="s">
        <v>288</v>
      </c>
      <c r="F2323" t="s">
        <v>292</v>
      </c>
      <c r="G2323" t="s">
        <v>293</v>
      </c>
      <c r="AQ2323">
        <v>0</v>
      </c>
      <c r="AR2323">
        <v>6.0600000000000001E-2</v>
      </c>
      <c r="AS2323">
        <v>0</v>
      </c>
    </row>
    <row r="2324" spans="1:45" hidden="1">
      <c r="A2324" t="s">
        <v>299</v>
      </c>
      <c r="B2324" t="s">
        <v>761</v>
      </c>
      <c r="C2324" t="s">
        <v>736</v>
      </c>
      <c r="D2324" t="s">
        <v>287</v>
      </c>
      <c r="E2324" t="s">
        <v>288</v>
      </c>
      <c r="F2324" t="s">
        <v>550</v>
      </c>
      <c r="G2324" t="s">
        <v>293</v>
      </c>
      <c r="AQ2324">
        <v>0</v>
      </c>
      <c r="AR2324">
        <v>5.0500000000000003E-2</v>
      </c>
      <c r="AS2324">
        <v>0</v>
      </c>
    </row>
    <row r="2325" spans="1:45" hidden="1">
      <c r="A2325" t="s">
        <v>299</v>
      </c>
      <c r="B2325" t="s">
        <v>761</v>
      </c>
      <c r="C2325" t="s">
        <v>737</v>
      </c>
      <c r="D2325" t="s">
        <v>287</v>
      </c>
      <c r="E2325" t="s">
        <v>288</v>
      </c>
      <c r="F2325" t="s">
        <v>548</v>
      </c>
      <c r="G2325" t="s">
        <v>293</v>
      </c>
      <c r="AQ2325">
        <v>0</v>
      </c>
      <c r="AR2325">
        <v>0.1111</v>
      </c>
      <c r="AS2325">
        <v>0</v>
      </c>
    </row>
    <row r="2326" spans="1:45" hidden="1">
      <c r="A2326" t="s">
        <v>299</v>
      </c>
      <c r="B2326" t="s">
        <v>761</v>
      </c>
      <c r="C2326" t="s">
        <v>738</v>
      </c>
      <c r="D2326" t="s">
        <v>287</v>
      </c>
      <c r="E2326" t="s">
        <v>288</v>
      </c>
      <c r="F2326" t="s">
        <v>549</v>
      </c>
      <c r="G2326" t="s">
        <v>293</v>
      </c>
      <c r="AQ2326">
        <v>0</v>
      </c>
      <c r="AR2326">
        <v>0.10100000000000001</v>
      </c>
      <c r="AS2326">
        <v>0</v>
      </c>
    </row>
    <row r="2327" spans="1:45" hidden="1">
      <c r="A2327" t="s">
        <v>59</v>
      </c>
      <c r="B2327" t="s">
        <v>762</v>
      </c>
      <c r="C2327" t="s">
        <v>641</v>
      </c>
      <c r="D2327" t="s">
        <v>324</v>
      </c>
      <c r="E2327" t="s">
        <v>323</v>
      </c>
      <c r="F2327" t="s">
        <v>325</v>
      </c>
      <c r="G2327" t="s">
        <v>326</v>
      </c>
      <c r="H2327">
        <v>597804</v>
      </c>
      <c r="I2327">
        <v>14946</v>
      </c>
      <c r="AQ2327">
        <v>612750</v>
      </c>
      <c r="AR2327">
        <v>1.35E-2</v>
      </c>
      <c r="AS2327">
        <v>8272.125</v>
      </c>
    </row>
    <row r="2328" spans="1:45" hidden="1">
      <c r="A2328" t="s">
        <v>59</v>
      </c>
      <c r="B2328" t="s">
        <v>762</v>
      </c>
      <c r="C2328" t="s">
        <v>642</v>
      </c>
      <c r="D2328" t="s">
        <v>327</v>
      </c>
      <c r="E2328" t="s">
        <v>323</v>
      </c>
      <c r="F2328" t="s">
        <v>328</v>
      </c>
      <c r="G2328" t="s">
        <v>329</v>
      </c>
      <c r="AQ2328">
        <v>0</v>
      </c>
      <c r="AR2328">
        <v>5.9330000000000001E-2</v>
      </c>
      <c r="AS2328">
        <v>0</v>
      </c>
    </row>
    <row r="2329" spans="1:45" hidden="1">
      <c r="A2329" t="s">
        <v>59</v>
      </c>
      <c r="B2329" t="s">
        <v>762</v>
      </c>
      <c r="C2329" t="s">
        <v>643</v>
      </c>
      <c r="D2329" t="s">
        <v>330</v>
      </c>
      <c r="E2329" t="s">
        <v>323</v>
      </c>
      <c r="F2329" t="s">
        <v>331</v>
      </c>
      <c r="G2329" t="s">
        <v>740</v>
      </c>
      <c r="AQ2329">
        <v>0</v>
      </c>
      <c r="AR2329">
        <v>0.1</v>
      </c>
      <c r="AS2329">
        <v>0</v>
      </c>
    </row>
    <row r="2330" spans="1:45" hidden="1">
      <c r="A2330" t="s">
        <v>59</v>
      </c>
      <c r="B2330" t="s">
        <v>762</v>
      </c>
      <c r="C2330" t="s">
        <v>644</v>
      </c>
      <c r="D2330" t="s">
        <v>332</v>
      </c>
      <c r="E2330" t="s">
        <v>323</v>
      </c>
      <c r="F2330" t="s">
        <v>333</v>
      </c>
      <c r="G2330" t="s">
        <v>740</v>
      </c>
      <c r="AQ2330">
        <v>0</v>
      </c>
      <c r="AR2330">
        <v>0.125</v>
      </c>
      <c r="AS2330">
        <v>0</v>
      </c>
    </row>
    <row r="2331" spans="1:45" hidden="1">
      <c r="A2331" t="s">
        <v>59</v>
      </c>
      <c r="B2331" t="s">
        <v>762</v>
      </c>
      <c r="C2331" t="s">
        <v>645</v>
      </c>
      <c r="D2331" t="s">
        <v>334</v>
      </c>
      <c r="E2331" t="s">
        <v>323</v>
      </c>
      <c r="F2331" t="s">
        <v>335</v>
      </c>
      <c r="G2331" t="s">
        <v>329</v>
      </c>
      <c r="AQ2331">
        <v>0</v>
      </c>
      <c r="AR2331">
        <v>0.28000000000000003</v>
      </c>
    </row>
    <row r="2332" spans="1:45" hidden="1">
      <c r="A2332" t="s">
        <v>59</v>
      </c>
      <c r="B2332" t="s">
        <v>762</v>
      </c>
      <c r="C2332" t="s">
        <v>646</v>
      </c>
      <c r="D2332" t="s">
        <v>137</v>
      </c>
      <c r="E2332" t="s">
        <v>138</v>
      </c>
      <c r="F2332" t="s">
        <v>337</v>
      </c>
      <c r="G2332" t="s">
        <v>140</v>
      </c>
      <c r="AQ2332">
        <v>0</v>
      </c>
      <c r="AR2332">
        <v>212.1</v>
      </c>
      <c r="AS2332">
        <v>0</v>
      </c>
    </row>
    <row r="2333" spans="1:45" hidden="1">
      <c r="A2333" t="s">
        <v>59</v>
      </c>
      <c r="B2333" t="s">
        <v>762</v>
      </c>
      <c r="C2333" t="s">
        <v>136</v>
      </c>
      <c r="D2333" t="s">
        <v>137</v>
      </c>
      <c r="E2333" t="s">
        <v>138</v>
      </c>
      <c r="F2333" t="s">
        <v>139</v>
      </c>
      <c r="G2333" t="s">
        <v>140</v>
      </c>
      <c r="AQ2333">
        <v>0</v>
      </c>
      <c r="AR2333">
        <v>1696.8</v>
      </c>
      <c r="AS2333">
        <v>0</v>
      </c>
    </row>
    <row r="2334" spans="1:45" hidden="1">
      <c r="A2334" t="s">
        <v>59</v>
      </c>
      <c r="B2334" t="s">
        <v>762</v>
      </c>
      <c r="C2334" t="s">
        <v>143</v>
      </c>
      <c r="D2334" t="s">
        <v>137</v>
      </c>
      <c r="E2334" t="s">
        <v>138</v>
      </c>
      <c r="F2334" t="s">
        <v>277</v>
      </c>
      <c r="G2334" t="s">
        <v>140</v>
      </c>
      <c r="H2334">
        <v>2</v>
      </c>
      <c r="I2334">
        <v>1</v>
      </c>
      <c r="AQ2334">
        <v>3</v>
      </c>
      <c r="AR2334">
        <v>3923.85</v>
      </c>
      <c r="AS2334">
        <v>11771.55</v>
      </c>
    </row>
    <row r="2335" spans="1:45" hidden="1">
      <c r="A2335" t="s">
        <v>59</v>
      </c>
      <c r="B2335" t="s">
        <v>762</v>
      </c>
      <c r="C2335" t="s">
        <v>647</v>
      </c>
      <c r="D2335" t="s">
        <v>137</v>
      </c>
      <c r="E2335" t="s">
        <v>138</v>
      </c>
      <c r="F2335" t="s">
        <v>338</v>
      </c>
      <c r="G2335" t="s">
        <v>140</v>
      </c>
      <c r="H2335">
        <v>1</v>
      </c>
      <c r="AQ2335">
        <v>1</v>
      </c>
      <c r="AR2335">
        <v>6893.25</v>
      </c>
      <c r="AS2335">
        <v>6893.25</v>
      </c>
    </row>
    <row r="2336" spans="1:45" hidden="1">
      <c r="A2336" t="s">
        <v>59</v>
      </c>
      <c r="B2336" t="s">
        <v>762</v>
      </c>
      <c r="C2336" t="s">
        <v>648</v>
      </c>
      <c r="D2336" t="s">
        <v>342</v>
      </c>
      <c r="E2336" t="s">
        <v>138</v>
      </c>
      <c r="F2336" t="s">
        <v>343</v>
      </c>
      <c r="G2336" t="s">
        <v>140</v>
      </c>
      <c r="AQ2336">
        <v>0</v>
      </c>
      <c r="AR2336">
        <v>13786.5</v>
      </c>
      <c r="AS2336">
        <v>0</v>
      </c>
    </row>
    <row r="2337" spans="1:45" hidden="1">
      <c r="A2337" t="s">
        <v>59</v>
      </c>
      <c r="B2337" t="s">
        <v>762</v>
      </c>
      <c r="C2337" t="s">
        <v>649</v>
      </c>
      <c r="D2337" t="s">
        <v>344</v>
      </c>
      <c r="E2337" t="s">
        <v>138</v>
      </c>
      <c r="F2337" t="s">
        <v>345</v>
      </c>
      <c r="G2337" t="s">
        <v>346</v>
      </c>
      <c r="AQ2337">
        <v>0</v>
      </c>
      <c r="AR2337">
        <v>11.11</v>
      </c>
      <c r="AS2337">
        <v>0</v>
      </c>
    </row>
    <row r="2338" spans="1:45" hidden="1">
      <c r="A2338" t="s">
        <v>59</v>
      </c>
      <c r="B2338" t="s">
        <v>762</v>
      </c>
      <c r="C2338" t="s">
        <v>650</v>
      </c>
      <c r="D2338" t="s">
        <v>339</v>
      </c>
      <c r="E2338" t="s">
        <v>138</v>
      </c>
      <c r="F2338" t="s">
        <v>340</v>
      </c>
      <c r="G2338" t="s">
        <v>341</v>
      </c>
      <c r="H2338">
        <v>3</v>
      </c>
      <c r="AQ2338">
        <v>3</v>
      </c>
      <c r="AR2338">
        <v>557.52</v>
      </c>
      <c r="AS2338">
        <v>1672.56</v>
      </c>
    </row>
    <row r="2339" spans="1:45" hidden="1">
      <c r="A2339" t="s">
        <v>59</v>
      </c>
      <c r="B2339" t="s">
        <v>762</v>
      </c>
      <c r="C2339" t="s">
        <v>651</v>
      </c>
      <c r="D2339" t="s">
        <v>347</v>
      </c>
      <c r="E2339" t="s">
        <v>138</v>
      </c>
      <c r="F2339" t="s">
        <v>350</v>
      </c>
      <c r="G2339" t="s">
        <v>349</v>
      </c>
      <c r="AQ2339">
        <v>0</v>
      </c>
      <c r="AR2339">
        <v>234.32</v>
      </c>
      <c r="AS2339">
        <v>0</v>
      </c>
    </row>
    <row r="2340" spans="1:45" hidden="1">
      <c r="A2340" t="s">
        <v>59</v>
      </c>
      <c r="B2340" t="s">
        <v>762</v>
      </c>
      <c r="C2340" t="s">
        <v>652</v>
      </c>
      <c r="D2340" t="s">
        <v>347</v>
      </c>
      <c r="E2340" t="s">
        <v>138</v>
      </c>
      <c r="F2340" t="s">
        <v>348</v>
      </c>
      <c r="G2340" t="s">
        <v>349</v>
      </c>
      <c r="H2340">
        <v>2</v>
      </c>
      <c r="AQ2340">
        <v>2</v>
      </c>
      <c r="AR2340">
        <v>456.52</v>
      </c>
      <c r="AS2340">
        <v>913.04</v>
      </c>
    </row>
    <row r="2341" spans="1:45" hidden="1">
      <c r="A2341" t="s">
        <v>59</v>
      </c>
      <c r="B2341" t="s">
        <v>762</v>
      </c>
      <c r="C2341" t="s">
        <v>653</v>
      </c>
      <c r="D2341" t="s">
        <v>347</v>
      </c>
      <c r="E2341" t="s">
        <v>138</v>
      </c>
      <c r="F2341" t="s">
        <v>351</v>
      </c>
      <c r="G2341" t="s">
        <v>349</v>
      </c>
      <c r="AQ2341">
        <v>0</v>
      </c>
      <c r="AR2341">
        <v>679.73</v>
      </c>
      <c r="AS2341">
        <v>0</v>
      </c>
    </row>
    <row r="2342" spans="1:45" hidden="1">
      <c r="A2342" t="s">
        <v>59</v>
      </c>
      <c r="B2342" t="s">
        <v>762</v>
      </c>
      <c r="C2342" t="s">
        <v>654</v>
      </c>
      <c r="D2342" t="s">
        <v>352</v>
      </c>
      <c r="E2342" t="s">
        <v>138</v>
      </c>
      <c r="F2342" t="s">
        <v>353</v>
      </c>
      <c r="G2342" t="s">
        <v>354</v>
      </c>
      <c r="H2342">
        <v>2</v>
      </c>
      <c r="AQ2342">
        <v>2</v>
      </c>
      <c r="AR2342">
        <v>3923.85</v>
      </c>
      <c r="AS2342">
        <v>7847.7</v>
      </c>
    </row>
    <row r="2343" spans="1:45" hidden="1">
      <c r="A2343" t="s">
        <v>59</v>
      </c>
      <c r="B2343" t="s">
        <v>762</v>
      </c>
      <c r="C2343" t="s">
        <v>655</v>
      </c>
      <c r="D2343" t="s">
        <v>355</v>
      </c>
      <c r="E2343" t="s">
        <v>138</v>
      </c>
      <c r="F2343" t="s">
        <v>356</v>
      </c>
      <c r="G2343" t="s">
        <v>357</v>
      </c>
      <c r="H2343">
        <v>2</v>
      </c>
      <c r="I2343">
        <v>1</v>
      </c>
      <c r="AQ2343">
        <v>3</v>
      </c>
      <c r="AR2343">
        <v>556.51</v>
      </c>
      <c r="AS2343">
        <v>1669.53</v>
      </c>
    </row>
    <row r="2344" spans="1:45" hidden="1">
      <c r="A2344" t="s">
        <v>59</v>
      </c>
      <c r="B2344" t="s">
        <v>762</v>
      </c>
      <c r="C2344" t="s">
        <v>656</v>
      </c>
      <c r="D2344" t="s">
        <v>358</v>
      </c>
      <c r="E2344" t="s">
        <v>138</v>
      </c>
      <c r="F2344" t="s">
        <v>359</v>
      </c>
      <c r="G2344" t="s">
        <v>360</v>
      </c>
      <c r="AQ2344">
        <v>0</v>
      </c>
      <c r="AR2344">
        <v>334.31</v>
      </c>
      <c r="AS2344">
        <v>0</v>
      </c>
    </row>
    <row r="2345" spans="1:45" hidden="1">
      <c r="A2345" t="s">
        <v>59</v>
      </c>
      <c r="B2345" t="s">
        <v>762</v>
      </c>
      <c r="C2345" t="s">
        <v>657</v>
      </c>
      <c r="D2345" t="s">
        <v>361</v>
      </c>
      <c r="E2345" t="s">
        <v>138</v>
      </c>
      <c r="F2345" t="s">
        <v>362</v>
      </c>
      <c r="G2345" t="s">
        <v>363</v>
      </c>
      <c r="AQ2345">
        <v>0</v>
      </c>
      <c r="AR2345">
        <v>1.0605</v>
      </c>
      <c r="AS2345">
        <v>0</v>
      </c>
    </row>
    <row r="2346" spans="1:45" hidden="1">
      <c r="A2346" t="s">
        <v>59</v>
      </c>
      <c r="B2346" t="s">
        <v>762</v>
      </c>
      <c r="C2346" t="s">
        <v>658</v>
      </c>
      <c r="D2346" t="s">
        <v>364</v>
      </c>
      <c r="E2346" t="s">
        <v>138</v>
      </c>
      <c r="F2346" t="s">
        <v>366</v>
      </c>
      <c r="G2346" t="s">
        <v>363</v>
      </c>
      <c r="AQ2346">
        <v>0</v>
      </c>
      <c r="AR2346">
        <v>4.242</v>
      </c>
      <c r="AS2346">
        <v>0</v>
      </c>
    </row>
    <row r="2347" spans="1:45" hidden="1">
      <c r="A2347" t="s">
        <v>59</v>
      </c>
      <c r="B2347" t="s">
        <v>762</v>
      </c>
      <c r="C2347" t="s">
        <v>659</v>
      </c>
      <c r="D2347" t="s">
        <v>364</v>
      </c>
      <c r="E2347" t="s">
        <v>138</v>
      </c>
      <c r="F2347" t="s">
        <v>365</v>
      </c>
      <c r="G2347" t="s">
        <v>363</v>
      </c>
      <c r="AQ2347">
        <v>0</v>
      </c>
      <c r="AR2347">
        <v>8.484</v>
      </c>
      <c r="AS2347">
        <v>0</v>
      </c>
    </row>
    <row r="2348" spans="1:45" hidden="1">
      <c r="A2348" t="s">
        <v>59</v>
      </c>
      <c r="B2348" t="s">
        <v>762</v>
      </c>
      <c r="C2348" t="s">
        <v>660</v>
      </c>
      <c r="D2348" t="s">
        <v>364</v>
      </c>
      <c r="E2348" t="s">
        <v>138</v>
      </c>
      <c r="F2348" t="s">
        <v>367</v>
      </c>
      <c r="G2348" t="s">
        <v>363</v>
      </c>
      <c r="AQ2348">
        <v>0</v>
      </c>
      <c r="AR2348">
        <v>21.21</v>
      </c>
      <c r="AS2348">
        <v>0</v>
      </c>
    </row>
    <row r="2349" spans="1:45" hidden="1">
      <c r="A2349" t="s">
        <v>59</v>
      </c>
      <c r="B2349" t="s">
        <v>762</v>
      </c>
      <c r="C2349" t="s">
        <v>278</v>
      </c>
      <c r="D2349" t="s">
        <v>146</v>
      </c>
      <c r="E2349" t="s">
        <v>138</v>
      </c>
      <c r="F2349" t="s">
        <v>279</v>
      </c>
      <c r="G2349" t="s">
        <v>148</v>
      </c>
      <c r="AQ2349">
        <v>0</v>
      </c>
      <c r="AR2349">
        <v>1272.5999999999999</v>
      </c>
      <c r="AS2349">
        <v>0</v>
      </c>
    </row>
    <row r="2350" spans="1:45" hidden="1">
      <c r="A2350" t="s">
        <v>59</v>
      </c>
      <c r="B2350" t="s">
        <v>762</v>
      </c>
      <c r="C2350" t="s">
        <v>661</v>
      </c>
      <c r="D2350" t="s">
        <v>146</v>
      </c>
      <c r="E2350" t="s">
        <v>138</v>
      </c>
      <c r="F2350" t="s">
        <v>368</v>
      </c>
      <c r="G2350" t="s">
        <v>148</v>
      </c>
      <c r="H2350">
        <v>4</v>
      </c>
      <c r="AQ2350">
        <v>4</v>
      </c>
      <c r="AR2350">
        <v>2333.1</v>
      </c>
      <c r="AS2350">
        <v>9332.4</v>
      </c>
    </row>
    <row r="2351" spans="1:45" hidden="1">
      <c r="A2351" t="s">
        <v>59</v>
      </c>
      <c r="B2351" t="s">
        <v>762</v>
      </c>
      <c r="C2351" t="s">
        <v>662</v>
      </c>
      <c r="D2351" t="s">
        <v>146</v>
      </c>
      <c r="E2351" t="s">
        <v>138</v>
      </c>
      <c r="F2351" t="s">
        <v>369</v>
      </c>
      <c r="G2351" t="s">
        <v>148</v>
      </c>
      <c r="H2351">
        <v>4</v>
      </c>
      <c r="I2351">
        <v>1</v>
      </c>
      <c r="AQ2351">
        <v>5</v>
      </c>
      <c r="AR2351">
        <v>3711.75</v>
      </c>
      <c r="AS2351">
        <v>18558.75</v>
      </c>
    </row>
    <row r="2352" spans="1:45" hidden="1">
      <c r="A2352" t="s">
        <v>59</v>
      </c>
      <c r="B2352" t="s">
        <v>762</v>
      </c>
      <c r="C2352" t="s">
        <v>663</v>
      </c>
      <c r="D2352" t="s">
        <v>146</v>
      </c>
      <c r="E2352" t="s">
        <v>138</v>
      </c>
      <c r="F2352" t="s">
        <v>370</v>
      </c>
      <c r="G2352" t="s">
        <v>148</v>
      </c>
      <c r="AQ2352">
        <v>0</v>
      </c>
      <c r="AR2352">
        <v>5832.75</v>
      </c>
      <c r="AS2352">
        <v>0</v>
      </c>
    </row>
    <row r="2353" spans="1:45" hidden="1">
      <c r="A2353" t="s">
        <v>59</v>
      </c>
      <c r="B2353" t="s">
        <v>762</v>
      </c>
      <c r="C2353" t="s">
        <v>664</v>
      </c>
      <c r="D2353" t="s">
        <v>371</v>
      </c>
      <c r="E2353" t="s">
        <v>138</v>
      </c>
      <c r="F2353" t="s">
        <v>372</v>
      </c>
      <c r="G2353" t="s">
        <v>373</v>
      </c>
      <c r="AQ2353">
        <v>0</v>
      </c>
      <c r="AR2353">
        <v>3711.75</v>
      </c>
      <c r="AS2353">
        <v>0</v>
      </c>
    </row>
    <row r="2354" spans="1:45" hidden="1">
      <c r="A2354" t="s">
        <v>59</v>
      </c>
      <c r="B2354" t="s">
        <v>762</v>
      </c>
      <c r="C2354" t="s">
        <v>149</v>
      </c>
      <c r="D2354" t="s">
        <v>280</v>
      </c>
      <c r="E2354" t="s">
        <v>138</v>
      </c>
      <c r="F2354" t="s">
        <v>151</v>
      </c>
      <c r="G2354" t="s">
        <v>152</v>
      </c>
      <c r="H2354">
        <v>23690</v>
      </c>
      <c r="I2354">
        <v>1551</v>
      </c>
      <c r="J2354">
        <v>1239</v>
      </c>
      <c r="AQ2354">
        <v>26480</v>
      </c>
      <c r="AR2354">
        <v>1.111</v>
      </c>
      <c r="AS2354">
        <v>29419.279999999999</v>
      </c>
    </row>
    <row r="2355" spans="1:45" hidden="1">
      <c r="A2355" t="s">
        <v>59</v>
      </c>
      <c r="B2355" t="s">
        <v>762</v>
      </c>
      <c r="C2355" t="s">
        <v>153</v>
      </c>
      <c r="D2355" t="s">
        <v>154</v>
      </c>
      <c r="E2355" t="s">
        <v>138</v>
      </c>
      <c r="F2355" t="s">
        <v>155</v>
      </c>
      <c r="G2355" t="s">
        <v>156</v>
      </c>
      <c r="H2355">
        <v>180</v>
      </c>
      <c r="I2355">
        <v>45</v>
      </c>
      <c r="AQ2355">
        <v>225</v>
      </c>
      <c r="AR2355">
        <v>116.655</v>
      </c>
      <c r="AS2355">
        <v>26247.375</v>
      </c>
    </row>
    <row r="2356" spans="1:45" hidden="1">
      <c r="A2356" t="s">
        <v>59</v>
      </c>
      <c r="B2356" t="s">
        <v>762</v>
      </c>
      <c r="C2356" t="s">
        <v>665</v>
      </c>
      <c r="D2356" t="s">
        <v>375</v>
      </c>
      <c r="E2356" t="s">
        <v>138</v>
      </c>
      <c r="F2356" t="s">
        <v>376</v>
      </c>
      <c r="G2356" t="s">
        <v>377</v>
      </c>
      <c r="H2356">
        <v>1</v>
      </c>
      <c r="AQ2356">
        <v>1</v>
      </c>
      <c r="AR2356">
        <v>89.081999999999994</v>
      </c>
      <c r="AS2356">
        <v>89.081999999999994</v>
      </c>
    </row>
    <row r="2357" spans="1:45" hidden="1">
      <c r="A2357" t="s">
        <v>59</v>
      </c>
      <c r="B2357" t="s">
        <v>762</v>
      </c>
      <c r="C2357" t="s">
        <v>158</v>
      </c>
      <c r="D2357" t="s">
        <v>159</v>
      </c>
      <c r="E2357" t="s">
        <v>138</v>
      </c>
      <c r="F2357" t="s">
        <v>160</v>
      </c>
      <c r="G2357" t="s">
        <v>161</v>
      </c>
      <c r="H2357">
        <v>126</v>
      </c>
      <c r="I2357">
        <v>1</v>
      </c>
      <c r="J2357">
        <v>14</v>
      </c>
      <c r="K2357">
        <v>1</v>
      </c>
      <c r="L2357">
        <v>1</v>
      </c>
      <c r="M2357">
        <v>2</v>
      </c>
      <c r="AQ2357">
        <v>145</v>
      </c>
      <c r="AR2357">
        <v>66.66</v>
      </c>
      <c r="AS2357">
        <v>9665.7000000000007</v>
      </c>
    </row>
    <row r="2358" spans="1:45" hidden="1">
      <c r="A2358" t="s">
        <v>59</v>
      </c>
      <c r="B2358" t="s">
        <v>762</v>
      </c>
      <c r="C2358" t="s">
        <v>666</v>
      </c>
      <c r="D2358" t="s">
        <v>378</v>
      </c>
      <c r="E2358" t="s">
        <v>138</v>
      </c>
      <c r="F2358" t="s">
        <v>379</v>
      </c>
      <c r="G2358" t="s">
        <v>380</v>
      </c>
      <c r="H2358">
        <v>3</v>
      </c>
      <c r="AQ2358">
        <v>3</v>
      </c>
      <c r="AR2358">
        <v>389.86</v>
      </c>
      <c r="AS2358">
        <v>1169.58</v>
      </c>
    </row>
    <row r="2359" spans="1:45" hidden="1">
      <c r="A2359" t="s">
        <v>59</v>
      </c>
      <c r="B2359" t="s">
        <v>762</v>
      </c>
      <c r="C2359" t="s">
        <v>667</v>
      </c>
      <c r="D2359" t="s">
        <v>281</v>
      </c>
      <c r="E2359" t="s">
        <v>138</v>
      </c>
      <c r="F2359" t="s">
        <v>384</v>
      </c>
      <c r="G2359" t="s">
        <v>165</v>
      </c>
      <c r="H2359">
        <v>39</v>
      </c>
      <c r="I2359">
        <v>1</v>
      </c>
      <c r="J2359">
        <v>4</v>
      </c>
      <c r="AQ2359">
        <v>44</v>
      </c>
      <c r="AR2359">
        <v>2227.0500000000002</v>
      </c>
      <c r="AS2359">
        <v>97990.2</v>
      </c>
    </row>
    <row r="2360" spans="1:45" hidden="1">
      <c r="A2360" t="s">
        <v>59</v>
      </c>
      <c r="B2360" t="s">
        <v>762</v>
      </c>
      <c r="C2360" t="s">
        <v>162</v>
      </c>
      <c r="D2360" t="s">
        <v>281</v>
      </c>
      <c r="E2360" t="s">
        <v>138</v>
      </c>
      <c r="F2360" t="s">
        <v>164</v>
      </c>
      <c r="G2360" t="s">
        <v>165</v>
      </c>
      <c r="H2360">
        <v>8</v>
      </c>
      <c r="AQ2360">
        <v>8</v>
      </c>
      <c r="AR2360">
        <v>4242</v>
      </c>
      <c r="AS2360">
        <v>33936</v>
      </c>
    </row>
    <row r="2361" spans="1:45" hidden="1">
      <c r="A2361" t="s">
        <v>59</v>
      </c>
      <c r="B2361" t="s">
        <v>762</v>
      </c>
      <c r="C2361" t="s">
        <v>668</v>
      </c>
      <c r="D2361" t="s">
        <v>381</v>
      </c>
      <c r="E2361" t="s">
        <v>138</v>
      </c>
      <c r="F2361" t="s">
        <v>382</v>
      </c>
      <c r="G2361" t="s">
        <v>383</v>
      </c>
      <c r="H2361">
        <v>2</v>
      </c>
      <c r="AQ2361">
        <v>2</v>
      </c>
      <c r="AR2361">
        <v>39.39</v>
      </c>
      <c r="AS2361">
        <v>78.78</v>
      </c>
    </row>
    <row r="2362" spans="1:45" hidden="1">
      <c r="A2362" t="s">
        <v>59</v>
      </c>
      <c r="B2362" t="s">
        <v>762</v>
      </c>
      <c r="C2362" t="s">
        <v>166</v>
      </c>
      <c r="D2362" t="s">
        <v>282</v>
      </c>
      <c r="E2362" t="s">
        <v>138</v>
      </c>
      <c r="F2362" t="s">
        <v>168</v>
      </c>
      <c r="G2362" t="s">
        <v>169</v>
      </c>
      <c r="H2362">
        <v>16000</v>
      </c>
      <c r="I2362">
        <v>1042</v>
      </c>
      <c r="J2362">
        <v>1047</v>
      </c>
      <c r="AQ2362">
        <v>18089</v>
      </c>
      <c r="AR2362">
        <v>1.111</v>
      </c>
      <c r="AS2362">
        <v>20096.879000000001</v>
      </c>
    </row>
    <row r="2363" spans="1:45" hidden="1">
      <c r="A2363" t="s">
        <v>59</v>
      </c>
      <c r="B2363" t="s">
        <v>762</v>
      </c>
      <c r="C2363" t="s">
        <v>669</v>
      </c>
      <c r="D2363" t="s">
        <v>385</v>
      </c>
      <c r="E2363" t="s">
        <v>138</v>
      </c>
      <c r="F2363" t="s">
        <v>386</v>
      </c>
      <c r="G2363" t="s">
        <v>387</v>
      </c>
      <c r="AQ2363">
        <v>0</v>
      </c>
      <c r="AR2363">
        <v>22270.5</v>
      </c>
      <c r="AS2363">
        <v>0</v>
      </c>
    </row>
    <row r="2364" spans="1:45" hidden="1">
      <c r="A2364" t="s">
        <v>59</v>
      </c>
      <c r="B2364" t="s">
        <v>762</v>
      </c>
      <c r="C2364" t="s">
        <v>670</v>
      </c>
      <c r="D2364" t="s">
        <v>385</v>
      </c>
      <c r="E2364" t="s">
        <v>138</v>
      </c>
      <c r="F2364" t="s">
        <v>388</v>
      </c>
      <c r="G2364" t="s">
        <v>389</v>
      </c>
      <c r="AQ2364">
        <v>0</v>
      </c>
      <c r="AR2364">
        <v>0.22220000000000001</v>
      </c>
      <c r="AS2364">
        <v>0</v>
      </c>
    </row>
    <row r="2365" spans="1:45" hidden="1">
      <c r="A2365" t="s">
        <v>59</v>
      </c>
      <c r="B2365" t="s">
        <v>762</v>
      </c>
      <c r="C2365" t="s">
        <v>671</v>
      </c>
      <c r="D2365" t="s">
        <v>393</v>
      </c>
      <c r="E2365" t="s">
        <v>138</v>
      </c>
      <c r="F2365" t="s">
        <v>394</v>
      </c>
      <c r="G2365" t="s">
        <v>395</v>
      </c>
      <c r="AQ2365">
        <v>0</v>
      </c>
      <c r="AR2365">
        <v>99.99</v>
      </c>
      <c r="AS2365">
        <v>0</v>
      </c>
    </row>
    <row r="2366" spans="1:45" hidden="1">
      <c r="A2366" t="s">
        <v>59</v>
      </c>
      <c r="B2366" t="s">
        <v>762</v>
      </c>
      <c r="C2366" t="s">
        <v>672</v>
      </c>
      <c r="D2366" t="s">
        <v>393</v>
      </c>
      <c r="E2366" t="s">
        <v>138</v>
      </c>
      <c r="F2366" t="s">
        <v>396</v>
      </c>
      <c r="G2366" t="s">
        <v>395</v>
      </c>
      <c r="AQ2366">
        <v>0</v>
      </c>
      <c r="AR2366">
        <v>99.99</v>
      </c>
      <c r="AS2366">
        <v>0</v>
      </c>
    </row>
    <row r="2367" spans="1:45" hidden="1">
      <c r="A2367" t="s">
        <v>59</v>
      </c>
      <c r="B2367" t="s">
        <v>762</v>
      </c>
      <c r="C2367" t="s">
        <v>673</v>
      </c>
      <c r="D2367" t="s">
        <v>393</v>
      </c>
      <c r="E2367" t="s">
        <v>138</v>
      </c>
      <c r="F2367" t="s">
        <v>397</v>
      </c>
      <c r="G2367" t="s">
        <v>395</v>
      </c>
      <c r="AQ2367">
        <v>0</v>
      </c>
      <c r="AR2367">
        <v>66.66</v>
      </c>
      <c r="AS2367">
        <v>0</v>
      </c>
    </row>
    <row r="2368" spans="1:45" hidden="1">
      <c r="A2368" t="s">
        <v>59</v>
      </c>
      <c r="B2368" t="s">
        <v>762</v>
      </c>
      <c r="C2368" t="s">
        <v>674</v>
      </c>
      <c r="D2368" t="s">
        <v>287</v>
      </c>
      <c r="E2368" t="s">
        <v>138</v>
      </c>
      <c r="F2368" t="s">
        <v>402</v>
      </c>
      <c r="G2368" t="s">
        <v>403</v>
      </c>
      <c r="AQ2368">
        <v>0</v>
      </c>
      <c r="AR2368">
        <v>318150</v>
      </c>
      <c r="AS2368">
        <v>0</v>
      </c>
    </row>
    <row r="2369" spans="1:45" hidden="1">
      <c r="A2369" t="s">
        <v>59</v>
      </c>
      <c r="B2369" t="s">
        <v>762</v>
      </c>
      <c r="C2369" t="s">
        <v>675</v>
      </c>
      <c r="D2369" t="s">
        <v>390</v>
      </c>
      <c r="E2369" t="s">
        <v>138</v>
      </c>
      <c r="F2369" t="s">
        <v>391</v>
      </c>
      <c r="G2369" t="s">
        <v>392</v>
      </c>
      <c r="AQ2369">
        <v>0</v>
      </c>
      <c r="AR2369">
        <v>1336.23</v>
      </c>
      <c r="AS2369">
        <v>0</v>
      </c>
    </row>
    <row r="2370" spans="1:45" hidden="1">
      <c r="A2370" t="s">
        <v>59</v>
      </c>
      <c r="B2370" t="s">
        <v>762</v>
      </c>
      <c r="C2370" t="s">
        <v>676</v>
      </c>
      <c r="D2370" t="s">
        <v>398</v>
      </c>
      <c r="E2370" t="s">
        <v>138</v>
      </c>
      <c r="F2370" t="s">
        <v>399</v>
      </c>
      <c r="G2370" t="s">
        <v>400</v>
      </c>
      <c r="H2370">
        <v>1</v>
      </c>
      <c r="J2370">
        <v>1</v>
      </c>
      <c r="AQ2370">
        <v>2</v>
      </c>
      <c r="AR2370">
        <v>14475.825000000001</v>
      </c>
      <c r="AS2370">
        <v>28951.65</v>
      </c>
    </row>
    <row r="2371" spans="1:45" hidden="1">
      <c r="A2371" t="s">
        <v>59</v>
      </c>
      <c r="B2371" t="s">
        <v>762</v>
      </c>
      <c r="C2371" t="s">
        <v>170</v>
      </c>
      <c r="D2371" t="s">
        <v>171</v>
      </c>
      <c r="E2371" t="s">
        <v>172</v>
      </c>
      <c r="F2371" t="s">
        <v>173</v>
      </c>
      <c r="G2371" t="s">
        <v>152</v>
      </c>
      <c r="H2371">
        <v>23690</v>
      </c>
      <c r="I2371">
        <v>1550</v>
      </c>
      <c r="J2371">
        <v>1239</v>
      </c>
      <c r="K2371">
        <v>1800</v>
      </c>
      <c r="L2371">
        <v>634</v>
      </c>
      <c r="AQ2371">
        <v>28913</v>
      </c>
      <c r="AR2371">
        <v>1.2726</v>
      </c>
      <c r="AS2371">
        <v>36794.683799999999</v>
      </c>
    </row>
    <row r="2372" spans="1:45" hidden="1">
      <c r="A2372" t="s">
        <v>59</v>
      </c>
      <c r="B2372" t="s">
        <v>762</v>
      </c>
      <c r="C2372" t="s">
        <v>677</v>
      </c>
      <c r="D2372" t="s">
        <v>405</v>
      </c>
      <c r="E2372" t="s">
        <v>172</v>
      </c>
      <c r="F2372" t="s">
        <v>406</v>
      </c>
      <c r="G2372" t="s">
        <v>407</v>
      </c>
      <c r="H2372">
        <v>9</v>
      </c>
      <c r="AQ2372">
        <v>9</v>
      </c>
      <c r="AR2372">
        <v>47.47</v>
      </c>
      <c r="AS2372">
        <v>427.23</v>
      </c>
    </row>
    <row r="2373" spans="1:45" hidden="1">
      <c r="A2373" t="s">
        <v>59</v>
      </c>
      <c r="B2373" t="s">
        <v>762</v>
      </c>
      <c r="C2373" t="s">
        <v>678</v>
      </c>
      <c r="D2373" t="s">
        <v>408</v>
      </c>
      <c r="E2373" t="s">
        <v>172</v>
      </c>
      <c r="F2373" t="s">
        <v>409</v>
      </c>
      <c r="G2373" t="s">
        <v>410</v>
      </c>
      <c r="AQ2373">
        <v>0</v>
      </c>
      <c r="AR2373">
        <v>1.0605</v>
      </c>
      <c r="AS2373">
        <v>0</v>
      </c>
    </row>
    <row r="2374" spans="1:45" hidden="1">
      <c r="A2374" t="s">
        <v>59</v>
      </c>
      <c r="B2374" t="s">
        <v>762</v>
      </c>
      <c r="C2374" t="s">
        <v>679</v>
      </c>
      <c r="D2374" t="s">
        <v>411</v>
      </c>
      <c r="E2374" t="s">
        <v>172</v>
      </c>
      <c r="F2374" t="s">
        <v>412</v>
      </c>
      <c r="G2374" t="s">
        <v>413</v>
      </c>
      <c r="H2374">
        <v>200</v>
      </c>
      <c r="AQ2374">
        <v>200</v>
      </c>
      <c r="AR2374">
        <v>37.1175</v>
      </c>
      <c r="AS2374">
        <v>7423.5</v>
      </c>
    </row>
    <row r="2375" spans="1:45" hidden="1">
      <c r="A2375" t="s">
        <v>59</v>
      </c>
      <c r="B2375" t="s">
        <v>762</v>
      </c>
      <c r="C2375" t="s">
        <v>680</v>
      </c>
      <c r="D2375" t="s">
        <v>414</v>
      </c>
      <c r="E2375" t="s">
        <v>172</v>
      </c>
      <c r="F2375" t="s">
        <v>415</v>
      </c>
      <c r="G2375" t="s">
        <v>224</v>
      </c>
      <c r="H2375">
        <v>5</v>
      </c>
      <c r="I2375">
        <v>1</v>
      </c>
      <c r="J2375">
        <v>1</v>
      </c>
      <c r="L2375">
        <v>1</v>
      </c>
      <c r="AQ2375">
        <v>8</v>
      </c>
      <c r="AR2375">
        <v>42.42</v>
      </c>
      <c r="AS2375">
        <v>339.36</v>
      </c>
    </row>
    <row r="2376" spans="1:45" hidden="1">
      <c r="A2376" t="s">
        <v>59</v>
      </c>
      <c r="B2376" t="s">
        <v>762</v>
      </c>
      <c r="C2376" t="s">
        <v>681</v>
      </c>
      <c r="D2376" t="s">
        <v>416</v>
      </c>
      <c r="E2376" t="s">
        <v>172</v>
      </c>
      <c r="F2376" t="s">
        <v>417</v>
      </c>
      <c r="G2376" t="s">
        <v>418</v>
      </c>
      <c r="AQ2376">
        <v>0</v>
      </c>
      <c r="AR2376">
        <v>0.32319999999999999</v>
      </c>
      <c r="AS2376">
        <v>0</v>
      </c>
    </row>
    <row r="2377" spans="1:45" hidden="1">
      <c r="A2377" t="s">
        <v>59</v>
      </c>
      <c r="B2377" t="s">
        <v>762</v>
      </c>
      <c r="C2377" t="s">
        <v>682</v>
      </c>
      <c r="D2377" t="s">
        <v>419</v>
      </c>
      <c r="E2377" t="s">
        <v>172</v>
      </c>
      <c r="F2377" t="s">
        <v>420</v>
      </c>
      <c r="G2377" t="s">
        <v>421</v>
      </c>
      <c r="H2377">
        <v>2</v>
      </c>
      <c r="I2377">
        <v>1</v>
      </c>
      <c r="J2377">
        <v>1</v>
      </c>
      <c r="AQ2377">
        <v>4</v>
      </c>
      <c r="AR2377">
        <v>42.42</v>
      </c>
      <c r="AS2377">
        <v>169.68</v>
      </c>
    </row>
    <row r="2378" spans="1:45" hidden="1">
      <c r="A2378" t="s">
        <v>59</v>
      </c>
      <c r="B2378" t="s">
        <v>762</v>
      </c>
      <c r="C2378" t="s">
        <v>683</v>
      </c>
      <c r="D2378" t="s">
        <v>422</v>
      </c>
      <c r="E2378" t="s">
        <v>172</v>
      </c>
      <c r="F2378" t="s">
        <v>423</v>
      </c>
      <c r="G2378" t="s">
        <v>407</v>
      </c>
      <c r="AQ2378">
        <v>0</v>
      </c>
      <c r="AR2378">
        <v>47.47</v>
      </c>
      <c r="AS2378">
        <v>0</v>
      </c>
    </row>
    <row r="2379" spans="1:45" hidden="1">
      <c r="A2379" t="s">
        <v>59</v>
      </c>
      <c r="B2379" t="s">
        <v>762</v>
      </c>
      <c r="C2379" t="s">
        <v>684</v>
      </c>
      <c r="D2379" t="s">
        <v>427</v>
      </c>
      <c r="E2379" t="s">
        <v>172</v>
      </c>
      <c r="F2379" t="s">
        <v>428</v>
      </c>
      <c r="G2379" t="s">
        <v>429</v>
      </c>
      <c r="H2379">
        <v>3</v>
      </c>
      <c r="AQ2379">
        <v>3</v>
      </c>
      <c r="AR2379">
        <v>636.29999999999995</v>
      </c>
      <c r="AS2379">
        <v>1908.9</v>
      </c>
    </row>
    <row r="2380" spans="1:45" hidden="1">
      <c r="A2380" t="s">
        <v>59</v>
      </c>
      <c r="B2380" t="s">
        <v>762</v>
      </c>
      <c r="C2380" t="s">
        <v>174</v>
      </c>
      <c r="D2380" t="s">
        <v>175</v>
      </c>
      <c r="E2380" t="s">
        <v>172</v>
      </c>
      <c r="F2380" t="s">
        <v>176</v>
      </c>
      <c r="G2380" t="s">
        <v>177</v>
      </c>
      <c r="H2380">
        <v>1</v>
      </c>
      <c r="AQ2380">
        <v>1</v>
      </c>
      <c r="AR2380">
        <v>424.2</v>
      </c>
      <c r="AS2380">
        <v>424.2</v>
      </c>
    </row>
    <row r="2381" spans="1:45" hidden="1">
      <c r="A2381" t="s">
        <v>59</v>
      </c>
      <c r="B2381" t="s">
        <v>762</v>
      </c>
      <c r="C2381" t="s">
        <v>685</v>
      </c>
      <c r="D2381" t="s">
        <v>430</v>
      </c>
      <c r="E2381" t="s">
        <v>172</v>
      </c>
      <c r="F2381" t="s">
        <v>433</v>
      </c>
      <c r="G2381" t="s">
        <v>432</v>
      </c>
      <c r="H2381">
        <v>3</v>
      </c>
      <c r="J2381">
        <v>1</v>
      </c>
      <c r="AQ2381">
        <v>4</v>
      </c>
      <c r="AR2381">
        <v>1908.9</v>
      </c>
      <c r="AS2381">
        <v>7635.6</v>
      </c>
    </row>
    <row r="2382" spans="1:45" hidden="1">
      <c r="A2382" t="s">
        <v>59</v>
      </c>
      <c r="B2382" t="s">
        <v>762</v>
      </c>
      <c r="C2382" t="s">
        <v>686</v>
      </c>
      <c r="D2382" t="s">
        <v>430</v>
      </c>
      <c r="E2382" t="s">
        <v>172</v>
      </c>
      <c r="F2382" t="s">
        <v>431</v>
      </c>
      <c r="G2382" t="s">
        <v>432</v>
      </c>
      <c r="AQ2382">
        <v>0</v>
      </c>
      <c r="AR2382">
        <v>2121</v>
      </c>
      <c r="AS2382">
        <v>0</v>
      </c>
    </row>
    <row r="2383" spans="1:45" hidden="1">
      <c r="A2383" t="s">
        <v>59</v>
      </c>
      <c r="B2383" t="s">
        <v>762</v>
      </c>
      <c r="C2383" t="s">
        <v>687</v>
      </c>
      <c r="D2383" t="s">
        <v>430</v>
      </c>
      <c r="E2383" t="s">
        <v>172</v>
      </c>
      <c r="F2383" t="s">
        <v>438</v>
      </c>
      <c r="G2383" t="s">
        <v>432</v>
      </c>
      <c r="H2383">
        <v>1</v>
      </c>
      <c r="AQ2383">
        <v>1</v>
      </c>
      <c r="AR2383">
        <v>2439.15</v>
      </c>
      <c r="AS2383">
        <v>2439.15</v>
      </c>
    </row>
    <row r="2384" spans="1:45" hidden="1">
      <c r="A2384" t="s">
        <v>59</v>
      </c>
      <c r="B2384" t="s">
        <v>762</v>
      </c>
      <c r="C2384" t="s">
        <v>688</v>
      </c>
      <c r="D2384" t="s">
        <v>430</v>
      </c>
      <c r="E2384" t="s">
        <v>172</v>
      </c>
      <c r="F2384" t="s">
        <v>434</v>
      </c>
      <c r="G2384" t="s">
        <v>432</v>
      </c>
      <c r="AQ2384">
        <v>0</v>
      </c>
      <c r="AR2384">
        <v>2651.25</v>
      </c>
      <c r="AS2384">
        <v>0</v>
      </c>
    </row>
    <row r="2385" spans="1:45" hidden="1">
      <c r="A2385" t="s">
        <v>59</v>
      </c>
      <c r="B2385" t="s">
        <v>762</v>
      </c>
      <c r="C2385" t="s">
        <v>645</v>
      </c>
      <c r="D2385" t="s">
        <v>435</v>
      </c>
      <c r="E2385" t="s">
        <v>172</v>
      </c>
      <c r="F2385" t="s">
        <v>436</v>
      </c>
      <c r="G2385" t="s">
        <v>437</v>
      </c>
      <c r="AQ2385">
        <v>0</v>
      </c>
      <c r="AR2385">
        <v>0.28000000000000003</v>
      </c>
    </row>
    <row r="2386" spans="1:45" hidden="1">
      <c r="A2386" t="s">
        <v>59</v>
      </c>
      <c r="B2386" t="s">
        <v>762</v>
      </c>
      <c r="C2386" t="s">
        <v>689</v>
      </c>
      <c r="D2386" t="s">
        <v>439</v>
      </c>
      <c r="E2386" t="s">
        <v>172</v>
      </c>
      <c r="F2386" t="s">
        <v>690</v>
      </c>
      <c r="G2386" t="s">
        <v>441</v>
      </c>
      <c r="H2386">
        <v>10</v>
      </c>
      <c r="I2386">
        <v>2</v>
      </c>
      <c r="J2386">
        <v>2</v>
      </c>
      <c r="K2386">
        <v>2</v>
      </c>
      <c r="L2386">
        <v>1</v>
      </c>
      <c r="AQ2386">
        <v>17</v>
      </c>
      <c r="AR2386">
        <v>318.14999999999998</v>
      </c>
      <c r="AS2386">
        <v>5408.55</v>
      </c>
    </row>
    <row r="2387" spans="1:45" hidden="1">
      <c r="A2387" t="s">
        <v>59</v>
      </c>
      <c r="B2387" t="s">
        <v>762</v>
      </c>
      <c r="C2387" t="s">
        <v>691</v>
      </c>
      <c r="D2387" t="s">
        <v>439</v>
      </c>
      <c r="E2387" t="s">
        <v>172</v>
      </c>
      <c r="F2387" t="s">
        <v>442</v>
      </c>
      <c r="G2387" t="s">
        <v>441</v>
      </c>
      <c r="AQ2387">
        <v>0</v>
      </c>
      <c r="AR2387">
        <v>1272.5999999999999</v>
      </c>
      <c r="AS2387">
        <v>0</v>
      </c>
    </row>
    <row r="2388" spans="1:45" hidden="1">
      <c r="A2388" t="s">
        <v>59</v>
      </c>
      <c r="B2388" t="s">
        <v>762</v>
      </c>
      <c r="C2388" t="s">
        <v>692</v>
      </c>
      <c r="D2388" t="s">
        <v>439</v>
      </c>
      <c r="E2388" t="s">
        <v>172</v>
      </c>
      <c r="F2388" t="s">
        <v>443</v>
      </c>
      <c r="G2388" t="s">
        <v>441</v>
      </c>
      <c r="AQ2388">
        <v>0</v>
      </c>
      <c r="AR2388">
        <v>1590.75</v>
      </c>
      <c r="AS2388">
        <v>0</v>
      </c>
    </row>
    <row r="2389" spans="1:45" hidden="1">
      <c r="A2389" t="s">
        <v>59</v>
      </c>
      <c r="B2389" t="s">
        <v>762</v>
      </c>
      <c r="C2389" t="s">
        <v>693</v>
      </c>
      <c r="D2389" t="s">
        <v>439</v>
      </c>
      <c r="E2389" t="s">
        <v>172</v>
      </c>
      <c r="F2389" t="s">
        <v>440</v>
      </c>
      <c r="G2389" t="s">
        <v>441</v>
      </c>
      <c r="AQ2389">
        <v>0</v>
      </c>
      <c r="AR2389">
        <v>1590.75</v>
      </c>
      <c r="AS2389">
        <v>0</v>
      </c>
    </row>
    <row r="2390" spans="1:45" hidden="1">
      <c r="A2390" t="s">
        <v>59</v>
      </c>
      <c r="B2390" t="s">
        <v>762</v>
      </c>
      <c r="C2390" t="s">
        <v>694</v>
      </c>
      <c r="D2390" t="s">
        <v>439</v>
      </c>
      <c r="E2390" t="s">
        <v>172</v>
      </c>
      <c r="F2390" t="s">
        <v>695</v>
      </c>
      <c r="G2390" t="s">
        <v>441</v>
      </c>
      <c r="AQ2390">
        <v>0</v>
      </c>
      <c r="AR2390">
        <v>1802.85</v>
      </c>
      <c r="AS2390">
        <v>0</v>
      </c>
    </row>
    <row r="2391" spans="1:45" hidden="1">
      <c r="A2391" t="s">
        <v>59</v>
      </c>
      <c r="B2391" t="s">
        <v>762</v>
      </c>
      <c r="C2391" t="s">
        <v>696</v>
      </c>
      <c r="D2391" t="s">
        <v>446</v>
      </c>
      <c r="E2391" t="s">
        <v>172</v>
      </c>
      <c r="F2391" t="s">
        <v>447</v>
      </c>
      <c r="G2391" t="s">
        <v>448</v>
      </c>
      <c r="AQ2391">
        <v>0</v>
      </c>
      <c r="AR2391">
        <v>10.605</v>
      </c>
      <c r="AS2391">
        <v>0</v>
      </c>
    </row>
    <row r="2392" spans="1:45" hidden="1">
      <c r="A2392" t="s">
        <v>59</v>
      </c>
      <c r="B2392" t="s">
        <v>762</v>
      </c>
      <c r="C2392" t="s">
        <v>178</v>
      </c>
      <c r="D2392" t="s">
        <v>179</v>
      </c>
      <c r="E2392" t="s">
        <v>172</v>
      </c>
      <c r="F2392" t="s">
        <v>180</v>
      </c>
      <c r="G2392" t="s">
        <v>181</v>
      </c>
      <c r="H2392">
        <v>350</v>
      </c>
      <c r="J2392">
        <v>10</v>
      </c>
      <c r="K2392">
        <v>10</v>
      </c>
      <c r="L2392">
        <v>15</v>
      </c>
      <c r="AQ2392">
        <v>385</v>
      </c>
      <c r="AR2392">
        <v>106.05</v>
      </c>
      <c r="AS2392">
        <v>40829.25</v>
      </c>
    </row>
    <row r="2393" spans="1:45" hidden="1">
      <c r="A2393" t="s">
        <v>59</v>
      </c>
      <c r="B2393" t="s">
        <v>762</v>
      </c>
      <c r="C2393" t="s">
        <v>182</v>
      </c>
      <c r="D2393" t="s">
        <v>179</v>
      </c>
      <c r="E2393" t="s">
        <v>172</v>
      </c>
      <c r="F2393" t="s">
        <v>183</v>
      </c>
      <c r="G2393" t="s">
        <v>152</v>
      </c>
      <c r="H2393">
        <v>23690</v>
      </c>
      <c r="I2393">
        <v>1550</v>
      </c>
      <c r="J2393">
        <v>1239</v>
      </c>
      <c r="L2393">
        <v>634</v>
      </c>
      <c r="AQ2393">
        <v>27113</v>
      </c>
      <c r="AR2393">
        <v>0.1515</v>
      </c>
      <c r="AS2393">
        <v>4107.6194999999998</v>
      </c>
    </row>
    <row r="2394" spans="1:45" hidden="1">
      <c r="A2394" t="s">
        <v>59</v>
      </c>
      <c r="B2394" t="s">
        <v>762</v>
      </c>
      <c r="C2394" t="s">
        <v>697</v>
      </c>
      <c r="D2394" t="s">
        <v>449</v>
      </c>
      <c r="E2394" t="s">
        <v>172</v>
      </c>
      <c r="F2394" t="s">
        <v>450</v>
      </c>
      <c r="G2394" t="s">
        <v>451</v>
      </c>
      <c r="H2394">
        <v>1</v>
      </c>
      <c r="AQ2394">
        <v>1</v>
      </c>
      <c r="AR2394">
        <v>1908.9</v>
      </c>
      <c r="AS2394">
        <v>1908.9</v>
      </c>
    </row>
    <row r="2395" spans="1:45" hidden="1">
      <c r="A2395" t="s">
        <v>59</v>
      </c>
      <c r="B2395" t="s">
        <v>762</v>
      </c>
      <c r="C2395" t="s">
        <v>698</v>
      </c>
      <c r="D2395" t="s">
        <v>424</v>
      </c>
      <c r="E2395" t="s">
        <v>172</v>
      </c>
      <c r="F2395" t="s">
        <v>425</v>
      </c>
      <c r="G2395" t="s">
        <v>426</v>
      </c>
      <c r="H2395">
        <v>5</v>
      </c>
      <c r="I2395">
        <v>1</v>
      </c>
      <c r="L2395">
        <v>2</v>
      </c>
      <c r="AQ2395">
        <v>8</v>
      </c>
      <c r="AR2395">
        <v>132.5625</v>
      </c>
      <c r="AS2395">
        <v>1060.5</v>
      </c>
    </row>
    <row r="2396" spans="1:45" hidden="1">
      <c r="A2396" t="s">
        <v>59</v>
      </c>
      <c r="B2396" t="s">
        <v>762</v>
      </c>
      <c r="C2396" t="s">
        <v>699</v>
      </c>
      <c r="D2396" t="s">
        <v>287</v>
      </c>
      <c r="E2396" t="s">
        <v>172</v>
      </c>
      <c r="F2396" t="s">
        <v>452</v>
      </c>
      <c r="G2396" t="s">
        <v>453</v>
      </c>
      <c r="AQ2396">
        <v>0</v>
      </c>
      <c r="AR2396">
        <v>3181.5</v>
      </c>
      <c r="AS2396">
        <v>0</v>
      </c>
    </row>
    <row r="2397" spans="1:45" hidden="1">
      <c r="A2397" t="s">
        <v>59</v>
      </c>
      <c r="B2397" t="s">
        <v>762</v>
      </c>
      <c r="C2397" t="s">
        <v>700</v>
      </c>
      <c r="D2397" t="s">
        <v>287</v>
      </c>
      <c r="E2397" t="s">
        <v>172</v>
      </c>
      <c r="F2397" t="s">
        <v>454</v>
      </c>
      <c r="G2397" t="s">
        <v>455</v>
      </c>
      <c r="AQ2397">
        <v>0</v>
      </c>
      <c r="AR2397">
        <v>318150</v>
      </c>
      <c r="AS2397">
        <v>0</v>
      </c>
    </row>
    <row r="2398" spans="1:45" hidden="1">
      <c r="A2398" t="s">
        <v>59</v>
      </c>
      <c r="B2398" t="s">
        <v>762</v>
      </c>
      <c r="C2398" t="s">
        <v>701</v>
      </c>
      <c r="D2398" t="s">
        <v>287</v>
      </c>
      <c r="E2398" t="s">
        <v>172</v>
      </c>
      <c r="F2398" t="s">
        <v>456</v>
      </c>
      <c r="G2398" t="s">
        <v>457</v>
      </c>
      <c r="H2398">
        <v>1</v>
      </c>
      <c r="AQ2398">
        <v>1</v>
      </c>
      <c r="AR2398">
        <v>238612.5</v>
      </c>
      <c r="AS2398">
        <v>238612.5</v>
      </c>
    </row>
    <row r="2399" spans="1:45" hidden="1">
      <c r="A2399" t="s">
        <v>59</v>
      </c>
      <c r="B2399" t="s">
        <v>762</v>
      </c>
      <c r="C2399" t="s">
        <v>184</v>
      </c>
      <c r="D2399" t="s">
        <v>185</v>
      </c>
      <c r="E2399" t="s">
        <v>186</v>
      </c>
      <c r="F2399" t="s">
        <v>187</v>
      </c>
      <c r="G2399" t="s">
        <v>188</v>
      </c>
      <c r="H2399">
        <v>1</v>
      </c>
      <c r="AQ2399">
        <v>1</v>
      </c>
      <c r="AR2399">
        <v>2121</v>
      </c>
      <c r="AS2399">
        <v>2121</v>
      </c>
    </row>
    <row r="2400" spans="1:45" hidden="1">
      <c r="A2400" t="s">
        <v>59</v>
      </c>
      <c r="B2400" t="s">
        <v>762</v>
      </c>
      <c r="C2400" t="s">
        <v>189</v>
      </c>
      <c r="D2400" t="s">
        <v>190</v>
      </c>
      <c r="E2400" t="s">
        <v>186</v>
      </c>
      <c r="F2400" t="s">
        <v>191</v>
      </c>
      <c r="G2400" t="s">
        <v>192</v>
      </c>
      <c r="H2400">
        <v>3</v>
      </c>
      <c r="I2400">
        <v>1</v>
      </c>
      <c r="J2400">
        <v>1</v>
      </c>
      <c r="AQ2400">
        <v>5</v>
      </c>
      <c r="AR2400">
        <v>1060.5</v>
      </c>
      <c r="AS2400">
        <v>5302.5</v>
      </c>
    </row>
    <row r="2401" spans="1:45" hidden="1">
      <c r="A2401" t="s">
        <v>59</v>
      </c>
      <c r="B2401" t="s">
        <v>762</v>
      </c>
      <c r="C2401" t="s">
        <v>702</v>
      </c>
      <c r="D2401" t="s">
        <v>190</v>
      </c>
      <c r="E2401" t="s">
        <v>186</v>
      </c>
      <c r="F2401" t="s">
        <v>458</v>
      </c>
      <c r="G2401" t="s">
        <v>459</v>
      </c>
      <c r="H2401">
        <v>3</v>
      </c>
      <c r="AQ2401">
        <v>3</v>
      </c>
      <c r="AR2401">
        <v>1590.75</v>
      </c>
      <c r="AS2401">
        <v>4772.25</v>
      </c>
    </row>
    <row r="2402" spans="1:45" hidden="1">
      <c r="A2402" t="s">
        <v>59</v>
      </c>
      <c r="B2402" t="s">
        <v>762</v>
      </c>
      <c r="C2402" t="s">
        <v>193</v>
      </c>
      <c r="D2402" t="s">
        <v>194</v>
      </c>
      <c r="E2402" t="s">
        <v>186</v>
      </c>
      <c r="F2402" t="s">
        <v>195</v>
      </c>
      <c r="G2402" t="s">
        <v>152</v>
      </c>
      <c r="H2402">
        <v>9026</v>
      </c>
      <c r="I2402">
        <v>738</v>
      </c>
      <c r="J2402">
        <v>590</v>
      </c>
      <c r="L2402">
        <v>302</v>
      </c>
      <c r="AQ2402">
        <v>10656</v>
      </c>
      <c r="AR2402">
        <v>0.63629999999999998</v>
      </c>
      <c r="AS2402">
        <v>6780.4128000000001</v>
      </c>
    </row>
    <row r="2403" spans="1:45" hidden="1">
      <c r="A2403" t="s">
        <v>59</v>
      </c>
      <c r="B2403" t="s">
        <v>762</v>
      </c>
      <c r="C2403" t="s">
        <v>197</v>
      </c>
      <c r="D2403" t="s">
        <v>198</v>
      </c>
      <c r="E2403" t="s">
        <v>186</v>
      </c>
      <c r="F2403" t="s">
        <v>199</v>
      </c>
      <c r="G2403" t="s">
        <v>200</v>
      </c>
      <c r="H2403">
        <v>1</v>
      </c>
      <c r="AQ2403">
        <v>1</v>
      </c>
      <c r="AR2403">
        <v>4984.3500000000004</v>
      </c>
      <c r="AS2403">
        <v>4984.3500000000004</v>
      </c>
    </row>
    <row r="2404" spans="1:45" hidden="1">
      <c r="A2404" t="s">
        <v>59</v>
      </c>
      <c r="B2404" t="s">
        <v>762</v>
      </c>
      <c r="C2404" t="s">
        <v>201</v>
      </c>
      <c r="D2404" t="s">
        <v>202</v>
      </c>
      <c r="E2404" t="s">
        <v>186</v>
      </c>
      <c r="F2404" t="s">
        <v>203</v>
      </c>
      <c r="G2404" t="s">
        <v>204</v>
      </c>
      <c r="H2404">
        <v>4</v>
      </c>
      <c r="I2404">
        <v>1</v>
      </c>
      <c r="J2404">
        <v>1</v>
      </c>
      <c r="K2404">
        <v>1</v>
      </c>
      <c r="L2404">
        <v>1</v>
      </c>
      <c r="AQ2404">
        <v>8</v>
      </c>
      <c r="AR2404">
        <v>31.815000000000001</v>
      </c>
      <c r="AS2404">
        <v>254.52</v>
      </c>
    </row>
    <row r="2405" spans="1:45" hidden="1">
      <c r="A2405" t="s">
        <v>59</v>
      </c>
      <c r="B2405" t="s">
        <v>762</v>
      </c>
      <c r="C2405" t="s">
        <v>703</v>
      </c>
      <c r="D2405" t="s">
        <v>460</v>
      </c>
      <c r="E2405" t="s">
        <v>186</v>
      </c>
      <c r="F2405" t="s">
        <v>461</v>
      </c>
      <c r="G2405" t="s">
        <v>462</v>
      </c>
      <c r="AQ2405">
        <v>0</v>
      </c>
      <c r="AR2405">
        <v>15907.5</v>
      </c>
      <c r="AS2405">
        <v>0</v>
      </c>
    </row>
    <row r="2406" spans="1:45" hidden="1">
      <c r="A2406" t="s">
        <v>59</v>
      </c>
      <c r="B2406" t="s">
        <v>762</v>
      </c>
      <c r="C2406" t="s">
        <v>704</v>
      </c>
      <c r="D2406" t="s">
        <v>468</v>
      </c>
      <c r="E2406" t="s">
        <v>186</v>
      </c>
      <c r="F2406" t="s">
        <v>469</v>
      </c>
      <c r="G2406" t="s">
        <v>470</v>
      </c>
      <c r="H2406">
        <v>7</v>
      </c>
      <c r="AQ2406">
        <v>7</v>
      </c>
      <c r="AR2406">
        <v>159.07499999999999</v>
      </c>
      <c r="AS2406">
        <v>1113.5250000000001</v>
      </c>
    </row>
    <row r="2407" spans="1:45" hidden="1">
      <c r="A2407" t="s">
        <v>59</v>
      </c>
      <c r="B2407" t="s">
        <v>762</v>
      </c>
      <c r="C2407" t="s">
        <v>705</v>
      </c>
      <c r="D2407" t="s">
        <v>463</v>
      </c>
      <c r="E2407" t="s">
        <v>186</v>
      </c>
      <c r="F2407" t="s">
        <v>466</v>
      </c>
      <c r="G2407" t="s">
        <v>467</v>
      </c>
      <c r="H2407">
        <v>2</v>
      </c>
      <c r="J2407">
        <v>1</v>
      </c>
      <c r="AQ2407">
        <v>3</v>
      </c>
      <c r="AR2407">
        <v>509.04</v>
      </c>
      <c r="AS2407">
        <v>1527.12</v>
      </c>
    </row>
    <row r="2408" spans="1:45" hidden="1">
      <c r="A2408" t="s">
        <v>59</v>
      </c>
      <c r="B2408" t="s">
        <v>762</v>
      </c>
      <c r="C2408" t="s">
        <v>706</v>
      </c>
      <c r="D2408" t="s">
        <v>463</v>
      </c>
      <c r="E2408" t="s">
        <v>186</v>
      </c>
      <c r="F2408" t="s">
        <v>464</v>
      </c>
      <c r="G2408" t="s">
        <v>465</v>
      </c>
      <c r="AQ2408">
        <v>0</v>
      </c>
      <c r="AR2408">
        <v>1060.5</v>
      </c>
      <c r="AS2408">
        <v>0</v>
      </c>
    </row>
    <row r="2409" spans="1:45" hidden="1">
      <c r="A2409" t="s">
        <v>59</v>
      </c>
      <c r="B2409" t="s">
        <v>762</v>
      </c>
      <c r="C2409" t="s">
        <v>707</v>
      </c>
      <c r="D2409" t="s">
        <v>471</v>
      </c>
      <c r="E2409" t="s">
        <v>186</v>
      </c>
      <c r="F2409" t="s">
        <v>472</v>
      </c>
      <c r="G2409" t="s">
        <v>473</v>
      </c>
      <c r="AQ2409">
        <v>0</v>
      </c>
      <c r="AR2409">
        <v>15377.25</v>
      </c>
      <c r="AS2409">
        <v>0</v>
      </c>
    </row>
    <row r="2410" spans="1:45" hidden="1">
      <c r="A2410" t="s">
        <v>59</v>
      </c>
      <c r="B2410" t="s">
        <v>762</v>
      </c>
      <c r="C2410" t="s">
        <v>205</v>
      </c>
      <c r="D2410" t="s">
        <v>206</v>
      </c>
      <c r="E2410" t="s">
        <v>207</v>
      </c>
      <c r="F2410" t="s">
        <v>208</v>
      </c>
      <c r="G2410" t="s">
        <v>209</v>
      </c>
      <c r="H2410">
        <v>23690</v>
      </c>
      <c r="I2410">
        <v>1550</v>
      </c>
      <c r="J2410">
        <v>1239</v>
      </c>
      <c r="L2410">
        <v>634</v>
      </c>
      <c r="M2410">
        <v>100</v>
      </c>
      <c r="AQ2410">
        <v>27213</v>
      </c>
      <c r="AR2410">
        <v>0.16159999999999999</v>
      </c>
      <c r="AS2410">
        <v>4397.6207999999997</v>
      </c>
    </row>
    <row r="2411" spans="1:45" hidden="1">
      <c r="A2411" t="s">
        <v>59</v>
      </c>
      <c r="B2411" t="s">
        <v>762</v>
      </c>
      <c r="C2411" t="s">
        <v>210</v>
      </c>
      <c r="D2411" t="s">
        <v>211</v>
      </c>
      <c r="E2411" t="s">
        <v>207</v>
      </c>
      <c r="F2411" t="s">
        <v>212</v>
      </c>
      <c r="G2411" t="s">
        <v>209</v>
      </c>
      <c r="H2411">
        <v>24646</v>
      </c>
      <c r="I2411">
        <v>1769</v>
      </c>
      <c r="J2411">
        <v>1193</v>
      </c>
      <c r="L2411">
        <v>660</v>
      </c>
      <c r="M2411">
        <v>100</v>
      </c>
      <c r="AQ2411">
        <v>28368</v>
      </c>
      <c r="AR2411">
        <v>0.63629999999999998</v>
      </c>
      <c r="AS2411">
        <v>18050.558400000002</v>
      </c>
    </row>
    <row r="2412" spans="1:45" hidden="1">
      <c r="A2412" t="s">
        <v>59</v>
      </c>
      <c r="B2412" t="s">
        <v>762</v>
      </c>
      <c r="C2412" t="s">
        <v>213</v>
      </c>
      <c r="D2412" t="s">
        <v>214</v>
      </c>
      <c r="E2412" t="s">
        <v>207</v>
      </c>
      <c r="F2412" t="s">
        <v>215</v>
      </c>
      <c r="G2412" t="s">
        <v>152</v>
      </c>
      <c r="H2412">
        <v>10000</v>
      </c>
      <c r="I2412">
        <v>500</v>
      </c>
      <c r="J2412">
        <v>300</v>
      </c>
      <c r="L2412">
        <v>220</v>
      </c>
      <c r="M2412">
        <v>44</v>
      </c>
      <c r="AQ2412">
        <v>11064</v>
      </c>
      <c r="AR2412">
        <v>0.32319999999999999</v>
      </c>
      <c r="AS2412">
        <v>3575.8847999999998</v>
      </c>
    </row>
    <row r="2413" spans="1:45" hidden="1">
      <c r="A2413" t="s">
        <v>59</v>
      </c>
      <c r="B2413" t="s">
        <v>762</v>
      </c>
      <c r="C2413" t="s">
        <v>255</v>
      </c>
      <c r="D2413" t="s">
        <v>256</v>
      </c>
      <c r="E2413" t="s">
        <v>207</v>
      </c>
      <c r="F2413" t="s">
        <v>257</v>
      </c>
      <c r="G2413" t="s">
        <v>258</v>
      </c>
      <c r="H2413">
        <v>232</v>
      </c>
      <c r="I2413">
        <v>20</v>
      </c>
      <c r="J2413">
        <v>32</v>
      </c>
      <c r="L2413">
        <v>5</v>
      </c>
      <c r="M2413">
        <v>1</v>
      </c>
      <c r="AQ2413">
        <v>290</v>
      </c>
      <c r="AR2413">
        <v>31.815000000000001</v>
      </c>
      <c r="AS2413">
        <v>9226.35</v>
      </c>
    </row>
    <row r="2414" spans="1:45" hidden="1">
      <c r="A2414" t="s">
        <v>59</v>
      </c>
      <c r="B2414" t="s">
        <v>762</v>
      </c>
      <c r="C2414" t="s">
        <v>217</v>
      </c>
      <c r="D2414" t="s">
        <v>218</v>
      </c>
      <c r="E2414" t="s">
        <v>207</v>
      </c>
      <c r="F2414" t="s">
        <v>219</v>
      </c>
      <c r="G2414" t="s">
        <v>220</v>
      </c>
      <c r="H2414">
        <v>292</v>
      </c>
      <c r="I2414">
        <v>23</v>
      </c>
      <c r="J2414">
        <v>18</v>
      </c>
      <c r="L2414">
        <v>10</v>
      </c>
      <c r="M2414">
        <v>1</v>
      </c>
      <c r="AQ2414">
        <v>344</v>
      </c>
      <c r="AR2414">
        <v>9.5950000000000006</v>
      </c>
      <c r="AS2414">
        <v>3300.68</v>
      </c>
    </row>
    <row r="2415" spans="1:45" hidden="1">
      <c r="A2415" t="s">
        <v>59</v>
      </c>
      <c r="B2415" t="s">
        <v>762</v>
      </c>
      <c r="C2415" t="s">
        <v>708</v>
      </c>
      <c r="D2415" t="s">
        <v>474</v>
      </c>
      <c r="E2415" t="s">
        <v>207</v>
      </c>
      <c r="F2415" t="s">
        <v>475</v>
      </c>
      <c r="G2415" t="s">
        <v>476</v>
      </c>
      <c r="H2415">
        <v>3</v>
      </c>
      <c r="AQ2415">
        <v>3</v>
      </c>
      <c r="AR2415">
        <v>79.790000000000006</v>
      </c>
      <c r="AS2415">
        <v>239.37</v>
      </c>
    </row>
    <row r="2416" spans="1:45" hidden="1">
      <c r="A2416" t="s">
        <v>59</v>
      </c>
      <c r="B2416" t="s">
        <v>762</v>
      </c>
      <c r="C2416" t="s">
        <v>709</v>
      </c>
      <c r="D2416" t="s">
        <v>477</v>
      </c>
      <c r="E2416" t="s">
        <v>207</v>
      </c>
      <c r="F2416" t="s">
        <v>478</v>
      </c>
      <c r="G2416" t="s">
        <v>479</v>
      </c>
      <c r="H2416">
        <v>3</v>
      </c>
      <c r="I2416">
        <v>1</v>
      </c>
      <c r="J2416">
        <v>1</v>
      </c>
      <c r="L2416">
        <v>1</v>
      </c>
      <c r="AQ2416">
        <v>6</v>
      </c>
      <c r="AR2416">
        <v>2.121</v>
      </c>
      <c r="AS2416">
        <v>12.726000000000001</v>
      </c>
    </row>
    <row r="2417" spans="1:45" hidden="1">
      <c r="A2417" t="s">
        <v>59</v>
      </c>
      <c r="B2417" t="s">
        <v>762</v>
      </c>
      <c r="C2417" t="s">
        <v>221</v>
      </c>
      <c r="D2417" t="s">
        <v>222</v>
      </c>
      <c r="E2417" t="s">
        <v>207</v>
      </c>
      <c r="F2417" t="s">
        <v>223</v>
      </c>
      <c r="G2417" t="s">
        <v>224</v>
      </c>
      <c r="H2417">
        <v>1</v>
      </c>
      <c r="AQ2417">
        <v>1</v>
      </c>
      <c r="AR2417">
        <v>2651.25</v>
      </c>
      <c r="AS2417">
        <v>2651.25</v>
      </c>
    </row>
    <row r="2418" spans="1:45" hidden="1">
      <c r="A2418" t="s">
        <v>59</v>
      </c>
      <c r="B2418" t="s">
        <v>762</v>
      </c>
      <c r="C2418" t="s">
        <v>225</v>
      </c>
      <c r="D2418" t="s">
        <v>226</v>
      </c>
      <c r="E2418" t="s">
        <v>207</v>
      </c>
      <c r="F2418" t="s">
        <v>227</v>
      </c>
      <c r="G2418" t="s">
        <v>228</v>
      </c>
      <c r="H2418">
        <v>75</v>
      </c>
      <c r="I2418">
        <v>6</v>
      </c>
      <c r="J2418">
        <v>6</v>
      </c>
      <c r="L2418">
        <v>2</v>
      </c>
      <c r="AQ2418">
        <v>89</v>
      </c>
      <c r="AR2418">
        <v>21.21</v>
      </c>
      <c r="AS2418">
        <v>1887.69</v>
      </c>
    </row>
    <row r="2419" spans="1:45" hidden="1">
      <c r="A2419" t="s">
        <v>59</v>
      </c>
      <c r="B2419" t="s">
        <v>762</v>
      </c>
      <c r="C2419" t="s">
        <v>710</v>
      </c>
      <c r="D2419" t="s">
        <v>480</v>
      </c>
      <c r="E2419" t="s">
        <v>207</v>
      </c>
      <c r="F2419" t="s">
        <v>481</v>
      </c>
      <c r="G2419" t="s">
        <v>482</v>
      </c>
      <c r="H2419">
        <v>1</v>
      </c>
      <c r="AQ2419">
        <v>1</v>
      </c>
      <c r="AR2419">
        <v>1272.5999999999999</v>
      </c>
      <c r="AS2419">
        <v>1272.5999999999999</v>
      </c>
    </row>
    <row r="2420" spans="1:45" hidden="1">
      <c r="A2420" t="s">
        <v>59</v>
      </c>
      <c r="B2420" t="s">
        <v>762</v>
      </c>
      <c r="C2420" t="s">
        <v>711</v>
      </c>
      <c r="D2420" t="s">
        <v>488</v>
      </c>
      <c r="E2420" t="s">
        <v>207</v>
      </c>
      <c r="F2420" t="s">
        <v>489</v>
      </c>
      <c r="G2420" t="s">
        <v>490</v>
      </c>
      <c r="J2420">
        <v>1</v>
      </c>
      <c r="AQ2420">
        <v>1</v>
      </c>
      <c r="AR2420">
        <v>0.5353</v>
      </c>
      <c r="AS2420">
        <v>0.5353</v>
      </c>
    </row>
    <row r="2421" spans="1:45" hidden="1">
      <c r="A2421" t="s">
        <v>59</v>
      </c>
      <c r="B2421" t="s">
        <v>762</v>
      </c>
      <c r="C2421" t="s">
        <v>712</v>
      </c>
      <c r="D2421" t="s">
        <v>483</v>
      </c>
      <c r="E2421" t="s">
        <v>207</v>
      </c>
      <c r="F2421" t="s">
        <v>484</v>
      </c>
      <c r="G2421" t="s">
        <v>392</v>
      </c>
      <c r="AQ2421">
        <v>0</v>
      </c>
      <c r="AR2421">
        <v>2121</v>
      </c>
      <c r="AS2421">
        <v>0</v>
      </c>
    </row>
    <row r="2422" spans="1:45" hidden="1">
      <c r="A2422" t="s">
        <v>59</v>
      </c>
      <c r="B2422" t="s">
        <v>762</v>
      </c>
      <c r="C2422" t="s">
        <v>713</v>
      </c>
      <c r="D2422" t="s">
        <v>485</v>
      </c>
      <c r="E2422" t="s">
        <v>207</v>
      </c>
      <c r="F2422" t="s">
        <v>486</v>
      </c>
      <c r="G2422" t="s">
        <v>487</v>
      </c>
      <c r="H2422">
        <v>5</v>
      </c>
      <c r="AQ2422">
        <v>5</v>
      </c>
      <c r="AR2422">
        <v>265.125</v>
      </c>
      <c r="AS2422">
        <v>1325.625</v>
      </c>
    </row>
    <row r="2423" spans="1:45" hidden="1">
      <c r="A2423" t="s">
        <v>59</v>
      </c>
      <c r="B2423" t="s">
        <v>762</v>
      </c>
      <c r="C2423" t="s">
        <v>229</v>
      </c>
      <c r="D2423" t="s">
        <v>230</v>
      </c>
      <c r="E2423" t="s">
        <v>231</v>
      </c>
      <c r="F2423" t="s">
        <v>232</v>
      </c>
      <c r="G2423" t="s">
        <v>233</v>
      </c>
      <c r="H2423">
        <v>12</v>
      </c>
      <c r="AQ2423">
        <v>12</v>
      </c>
      <c r="AR2423">
        <v>1484.7</v>
      </c>
      <c r="AS2423">
        <v>17816.400000000001</v>
      </c>
    </row>
    <row r="2424" spans="1:45" hidden="1">
      <c r="A2424" t="s">
        <v>59</v>
      </c>
      <c r="B2424" t="s">
        <v>762</v>
      </c>
      <c r="C2424" t="s">
        <v>234</v>
      </c>
      <c r="D2424" t="s">
        <v>230</v>
      </c>
      <c r="E2424" t="s">
        <v>231</v>
      </c>
      <c r="F2424" t="s">
        <v>285</v>
      </c>
      <c r="G2424" t="s">
        <v>233</v>
      </c>
      <c r="H2424">
        <v>3</v>
      </c>
      <c r="I2424">
        <v>1</v>
      </c>
      <c r="AQ2424">
        <v>4</v>
      </c>
      <c r="AR2424">
        <v>1696.8</v>
      </c>
      <c r="AS2424">
        <v>6787.2</v>
      </c>
    </row>
    <row r="2425" spans="1:45" hidden="1">
      <c r="A2425" t="s">
        <v>59</v>
      </c>
      <c r="B2425" t="s">
        <v>762</v>
      </c>
      <c r="C2425" t="s">
        <v>714</v>
      </c>
      <c r="D2425" t="s">
        <v>230</v>
      </c>
      <c r="E2425" t="s">
        <v>231</v>
      </c>
      <c r="F2425" t="s">
        <v>491</v>
      </c>
      <c r="G2425" t="s">
        <v>233</v>
      </c>
      <c r="AQ2425">
        <v>0</v>
      </c>
      <c r="AR2425">
        <v>1908.9</v>
      </c>
      <c r="AS2425">
        <v>0</v>
      </c>
    </row>
    <row r="2426" spans="1:45" hidden="1">
      <c r="A2426" t="s">
        <v>59</v>
      </c>
      <c r="B2426" t="s">
        <v>762</v>
      </c>
      <c r="C2426" t="s">
        <v>236</v>
      </c>
      <c r="D2426" t="s">
        <v>237</v>
      </c>
      <c r="E2426" t="s">
        <v>231</v>
      </c>
      <c r="F2426" t="s">
        <v>238</v>
      </c>
      <c r="G2426" t="s">
        <v>239</v>
      </c>
      <c r="H2426">
        <v>1</v>
      </c>
      <c r="J2426">
        <v>1</v>
      </c>
      <c r="AQ2426">
        <v>2</v>
      </c>
      <c r="AR2426">
        <v>265.125</v>
      </c>
      <c r="AS2426">
        <v>530.25</v>
      </c>
    </row>
    <row r="2427" spans="1:45" hidden="1">
      <c r="A2427" t="s">
        <v>59</v>
      </c>
      <c r="B2427" t="s">
        <v>762</v>
      </c>
      <c r="C2427" t="s">
        <v>715</v>
      </c>
      <c r="D2427" t="s">
        <v>492</v>
      </c>
      <c r="E2427" t="s">
        <v>231</v>
      </c>
      <c r="F2427" t="s">
        <v>493</v>
      </c>
      <c r="G2427" t="s">
        <v>494</v>
      </c>
      <c r="AQ2427">
        <v>0</v>
      </c>
      <c r="AR2427">
        <v>742.35</v>
      </c>
      <c r="AS2427">
        <v>0</v>
      </c>
    </row>
    <row r="2428" spans="1:45" hidden="1">
      <c r="A2428" t="s">
        <v>59</v>
      </c>
      <c r="B2428" t="s">
        <v>762</v>
      </c>
      <c r="C2428" t="s">
        <v>716</v>
      </c>
      <c r="D2428" t="s">
        <v>495</v>
      </c>
      <c r="E2428" t="s">
        <v>231</v>
      </c>
      <c r="F2428" t="s">
        <v>496</v>
      </c>
      <c r="G2428" t="s">
        <v>497</v>
      </c>
      <c r="H2428">
        <v>1</v>
      </c>
      <c r="L2428">
        <v>1</v>
      </c>
      <c r="AQ2428">
        <v>2</v>
      </c>
      <c r="AR2428">
        <v>848.4</v>
      </c>
      <c r="AS2428">
        <v>1696.8</v>
      </c>
    </row>
    <row r="2429" spans="1:45" hidden="1">
      <c r="A2429" t="s">
        <v>59</v>
      </c>
      <c r="B2429" t="s">
        <v>762</v>
      </c>
      <c r="C2429" t="s">
        <v>717</v>
      </c>
      <c r="D2429" t="s">
        <v>498</v>
      </c>
      <c r="E2429" t="s">
        <v>242</v>
      </c>
      <c r="F2429" t="s">
        <v>499</v>
      </c>
      <c r="G2429" t="s">
        <v>500</v>
      </c>
      <c r="H2429">
        <v>26727</v>
      </c>
      <c r="I2429">
        <v>1793</v>
      </c>
      <c r="J2429">
        <v>1410</v>
      </c>
      <c r="L2429">
        <v>763</v>
      </c>
      <c r="M2429">
        <v>117</v>
      </c>
      <c r="AQ2429">
        <v>30810</v>
      </c>
      <c r="AR2429">
        <v>1.4341999999999999</v>
      </c>
      <c r="AS2429">
        <v>44187.701999999997</v>
      </c>
    </row>
    <row r="2430" spans="1:45" hidden="1">
      <c r="A2430" t="s">
        <v>59</v>
      </c>
      <c r="B2430" t="s">
        <v>762</v>
      </c>
      <c r="C2430" t="s">
        <v>718</v>
      </c>
      <c r="D2430" t="s">
        <v>504</v>
      </c>
      <c r="E2430" t="s">
        <v>242</v>
      </c>
      <c r="F2430" t="s">
        <v>505</v>
      </c>
      <c r="G2430" t="s">
        <v>506</v>
      </c>
      <c r="H2430">
        <v>6000</v>
      </c>
      <c r="AQ2430">
        <v>6000</v>
      </c>
      <c r="AR2430">
        <v>0.84840000000000004</v>
      </c>
      <c r="AS2430">
        <v>5090.3999999999996</v>
      </c>
    </row>
    <row r="2431" spans="1:45" hidden="1">
      <c r="A2431" t="s">
        <v>59</v>
      </c>
      <c r="B2431" t="s">
        <v>762</v>
      </c>
      <c r="C2431" t="s">
        <v>719</v>
      </c>
      <c r="D2431" t="s">
        <v>501</v>
      </c>
      <c r="E2431" t="s">
        <v>242</v>
      </c>
      <c r="F2431" t="s">
        <v>502</v>
      </c>
      <c r="G2431" t="s">
        <v>503</v>
      </c>
      <c r="H2431">
        <v>2</v>
      </c>
      <c r="AQ2431">
        <v>2</v>
      </c>
      <c r="AR2431">
        <v>1272.5999999999999</v>
      </c>
      <c r="AS2431">
        <v>2545.1999999999998</v>
      </c>
    </row>
    <row r="2432" spans="1:45" hidden="1">
      <c r="A2432" t="s">
        <v>59</v>
      </c>
      <c r="B2432" t="s">
        <v>762</v>
      </c>
      <c r="C2432" t="s">
        <v>720</v>
      </c>
      <c r="D2432" t="s">
        <v>518</v>
      </c>
      <c r="E2432" t="s">
        <v>242</v>
      </c>
      <c r="F2432" t="s">
        <v>519</v>
      </c>
      <c r="G2432" t="s">
        <v>517</v>
      </c>
      <c r="AQ2432">
        <v>0</v>
      </c>
      <c r="AR2432">
        <v>3181.5</v>
      </c>
      <c r="AS2432">
        <v>0</v>
      </c>
    </row>
    <row r="2433" spans="1:45" hidden="1">
      <c r="A2433" t="s">
        <v>59</v>
      </c>
      <c r="B2433" t="s">
        <v>762</v>
      </c>
      <c r="C2433" t="s">
        <v>721</v>
      </c>
      <c r="D2433" t="s">
        <v>520</v>
      </c>
      <c r="E2433" t="s">
        <v>242</v>
      </c>
      <c r="F2433" t="s">
        <v>521</v>
      </c>
      <c r="G2433" t="s">
        <v>517</v>
      </c>
      <c r="AQ2433">
        <v>0</v>
      </c>
      <c r="AR2433">
        <v>2651.25</v>
      </c>
      <c r="AS2433">
        <v>0</v>
      </c>
    </row>
    <row r="2434" spans="1:45" hidden="1">
      <c r="A2434" t="s">
        <v>59</v>
      </c>
      <c r="B2434" t="s">
        <v>762</v>
      </c>
      <c r="C2434" t="s">
        <v>240</v>
      </c>
      <c r="D2434" t="s">
        <v>241</v>
      </c>
      <c r="E2434" t="s">
        <v>242</v>
      </c>
      <c r="F2434" t="s">
        <v>243</v>
      </c>
      <c r="G2434" t="s">
        <v>244</v>
      </c>
      <c r="H2434">
        <v>2</v>
      </c>
      <c r="I2434">
        <v>1</v>
      </c>
      <c r="AQ2434">
        <v>3</v>
      </c>
      <c r="AR2434">
        <v>318.14999999999998</v>
      </c>
      <c r="AS2434">
        <v>954.45</v>
      </c>
    </row>
    <row r="2435" spans="1:45" hidden="1">
      <c r="A2435" t="s">
        <v>59</v>
      </c>
      <c r="B2435" t="s">
        <v>762</v>
      </c>
      <c r="C2435" t="s">
        <v>245</v>
      </c>
      <c r="D2435" t="s">
        <v>246</v>
      </c>
      <c r="E2435" t="s">
        <v>242</v>
      </c>
      <c r="F2435" t="s">
        <v>247</v>
      </c>
      <c r="G2435" t="s">
        <v>248</v>
      </c>
      <c r="H2435">
        <v>4</v>
      </c>
      <c r="L2435">
        <v>1</v>
      </c>
      <c r="AQ2435">
        <v>5</v>
      </c>
      <c r="AR2435">
        <v>265.125</v>
      </c>
      <c r="AS2435">
        <v>1325.625</v>
      </c>
    </row>
    <row r="2436" spans="1:45" hidden="1">
      <c r="A2436" t="s">
        <v>59</v>
      </c>
      <c r="B2436" t="s">
        <v>762</v>
      </c>
      <c r="C2436" t="s">
        <v>259</v>
      </c>
      <c r="D2436" t="s">
        <v>260</v>
      </c>
      <c r="E2436" t="s">
        <v>242</v>
      </c>
      <c r="F2436" t="s">
        <v>261</v>
      </c>
      <c r="G2436" t="s">
        <v>262</v>
      </c>
      <c r="H2436">
        <v>10</v>
      </c>
      <c r="AQ2436">
        <v>10</v>
      </c>
      <c r="AR2436">
        <v>318.14999999999998</v>
      </c>
      <c r="AS2436">
        <v>3181.5</v>
      </c>
    </row>
    <row r="2437" spans="1:45" hidden="1">
      <c r="A2437" t="s">
        <v>59</v>
      </c>
      <c r="B2437" t="s">
        <v>762</v>
      </c>
      <c r="C2437" t="s">
        <v>722</v>
      </c>
      <c r="D2437" t="s">
        <v>507</v>
      </c>
      <c r="E2437" t="s">
        <v>242</v>
      </c>
      <c r="F2437" t="s">
        <v>508</v>
      </c>
      <c r="G2437" t="s">
        <v>509</v>
      </c>
      <c r="H2437">
        <v>2</v>
      </c>
      <c r="AQ2437">
        <v>2</v>
      </c>
      <c r="AR2437">
        <v>2121</v>
      </c>
      <c r="AS2437">
        <v>4242</v>
      </c>
    </row>
    <row r="2438" spans="1:45" hidden="1">
      <c r="A2438" t="s">
        <v>59</v>
      </c>
      <c r="B2438" t="s">
        <v>762</v>
      </c>
      <c r="C2438" t="s">
        <v>723</v>
      </c>
      <c r="D2438" t="s">
        <v>510</v>
      </c>
      <c r="E2438" t="s">
        <v>242</v>
      </c>
      <c r="F2438" t="s">
        <v>511</v>
      </c>
      <c r="G2438" t="s">
        <v>512</v>
      </c>
      <c r="H2438">
        <v>2</v>
      </c>
      <c r="AQ2438">
        <v>2</v>
      </c>
      <c r="AR2438">
        <v>212.1</v>
      </c>
      <c r="AS2438">
        <v>424.2</v>
      </c>
    </row>
    <row r="2439" spans="1:45" hidden="1">
      <c r="A2439" t="s">
        <v>59</v>
      </c>
      <c r="B2439" t="s">
        <v>762</v>
      </c>
      <c r="C2439" t="s">
        <v>724</v>
      </c>
      <c r="D2439" t="s">
        <v>526</v>
      </c>
      <c r="E2439" t="s">
        <v>242</v>
      </c>
      <c r="F2439" t="s">
        <v>527</v>
      </c>
      <c r="G2439" t="s">
        <v>528</v>
      </c>
      <c r="AQ2439">
        <v>0</v>
      </c>
      <c r="AR2439">
        <v>0.42420000000000002</v>
      </c>
      <c r="AS2439">
        <v>0</v>
      </c>
    </row>
    <row r="2440" spans="1:45" hidden="1">
      <c r="A2440" t="s">
        <v>59</v>
      </c>
      <c r="B2440" t="s">
        <v>762</v>
      </c>
      <c r="C2440" t="s">
        <v>725</v>
      </c>
      <c r="D2440" t="s">
        <v>529</v>
      </c>
      <c r="E2440" t="s">
        <v>242</v>
      </c>
      <c r="F2440" t="s">
        <v>530</v>
      </c>
      <c r="G2440" t="s">
        <v>531</v>
      </c>
      <c r="AQ2440">
        <v>0</v>
      </c>
      <c r="AR2440">
        <v>212.1</v>
      </c>
      <c r="AS2440">
        <v>0</v>
      </c>
    </row>
    <row r="2441" spans="1:45" hidden="1">
      <c r="A2441" t="s">
        <v>59</v>
      </c>
      <c r="B2441" t="s">
        <v>762</v>
      </c>
      <c r="C2441" t="s">
        <v>726</v>
      </c>
      <c r="D2441" t="s">
        <v>532</v>
      </c>
      <c r="E2441" t="s">
        <v>242</v>
      </c>
      <c r="F2441" t="s">
        <v>533</v>
      </c>
      <c r="G2441" t="s">
        <v>534</v>
      </c>
      <c r="AQ2441">
        <v>0</v>
      </c>
      <c r="AR2441">
        <v>21.21</v>
      </c>
      <c r="AS2441">
        <v>0</v>
      </c>
    </row>
    <row r="2442" spans="1:45" hidden="1">
      <c r="A2442" t="s">
        <v>59</v>
      </c>
      <c r="B2442" t="s">
        <v>762</v>
      </c>
      <c r="C2442" t="s">
        <v>727</v>
      </c>
      <c r="D2442" t="s">
        <v>287</v>
      </c>
      <c r="E2442" t="s">
        <v>242</v>
      </c>
      <c r="F2442" t="s">
        <v>537</v>
      </c>
      <c r="G2442" t="s">
        <v>538</v>
      </c>
      <c r="AQ2442">
        <v>0</v>
      </c>
      <c r="AR2442">
        <v>127.26</v>
      </c>
      <c r="AS2442">
        <v>0</v>
      </c>
    </row>
    <row r="2443" spans="1:45" hidden="1">
      <c r="A2443" t="s">
        <v>59</v>
      </c>
      <c r="B2443" t="s">
        <v>762</v>
      </c>
      <c r="C2443" t="s">
        <v>728</v>
      </c>
      <c r="D2443" t="s">
        <v>287</v>
      </c>
      <c r="E2443" t="s">
        <v>242</v>
      </c>
      <c r="F2443" t="s">
        <v>535</v>
      </c>
      <c r="G2443" t="s">
        <v>536</v>
      </c>
      <c r="AQ2443">
        <v>0</v>
      </c>
      <c r="AR2443">
        <v>424.2</v>
      </c>
      <c r="AS2443">
        <v>0</v>
      </c>
    </row>
    <row r="2444" spans="1:45" hidden="1">
      <c r="A2444" t="s">
        <v>59</v>
      </c>
      <c r="B2444" t="s">
        <v>762</v>
      </c>
      <c r="C2444" t="s">
        <v>729</v>
      </c>
      <c r="D2444" t="s">
        <v>522</v>
      </c>
      <c r="E2444" t="s">
        <v>242</v>
      </c>
      <c r="F2444" t="s">
        <v>523</v>
      </c>
      <c r="G2444" t="s">
        <v>517</v>
      </c>
      <c r="AQ2444">
        <v>0</v>
      </c>
      <c r="AR2444">
        <v>1272.5999999999999</v>
      </c>
      <c r="AS2444">
        <v>0</v>
      </c>
    </row>
    <row r="2445" spans="1:45" hidden="1">
      <c r="A2445" t="s">
        <v>59</v>
      </c>
      <c r="B2445" t="s">
        <v>762</v>
      </c>
      <c r="C2445" t="s">
        <v>730</v>
      </c>
      <c r="D2445" t="s">
        <v>515</v>
      </c>
      <c r="E2445" t="s">
        <v>242</v>
      </c>
      <c r="F2445" t="s">
        <v>516</v>
      </c>
      <c r="G2445" t="s">
        <v>517</v>
      </c>
      <c r="AQ2445">
        <v>0</v>
      </c>
      <c r="AR2445">
        <v>3181.5</v>
      </c>
      <c r="AS2445">
        <v>0</v>
      </c>
    </row>
    <row r="2446" spans="1:45" hidden="1">
      <c r="A2446" t="s">
        <v>59</v>
      </c>
      <c r="B2446" t="s">
        <v>762</v>
      </c>
      <c r="C2446" t="s">
        <v>731</v>
      </c>
      <c r="D2446" t="s">
        <v>524</v>
      </c>
      <c r="E2446" t="s">
        <v>242</v>
      </c>
      <c r="F2446" t="s">
        <v>525</v>
      </c>
      <c r="G2446" t="s">
        <v>503</v>
      </c>
      <c r="AQ2446">
        <v>0</v>
      </c>
      <c r="AR2446">
        <v>15907.5</v>
      </c>
      <c r="AS2446">
        <v>0</v>
      </c>
    </row>
    <row r="2447" spans="1:45" hidden="1">
      <c r="A2447" t="s">
        <v>59</v>
      </c>
      <c r="B2447" t="s">
        <v>762</v>
      </c>
      <c r="C2447" t="s">
        <v>732</v>
      </c>
      <c r="D2447" t="s">
        <v>513</v>
      </c>
      <c r="E2447" t="s">
        <v>242</v>
      </c>
      <c r="F2447" t="s">
        <v>514</v>
      </c>
      <c r="G2447" t="s">
        <v>453</v>
      </c>
      <c r="AQ2447">
        <v>0</v>
      </c>
      <c r="AR2447">
        <v>848.4</v>
      </c>
      <c r="AS2447">
        <v>0</v>
      </c>
    </row>
    <row r="2448" spans="1:45" hidden="1">
      <c r="A2448" t="s">
        <v>59</v>
      </c>
      <c r="B2448" t="s">
        <v>762</v>
      </c>
      <c r="C2448" t="s">
        <v>733</v>
      </c>
      <c r="D2448" t="s">
        <v>287</v>
      </c>
      <c r="E2448" t="s">
        <v>242</v>
      </c>
      <c r="F2448" t="s">
        <v>539</v>
      </c>
      <c r="G2448" t="s">
        <v>540</v>
      </c>
      <c r="H2448">
        <v>5000</v>
      </c>
      <c r="I2448">
        <v>500</v>
      </c>
      <c r="J2448">
        <v>500</v>
      </c>
      <c r="K2448">
        <v>500</v>
      </c>
      <c r="L2448">
        <v>500</v>
      </c>
      <c r="M2448">
        <v>50</v>
      </c>
      <c r="AQ2448">
        <v>7050</v>
      </c>
      <c r="AR2448">
        <v>8.08</v>
      </c>
      <c r="AS2448">
        <v>56964</v>
      </c>
    </row>
    <row r="2449" spans="1:45" hidden="1">
      <c r="A2449" t="s">
        <v>59</v>
      </c>
      <c r="B2449" t="s">
        <v>762</v>
      </c>
      <c r="C2449" t="s">
        <v>734</v>
      </c>
      <c r="D2449" t="s">
        <v>287</v>
      </c>
      <c r="E2449" t="s">
        <v>242</v>
      </c>
      <c r="F2449" t="s">
        <v>541</v>
      </c>
      <c r="G2449" t="s">
        <v>540</v>
      </c>
      <c r="H2449">
        <v>5000</v>
      </c>
      <c r="I2449">
        <v>500</v>
      </c>
      <c r="J2449">
        <v>500</v>
      </c>
      <c r="K2449">
        <v>500</v>
      </c>
      <c r="L2449">
        <v>500</v>
      </c>
      <c r="M2449">
        <v>50</v>
      </c>
      <c r="AQ2449">
        <v>7050</v>
      </c>
      <c r="AR2449">
        <v>7.4740000000000002</v>
      </c>
      <c r="AS2449">
        <v>52691.7</v>
      </c>
    </row>
    <row r="2450" spans="1:45" hidden="1">
      <c r="A2450" t="s">
        <v>59</v>
      </c>
      <c r="B2450" t="s">
        <v>762</v>
      </c>
      <c r="C2450" t="s">
        <v>735</v>
      </c>
      <c r="D2450" t="s">
        <v>543</v>
      </c>
      <c r="E2450" t="s">
        <v>542</v>
      </c>
      <c r="F2450" t="s">
        <v>544</v>
      </c>
      <c r="G2450" t="s">
        <v>545</v>
      </c>
      <c r="H2450">
        <v>3000</v>
      </c>
      <c r="AQ2450">
        <v>3000</v>
      </c>
      <c r="AR2450">
        <v>3000</v>
      </c>
      <c r="AS2450">
        <v>3000</v>
      </c>
    </row>
    <row r="2451" spans="1:45" hidden="1">
      <c r="A2451" t="s">
        <v>59</v>
      </c>
      <c r="B2451" t="s">
        <v>762</v>
      </c>
      <c r="C2451" t="s">
        <v>286</v>
      </c>
      <c r="D2451" t="s">
        <v>287</v>
      </c>
      <c r="E2451" t="s">
        <v>288</v>
      </c>
      <c r="F2451" t="s">
        <v>289</v>
      </c>
      <c r="G2451" t="s">
        <v>547</v>
      </c>
      <c r="AQ2451">
        <v>0</v>
      </c>
      <c r="AR2451">
        <v>0.05</v>
      </c>
      <c r="AS2451">
        <v>46914.952469999997</v>
      </c>
    </row>
    <row r="2452" spans="1:45" hidden="1">
      <c r="A2452" t="s">
        <v>59</v>
      </c>
      <c r="B2452" t="s">
        <v>762</v>
      </c>
      <c r="C2452" t="s">
        <v>291</v>
      </c>
      <c r="D2452" t="s">
        <v>287</v>
      </c>
      <c r="E2452" t="s">
        <v>288</v>
      </c>
      <c r="F2452" t="s">
        <v>292</v>
      </c>
      <c r="G2452" t="s">
        <v>293</v>
      </c>
      <c r="AQ2452">
        <v>0</v>
      </c>
      <c r="AR2452">
        <v>6.0600000000000001E-2</v>
      </c>
      <c r="AS2452">
        <v>0</v>
      </c>
    </row>
    <row r="2453" spans="1:45" hidden="1">
      <c r="A2453" t="s">
        <v>59</v>
      </c>
      <c r="B2453" t="s">
        <v>762</v>
      </c>
      <c r="C2453" t="s">
        <v>736</v>
      </c>
      <c r="D2453" t="s">
        <v>287</v>
      </c>
      <c r="E2453" t="s">
        <v>288</v>
      </c>
      <c r="F2453" t="s">
        <v>550</v>
      </c>
      <c r="G2453" t="s">
        <v>293</v>
      </c>
      <c r="AQ2453">
        <v>0</v>
      </c>
      <c r="AR2453">
        <v>5.0500000000000003E-2</v>
      </c>
      <c r="AS2453">
        <v>0</v>
      </c>
    </row>
    <row r="2454" spans="1:45" hidden="1">
      <c r="A2454" t="s">
        <v>59</v>
      </c>
      <c r="B2454" t="s">
        <v>762</v>
      </c>
      <c r="C2454" t="s">
        <v>737</v>
      </c>
      <c r="D2454" t="s">
        <v>287</v>
      </c>
      <c r="E2454" t="s">
        <v>288</v>
      </c>
      <c r="F2454" t="s">
        <v>548</v>
      </c>
      <c r="G2454" t="s">
        <v>293</v>
      </c>
      <c r="AQ2454">
        <v>0</v>
      </c>
      <c r="AR2454">
        <v>0.1111</v>
      </c>
      <c r="AS2454">
        <v>0</v>
      </c>
    </row>
    <row r="2455" spans="1:45" hidden="1">
      <c r="A2455" t="s">
        <v>59</v>
      </c>
      <c r="B2455" t="s">
        <v>762</v>
      </c>
      <c r="C2455" t="s">
        <v>738</v>
      </c>
      <c r="D2455" t="s">
        <v>287</v>
      </c>
      <c r="E2455" t="s">
        <v>288</v>
      </c>
      <c r="F2455" t="s">
        <v>549</v>
      </c>
      <c r="G2455" t="s">
        <v>293</v>
      </c>
      <c r="AQ2455">
        <v>0</v>
      </c>
      <c r="AR2455">
        <v>0.10100000000000001</v>
      </c>
      <c r="AS2455">
        <v>0</v>
      </c>
    </row>
  </sheetData>
  <autoFilter ref="A1:AT2455" xr:uid="{00000000-0001-0000-0700-000000000000}">
    <filterColumn colId="0">
      <filters>
        <filter val="ASST FBF Sacco"/>
      </filters>
    </filterColumn>
  </autoFilter>
  <pageMargins left="0.78749999999999998" right="0.78749999999999998" top="1.05277777777778" bottom="1.05277777777778" header="0.78749999999999998" footer="0.78749999999999998"/>
  <pageSetup paperSize="9" firstPageNumber="0" orientation="portrait" horizontalDpi="300" verticalDpi="300"/>
  <headerFooter>
    <oddHeader>&amp;C&amp;"Times New Roman,Normale"&amp;12&amp;A</oddHeader>
    <oddFooter>&amp;C&amp;"Times New Roman,Normale"&amp;12Pagina &amp;P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Campagnoli Ivan Luca</cp:lastModifiedBy>
  <cp:revision>0</cp:revision>
  <dcterms:created xsi:type="dcterms:W3CDTF">2023-12-12T16:06:03Z</dcterms:created>
  <dcterms:modified xsi:type="dcterms:W3CDTF">2026-04-08T21:41:29Z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VA_PG_Commessa">
    <vt:lpwstr>2986</vt:lpwstr>
  </property>
  <property fmtid="{D5CDD505-2E9C-101B-9397-08002B2CF9AE}" pid="3" name="AppVersion">
    <vt:lpwstr>16.0300</vt:lpwstr>
  </property>
  <property fmtid="{D5CDD505-2E9C-101B-9397-08002B2CF9AE}" pid="4" name="ContentTypeId">
    <vt:lpwstr>0x010100934BC45E2F183D42A8F17E8B879C132200E530F72F4D65AB4ABCD68FEDE6A9EBFF</vt:lpwstr>
  </property>
  <property fmtid="{D5CDD505-2E9C-101B-9397-08002B2CF9AE}" pid="5" name="DocSecurity">
    <vt:i4>0</vt:i4>
  </property>
  <property fmtid="{D5CDD505-2E9C-101B-9397-08002B2CF9AE}" pid="6" name="HyperlinksChanged">
    <vt:bool>false</vt:bool>
  </property>
  <property fmtid="{D5CDD505-2E9C-101B-9397-08002B2CF9AE}" pid="7" name="LinksUpToDate">
    <vt:bool>false</vt:bool>
  </property>
  <property fmtid="{D5CDD505-2E9C-101B-9397-08002B2CF9AE}" pid="8" name="MSIP_Label_ea60d57e-af5b-4752-ac57-3e4f28ca11dc_ActionId">
    <vt:lpwstr>b6a6e8a0-dd9a-4038-a1f0-e29b4e64b5a9</vt:lpwstr>
  </property>
  <property fmtid="{D5CDD505-2E9C-101B-9397-08002B2CF9AE}" pid="9" name="MSIP_Label_ea60d57e-af5b-4752-ac57-3e4f28ca11dc_ContentBits">
    <vt:lpwstr>0</vt:lpwstr>
  </property>
  <property fmtid="{D5CDD505-2E9C-101B-9397-08002B2CF9AE}" pid="10" name="MSIP_Label_ea60d57e-af5b-4752-ac57-3e4f28ca11dc_Enabled">
    <vt:lpwstr>true</vt:lpwstr>
  </property>
  <property fmtid="{D5CDD505-2E9C-101B-9397-08002B2CF9AE}" pid="11" name="MSIP_Label_ea60d57e-af5b-4752-ac57-3e4f28ca11dc_Method">
    <vt:lpwstr>Privileged</vt:lpwstr>
  </property>
  <property fmtid="{D5CDD505-2E9C-101B-9397-08002B2CF9AE}" pid="12" name="MSIP_Label_ea60d57e-af5b-4752-ac57-3e4f28ca11dc_Name">
    <vt:lpwstr>ea60d57e-af5b-4752-ac57-3e4f28ca11dc</vt:lpwstr>
  </property>
  <property fmtid="{D5CDD505-2E9C-101B-9397-08002B2CF9AE}" pid="13" name="MSIP_Label_ea60d57e-af5b-4752-ac57-3e4f28ca11dc_SetDate">
    <vt:lpwstr>2023-12-12T16:06:16Z</vt:lpwstr>
  </property>
  <property fmtid="{D5CDD505-2E9C-101B-9397-08002B2CF9AE}" pid="14" name="MSIP_Label_ea60d57e-af5b-4752-ac57-3e4f28ca11dc_SiteId">
    <vt:lpwstr>36da45f1-dd2c-4d1f-af13-5abe46b99921</vt:lpwstr>
  </property>
  <property fmtid="{D5CDD505-2E9C-101B-9397-08002B2CF9AE}" pid="15" name="ScaleCrop">
    <vt:bool>false</vt:bool>
  </property>
  <property fmtid="{D5CDD505-2E9C-101B-9397-08002B2CF9AE}" pid="16" name="ShareDoc">
    <vt:bool>false</vt:bool>
  </property>
  <property fmtid="{D5CDD505-2E9C-101B-9397-08002B2CF9AE}" pid="17" name="_docset_NoMedatataSyncRequired">
    <vt:lpwstr>True</vt:lpwstr>
  </property>
</Properties>
</file>