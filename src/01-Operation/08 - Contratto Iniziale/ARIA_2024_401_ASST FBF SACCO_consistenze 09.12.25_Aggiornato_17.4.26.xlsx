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BM ivan/BM-Gestione-Commessa/01-Operation/08 - Contratto Iniziale/"/>
    </mc:Choice>
  </mc:AlternateContent>
  <xr:revisionPtr revIDLastSave="25" documentId="8_{8DC63CA4-B33E-44F7-8C9F-56F66D1EA25D}" xr6:coauthVersionLast="47" xr6:coauthVersionMax="47" xr10:uidLastSave="{F137B0BB-3776-43BC-BE29-A79E2D881072}"/>
  <bookViews>
    <workbookView xWindow="-120" yWindow="-120" windowWidth="29040" windowHeight="15720" firstSheet="1" activeTab="1" xr2:uid="{53EAF9FB-C1B8-4DAF-AC7B-22C860004F1D}"/>
  </bookViews>
  <sheets>
    <sheet name="Consistenze Agg 04_03_26" sheetId="1" state="hidden" r:id="rId1"/>
    <sheet name="Consistenze Agg 17_04_26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5" i="3" l="1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Campagnoli Ivan Luca</author>
  </authors>
  <commentList>
    <comment ref="I5" authorId="0" shapeId="0" xr:uid="{A902D9B9-2EBA-4513-8486-E8ABAF93882C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4</t>
        </r>
      </text>
    </comment>
    <comment ref="J5" authorId="0" shapeId="0" xr:uid="{E2EF1E23-1AD5-4E51-A377-97E87A56BA90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0</t>
        </r>
      </text>
    </comment>
    <comment ref="K5" authorId="0" shapeId="0" xr:uid="{BA943F8D-CF36-4B48-AC11-1F8CB5A1B389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4</t>
        </r>
      </text>
    </comment>
    <comment ref="N5" authorId="0" shapeId="0" xr:uid="{771AB81E-C513-4964-9606-87B3C25FE186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sopralluoigo = 1</t>
        </r>
      </text>
    </comment>
    <comment ref="O5" authorId="0" shapeId="0" xr:uid="{5CD56B72-A5C8-4765-B391-BF9C0407BCBD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3</t>
        </r>
      </text>
    </comment>
    <comment ref="Y5" authorId="0" shapeId="0" xr:uid="{8DB41E32-896E-4AA4-BEF2-4AD15D93FC80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non trovata durante sopralluogo = 0</t>
        </r>
      </text>
    </comment>
    <comment ref="AO5" authorId="0" shapeId="0" xr:uid="{6CC4BA3C-34B3-43AB-9D52-F6A1B45208DD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risultano 16 se contiamo anche Doria senza sopralluogo</t>
        </r>
      </text>
    </comment>
    <comment ref="I6" authorId="0" shapeId="0" xr:uid="{693BC642-AAB2-48F8-BDCA-5006FE55648A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0</t>
        </r>
      </text>
    </comment>
    <comment ref="K6" authorId="0" shapeId="0" xr:uid="{4A32AA8C-116D-47D0-B71A-15FEA7867582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 dopo sopralluogo = 0</t>
        </r>
      </text>
    </comment>
    <comment ref="AO6" authorId="0" shapeId="0" xr:uid="{27332F90-5EDC-45AF-85A0-5085B5A0287A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risultato 2</t>
        </r>
      </text>
    </comment>
    <comment ref="W7" authorId="0" shapeId="0" xr:uid="{FFA596D1-A186-4626-8485-DB0340505FB9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non trovato durante sopralluogo = 0</t>
        </r>
      </text>
    </comment>
    <comment ref="AO7" authorId="0" shapeId="0" xr:uid="{A1C36B45-9C1A-41FE-855D-2A74F50DBB98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= 10 se contiamo Doria senza sopralluogo</t>
        </r>
      </text>
    </comment>
    <comment ref="O10" authorId="0" shapeId="0" xr:uid="{79F4059D-2EF9-4972-B48A-FC5B4DF900B5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I18" authorId="0" shapeId="0" xr:uid="{4E777EF4-8DAE-47D4-8F5A-1C565AD352EE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soppraluogo = 1</t>
        </r>
      </text>
    </comment>
    <comment ref="J18" authorId="0" shapeId="0" xr:uid="{308B9779-124D-45E5-BDD6-5CB3D0CCEB0D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K18" authorId="0" shapeId="0" xr:uid="{08B06522-B7A6-4076-9144-8657EC923AA2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2</t>
        </r>
      </text>
    </comment>
    <comment ref="N18" authorId="0" shapeId="0" xr:uid="{1CA8DDEB-4373-4B6C-8938-F2F604351CFD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AO18" authorId="0" shapeId="0" xr:uid="{FCD3ECDD-1A4F-44F2-AFEF-DC3798B91AEF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sono 6 se contiamo Doria senza sopralluogo</t>
        </r>
      </text>
    </comment>
    <comment ref="L20" authorId="0" shapeId="0" xr:uid="{2A5A06B0-5654-47F3-AEF9-F04E4123C737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AO20" authorId="0" shapeId="0" xr:uid="{664DECEB-0B7C-493C-A6B8-8038C2CC9330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5 se contiamo Doria senza sopralluogo</t>
        </r>
      </text>
    </comment>
    <comment ref="L31" authorId="0" shapeId="0" xr:uid="{7F708BFB-C777-48AD-9661-62CB1F69C829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=1</t>
        </r>
      </text>
    </comment>
    <comment ref="AO31" authorId="0" shapeId="0" xr:uid="{EBEB2AA0-A59E-4103-A1A1-F388504D1F56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Campagnoli Ivan Luca</author>
  </authors>
  <commentList>
    <comment ref="I5" authorId="0" shapeId="0" xr:uid="{4E4CDFA6-85DB-4984-8C7C-0FE181B180B2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4</t>
        </r>
      </text>
    </comment>
    <comment ref="J5" authorId="0" shapeId="0" xr:uid="{E0DB851D-3DC7-45A1-86A0-173F00F26022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0</t>
        </r>
      </text>
    </comment>
    <comment ref="K5" authorId="0" shapeId="0" xr:uid="{23F9D054-69BB-407D-9562-09D84F7D2FE8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4</t>
        </r>
      </text>
    </comment>
    <comment ref="N5" authorId="0" shapeId="0" xr:uid="{64EAD9C6-C728-411F-A78E-C0C8636CE117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sopralluoigo = 1</t>
        </r>
      </text>
    </comment>
    <comment ref="O5" authorId="0" shapeId="0" xr:uid="{A06539D8-160A-4EBC-8982-CBB5E0528B97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3</t>
        </r>
      </text>
    </comment>
    <comment ref="Y5" authorId="0" shapeId="0" xr:uid="{49DA3476-CCB0-4CF8-A1BA-DF11916EFC33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non trovata durante sopralluogo = 0</t>
        </r>
      </text>
    </comment>
    <comment ref="AO5" authorId="0" shapeId="0" xr:uid="{16C99084-F40D-4B28-9232-B796280FEAC2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risultano 16 se contiamo anche Doria senza sopralluogo</t>
        </r>
      </text>
    </comment>
    <comment ref="I6" authorId="0" shapeId="0" xr:uid="{472047BF-F513-47DE-8D36-8A40255792EC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0</t>
        </r>
      </text>
    </comment>
    <comment ref="K6" authorId="0" shapeId="0" xr:uid="{20C049D4-68F5-4CBD-9348-DA5DC0FB03B2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 dopo sopralluogo = 0</t>
        </r>
      </text>
    </comment>
    <comment ref="AO6" authorId="0" shapeId="0" xr:uid="{E1BEF185-9AFA-4398-80D3-4966407F65C1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risultato 2</t>
        </r>
      </text>
    </comment>
    <comment ref="W7" authorId="0" shapeId="0" xr:uid="{6289520B-D1E8-49EB-A4F4-478786EE59A4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non trovato durante sopralluogo = 0</t>
        </r>
      </text>
    </comment>
    <comment ref="AO7" authorId="0" shapeId="0" xr:uid="{0E197E7B-2A26-429F-AF48-AAA64645A7C5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= 10 se contiamo Doria senza sopralluogo</t>
        </r>
      </text>
    </comment>
    <comment ref="O10" authorId="0" shapeId="0" xr:uid="{2D95E59D-5128-4E29-9F49-B448D8B1ED4F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I19" authorId="0" shapeId="0" xr:uid="{649D9460-43D3-4A25-9828-8F5FF1296434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soppraluogo = 1</t>
        </r>
      </text>
    </comment>
    <comment ref="J19" authorId="0" shapeId="0" xr:uid="{3643C776-DC69-4C93-AEBB-17FC5A3B0DD8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K19" authorId="0" shapeId="0" xr:uid="{829909FB-0798-4ECA-8ADD-E259CF78719D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2</t>
        </r>
      </text>
    </comment>
    <comment ref="N19" authorId="0" shapeId="0" xr:uid="{A80E45E7-50CB-469E-AEFF-2FD1E9DD5AE9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AO19" authorId="0" shapeId="0" xr:uid="{80F88D68-AE89-4C50-86C7-33247569DA91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sono 6 se contiamo Doria senza sopralluogo</t>
        </r>
      </text>
    </comment>
    <comment ref="L21" authorId="0" shapeId="0" xr:uid="{3D95BF75-D17A-47C5-BEC9-501B6C2B547D}">
      <text>
        <r>
          <rPr>
            <b/>
            <sz val="9"/>
            <color indexed="81"/>
            <rFont val="Tahoma"/>
            <family val="2"/>
          </rPr>
          <t>Campagnoli Ivan Luca:</t>
        </r>
        <r>
          <rPr>
            <sz val="9"/>
            <color indexed="81"/>
            <rFont val="Tahoma"/>
            <family val="2"/>
          </rPr>
          <t xml:space="preserve">
dopo sopralluogo = 1</t>
        </r>
      </text>
    </comment>
    <comment ref="AO21" authorId="0" shapeId="0" xr:uid="{C7AE33A6-566E-4667-B39C-FD6BDE9B9D71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5 se contiamo Doria senza sopralluogo</t>
        </r>
      </text>
    </comment>
    <comment ref="L33" authorId="0" shapeId="0" xr:uid="{79F79892-58E3-45E2-B27D-7A5A51D2C6B8}">
      <text>
        <r>
          <rPr>
            <b/>
            <sz val="9"/>
            <color indexed="81"/>
            <rFont val="Tahoma"/>
            <charset val="1"/>
          </rPr>
          <t>Campagnoli Ivan Luca:</t>
        </r>
        <r>
          <rPr>
            <sz val="9"/>
            <color indexed="81"/>
            <rFont val="Tahoma"/>
            <charset val="1"/>
          </rPr>
          <t xml:space="preserve">
dopo sopralluogo =1</t>
        </r>
      </text>
    </comment>
  </commentList>
</comments>
</file>

<file path=xl/sharedStrings.xml><?xml version="1.0" encoding="utf-8"?>
<sst xmlns="http://schemas.openxmlformats.org/spreadsheetml/2006/main" count="1707" uniqueCount="217">
  <si>
    <t>Consistenze</t>
  </si>
  <si>
    <t>Via A. Doria 52</t>
  </si>
  <si>
    <t>Via Don Orione 2</t>
  </si>
  <si>
    <t>Via Farini 9</t>
  </si>
  <si>
    <t>Via Rugabella 4/6</t>
  </si>
  <si>
    <t>Via A.Sassi 4</t>
  </si>
  <si>
    <t>Via Sassi 4 P.ssa Jolanda</t>
  </si>
  <si>
    <t>V.le Jenner 44</t>
  </si>
  <si>
    <t>Via Livigno 3</t>
  </si>
  <si>
    <t>Via Calvairate 1</t>
  </si>
  <si>
    <t>Via Polesine 6</t>
  </si>
  <si>
    <t>Via Adriano 99 e 107</t>
  </si>
  <si>
    <t>POT Bollate</t>
  </si>
  <si>
    <t>Legnano</t>
  </si>
  <si>
    <t>viale Piceno 60</t>
  </si>
  <si>
    <t>via Clericetti 22</t>
  </si>
  <si>
    <t>via Don Bosco 14</t>
  </si>
  <si>
    <t>via Fantoli 7 
Poliamb.</t>
  </si>
  <si>
    <t>via Monte Palombino 4</t>
  </si>
  <si>
    <t>via Quarenghi 21</t>
  </si>
  <si>
    <t>via Aldini 72</t>
  </si>
  <si>
    <t>via Perini 22</t>
  </si>
  <si>
    <t>via Cilea 146A</t>
  </si>
  <si>
    <t>via R. Sanzio 9</t>
  </si>
  <si>
    <t>via Statuto 5</t>
  </si>
  <si>
    <t>via S. Erlemblado 4d</t>
  </si>
  <si>
    <t>via Padova 118</t>
  </si>
  <si>
    <t>L.go Volontari del Sangue 1</t>
  </si>
  <si>
    <t>C.so Plebisciti 4</t>
  </si>
  <si>
    <t>via Serlio 8</t>
  </si>
  <si>
    <t>via Fantoli 7
Consultorio</t>
  </si>
  <si>
    <t>viale Puglie 33</t>
  </si>
  <si>
    <t>via Natta 19</t>
  </si>
  <si>
    <t>via Oglio 18</t>
  </si>
  <si>
    <t>Ente</t>
  </si>
  <si>
    <t>ID Servizio</t>
  </si>
  <si>
    <t>Codice</t>
  </si>
  <si>
    <t>Tipologia Servizio</t>
  </si>
  <si>
    <t>Servizio</t>
  </si>
  <si>
    <t>Unità di misura</t>
  </si>
  <si>
    <t>ID presidio 1</t>
  </si>
  <si>
    <t>ID presidio 2</t>
  </si>
  <si>
    <t>ID presidio 3</t>
  </si>
  <si>
    <t>ID presidio 4</t>
  </si>
  <si>
    <t>ID presidio 5</t>
  </si>
  <si>
    <t>ID presidio 6</t>
  </si>
  <si>
    <t>ID presidio 7</t>
  </si>
  <si>
    <t>ID presidio 8</t>
  </si>
  <si>
    <t>ID presidio 9</t>
  </si>
  <si>
    <t>ID presidio 10</t>
  </si>
  <si>
    <t>ID presidio 11</t>
  </si>
  <si>
    <t>ID presidio 12</t>
  </si>
  <si>
    <t>ID presidio 13</t>
  </si>
  <si>
    <t>ID presidio 14</t>
  </si>
  <si>
    <t>ID presidio 15</t>
  </si>
  <si>
    <t>ID presidio 16</t>
  </si>
  <si>
    <t>ID presidio 17</t>
  </si>
  <si>
    <t>ID presidio 18</t>
  </si>
  <si>
    <t>ID presidio 19</t>
  </si>
  <si>
    <t>ID presidio 20</t>
  </si>
  <si>
    <t>ID presidio 21</t>
  </si>
  <si>
    <t>ID presidio 22</t>
  </si>
  <si>
    <t>ID presidio 23</t>
  </si>
  <si>
    <t>ID presidio 24</t>
  </si>
  <si>
    <t>ID presidio 25</t>
  </si>
  <si>
    <t>ID presidio 26</t>
  </si>
  <si>
    <t>ID presidio 27</t>
  </si>
  <si>
    <t>ID presidio 28</t>
  </si>
  <si>
    <t>ID presidio 29</t>
  </si>
  <si>
    <t>ID presidio 30</t>
  </si>
  <si>
    <t>ID presidio 31</t>
  </si>
  <si>
    <t>ID presidio 32</t>
  </si>
  <si>
    <t>ID presidio 33</t>
  </si>
  <si>
    <t>Consistenze totali</t>
  </si>
  <si>
    <t>ASST FBF Sacco</t>
  </si>
  <si>
    <t>1.2</t>
  </si>
  <si>
    <t>B.01 - B.02 - B.12</t>
  </si>
  <si>
    <t>Servizio energia - Manutenzione impianti di climatizzazione (B2)</t>
  </si>
  <si>
    <t>Caldaie da 36kW a 350 kW</t>
  </si>
  <si>
    <t>n.ro caldaie</t>
  </si>
  <si>
    <t>-</t>
  </si>
  <si>
    <t>ND</t>
  </si>
  <si>
    <t>conduzione teleriscaldamento</t>
  </si>
  <si>
    <t>1.1</t>
  </si>
  <si>
    <t>Caldaie da 350 kW a 1000kW</t>
  </si>
  <si>
    <t>13.3</t>
  </si>
  <si>
    <t>B.04</t>
  </si>
  <si>
    <t>Gruppi frigoriferi a vite/centrifughi fino a 100 kW</t>
  </si>
  <si>
    <t>n.ro gruppo frigorifero</t>
  </si>
  <si>
    <t>3.1</t>
  </si>
  <si>
    <t>B.01 -B.05 -B.06 -B.07 - B.09 - B.10 - B.11</t>
  </si>
  <si>
    <t>Distribuzione impianti idronici e sottocentrali</t>
  </si>
  <si>
    <t>m2 superficie lorda</t>
  </si>
  <si>
    <t>15.1</t>
  </si>
  <si>
    <t>B.07.05</t>
  </si>
  <si>
    <t>Ventilconvettori</t>
  </si>
  <si>
    <t>n.ro ventilconvettori</t>
  </si>
  <si>
    <t>17.1</t>
  </si>
  <si>
    <t>B.07.07/09</t>
  </si>
  <si>
    <t>Condizionatori tipo split/VRV /carrellabili</t>
  </si>
  <si>
    <t>n.ro unità interna</t>
  </si>
  <si>
    <t>20.1</t>
  </si>
  <si>
    <t>B.08 - B.13 - B.15</t>
  </si>
  <si>
    <t>Unità di Trattamento Aria con filtro assoluto</t>
  </si>
  <si>
    <t>n.ro U.T.A.</t>
  </si>
  <si>
    <t>2.1</t>
  </si>
  <si>
    <t>B.01 - B.08.04/ 05/06 - B.09 - B.10 - B.11</t>
  </si>
  <si>
    <t>Canali di distribuzione, ripresa, serrande e bocchette e relativi locali tecnici</t>
  </si>
  <si>
    <t>m2 superficie lorda climatizzata (presenti ricambi d'aria)</t>
  </si>
  <si>
    <t>30.1</t>
  </si>
  <si>
    <t>C2 - C6</t>
  </si>
  <si>
    <t>Manutenzione Impianti elettrici (C)</t>
  </si>
  <si>
    <t>Distribuzione elettrica, quadri, ecc.</t>
  </si>
  <si>
    <t>40.1</t>
  </si>
  <si>
    <t>C4.02</t>
  </si>
  <si>
    <t>Rifasatori</t>
  </si>
  <si>
    <t>n.ro rifasatori</t>
  </si>
  <si>
    <t>45.2</t>
  </si>
  <si>
    <t>C5</t>
  </si>
  <si>
    <t>Verifiche locali uso medico</t>
  </si>
  <si>
    <t>n.ro locali gruppo 1 e 2</t>
  </si>
  <si>
    <t>45.1</t>
  </si>
  <si>
    <t>Verifiche impianti di terra e protezione scariche atmosferiche</t>
  </si>
  <si>
    <t>49.1</t>
  </si>
  <si>
    <t>D2.01- D2.02</t>
  </si>
  <si>
    <t>Manutenzione impianti idrici (D)</t>
  </si>
  <si>
    <t>Centrali idriche</t>
  </si>
  <si>
    <t>n.ro vasche</t>
  </si>
  <si>
    <t>50.1</t>
  </si>
  <si>
    <t>D2.02</t>
  </si>
  <si>
    <t>Impianti addolcimento</t>
  </si>
  <si>
    <t>n.ro addolcitori</t>
  </si>
  <si>
    <t>51.1</t>
  </si>
  <si>
    <t>D2.03 - D2.04</t>
  </si>
  <si>
    <t>Distribuzione idrico sanitaria</t>
  </si>
  <si>
    <t>52.1</t>
  </si>
  <si>
    <t>D3.01</t>
  </si>
  <si>
    <t>Apparecchiature controllo legionellosi</t>
  </si>
  <si>
    <t>n.ro impianti produttori biossido di cloro</t>
  </si>
  <si>
    <t>53.1</t>
  </si>
  <si>
    <t>D3.01.06/07</t>
  </si>
  <si>
    <t>Prove della legionella della rete idrico-sanitaria</t>
  </si>
  <si>
    <t>n.ro analisi effettuate annue</t>
  </si>
  <si>
    <t>61.1</t>
  </si>
  <si>
    <t>E1.03 - E1.06 - E3.04</t>
  </si>
  <si>
    <t>Manutenzione impianti e apparecchiature antincendio (E)</t>
  </si>
  <si>
    <t>compartimentazioni, serrande tagliafuoco</t>
  </si>
  <si>
    <t>m2 superficie lorda servita</t>
  </si>
  <si>
    <t>64.1</t>
  </si>
  <si>
    <t>E2.01 - E2.04 - E2.05</t>
  </si>
  <si>
    <t>impianti rivelazione e segnalazione incendi</t>
  </si>
  <si>
    <t>62.1</t>
  </si>
  <si>
    <t>E1.04 - E1.05 - E2.02</t>
  </si>
  <si>
    <t>illuminazione di emergenza, segnaletica antincendio e vie di esodo</t>
  </si>
  <si>
    <t>60.1</t>
  </si>
  <si>
    <t>E1.02</t>
  </si>
  <si>
    <t>Estintori</t>
  </si>
  <si>
    <t>n.ro estintori</t>
  </si>
  <si>
    <t>66.1</t>
  </si>
  <si>
    <t>E3.01 - E3.08</t>
  </si>
  <si>
    <t>Centrale di pressurizzazione</t>
  </si>
  <si>
    <t>n.ro centrali</t>
  </si>
  <si>
    <t>67.1</t>
  </si>
  <si>
    <t>E3.02 - E3.08</t>
  </si>
  <si>
    <t>Rete idrica e terminali</t>
  </si>
  <si>
    <t>n.ro idranti o naspi</t>
  </si>
  <si>
    <t>72.1</t>
  </si>
  <si>
    <t>F1.01</t>
  </si>
  <si>
    <t>Manutenzione impianti elevatori (F)</t>
  </si>
  <si>
    <t>Elevatori 1-5 piani (fino a 6 fermate)</t>
  </si>
  <si>
    <t>n.ro elevatori</t>
  </si>
  <si>
    <t>72.2</t>
  </si>
  <si>
    <t>Elevatori 6-10 piani (fino a 11 fermate)</t>
  </si>
  <si>
    <t>73.1</t>
  </si>
  <si>
    <t>F1.02</t>
  </si>
  <si>
    <t>Servoscala</t>
  </si>
  <si>
    <t>n.ro servoscala</t>
  </si>
  <si>
    <t>76.1</t>
  </si>
  <si>
    <t>G1</t>
  </si>
  <si>
    <t>Manutenzione edile (G)</t>
  </si>
  <si>
    <t>Pompe di sollevamento acque nere e chiare</t>
  </si>
  <si>
    <t>n.ro impianti sollevamento acque chiare e nere</t>
  </si>
  <si>
    <t>80.1</t>
  </si>
  <si>
    <t>G2.01.01</t>
  </si>
  <si>
    <t>Cancelli e sbarre motorizzati</t>
  </si>
  <si>
    <t>n.ro cancelli e sbarre motorizzate</t>
  </si>
  <si>
    <t>Struttura vuota 
dati basati sullo stato di progetto dei piani destinati a ODC - previsione fine lavori 06/2026</t>
  </si>
  <si>
    <t>assistenza per sostituzione lampade al neon o led</t>
  </si>
  <si>
    <t>Contratto Comodato d’uso scad.31/10/26 o Fino a fine lavori PNRR</t>
  </si>
  <si>
    <t xml:space="preserve">da richiedere se va fatta manutenzione anche a manichette </t>
  </si>
  <si>
    <t>In fase di ristrutturazione per creazione Casa di Comunità</t>
  </si>
  <si>
    <t>Assistenza per conduzione teleriscaldamento, regolazione, ecc.</t>
  </si>
  <si>
    <t>Assistenza su terminali impianto riscaldamento (sfiato caloriferi, manutenzione valvole; conduzione teleriscaldamento)</t>
  </si>
  <si>
    <t>Via A. Sassi 4</t>
  </si>
  <si>
    <t>B2.01 - B2.02 - B2.12</t>
  </si>
  <si>
    <t>B2.04</t>
  </si>
  <si>
    <t>B2.01 -B2.05 -B2.06 -B2.07 - B2.09 - B2.10 - B2.11</t>
  </si>
  <si>
    <t>B2.07.05</t>
  </si>
  <si>
    <t>B2.07.07- B2.07.09</t>
  </si>
  <si>
    <t>B2.08 - B2.13 - B2.15</t>
  </si>
  <si>
    <t>B2.01 - B2.08.04 - B2.08.05 - B2.08.06 - B2.09 - B2.10 - B2.11</t>
  </si>
  <si>
    <t>44.1</t>
  </si>
  <si>
    <t>C4.08</t>
  </si>
  <si>
    <t>Manutenzione Impianti elettrici ( C)</t>
  </si>
  <si>
    <t>Cabina smistamento media tensione</t>
  </si>
  <si>
    <t>n.ro cabine</t>
  </si>
  <si>
    <t>C5.03</t>
  </si>
  <si>
    <t>C5.01 - C5.02</t>
  </si>
  <si>
    <t>59.1</t>
  </si>
  <si>
    <t>E1.01</t>
  </si>
  <si>
    <t>Porte tagliafuoco</t>
  </si>
  <si>
    <t>n.ro porte tagliafuoco</t>
  </si>
  <si>
    <t>G1.06.04</t>
  </si>
  <si>
    <t>81.1</t>
  </si>
  <si>
    <t>G2.01.02</t>
  </si>
  <si>
    <t>Porte automatiche e portoni sezionali</t>
  </si>
  <si>
    <t>n.ro porte automatiche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</si>
</sst>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 &quot;#,##0.00"/>
    <numFmt numFmtId="165" formatCode="#,##0.0"/>
  </numFmts>
  <fonts count="22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i/>
      <sz val="16"/>
      <color rgb="FF000000"/>
      <name val="Calibri"/>
      <family val="2"/>
      <charset val="1"/>
    </font>
    <font>
      <sz val="11"/>
      <color rgb="FF000000"/>
      <name val="Verdana"/>
      <family val="2"/>
      <charset val="1"/>
    </font>
    <font>
      <sz val="11"/>
      <name val="Verdana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12"/>
      <color rgb="FF0070C0"/>
      <name val="Calibri"/>
      <family val="2"/>
      <charset val="1"/>
    </font>
    <font>
      <sz val="12"/>
      <color rgb="FFFF0000"/>
      <name val="Calibri"/>
      <family val="2"/>
      <charset val="1"/>
    </font>
    <font>
      <sz val="10"/>
      <color rgb="FF0070C0"/>
      <name val="Calibri"/>
      <family val="2"/>
      <charset val="1"/>
    </font>
    <font>
      <sz val="11"/>
      <color rgb="FF0070C0"/>
      <name val="Verdana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name val="Aptos Narrow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DDDDDD"/>
      </patternFill>
    </fill>
    <fill>
      <patternFill patternType="solid">
        <fgColor rgb="FFFCD5B5"/>
        <bgColor rgb="FFFFCCC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 applyBorder="0" applyProtection="0"/>
    <xf numFmtId="0" fontId="5" fillId="0" borderId="0" applyBorder="0" applyProtection="0"/>
  </cellStyleXfs>
  <cellXfs count="67">
    <xf numFmtId="0" fontId="0" fillId="0" borderId="0" xfId="0"/>
    <xf numFmtId="0" fontId="2" fillId="0" borderId="0" xfId="1" applyFont="1" applyBorder="1" applyAlignment="1" applyProtection="1">
      <alignment vertical="center"/>
    </xf>
    <xf numFmtId="0" fontId="2" fillId="0" borderId="0" xfId="1" applyFont="1" applyBorder="1" applyAlignment="1" applyProtection="1">
      <alignment horizontal="center" vertical="center"/>
    </xf>
    <xf numFmtId="0" fontId="3" fillId="0" borderId="0" xfId="1" applyFont="1" applyBorder="1" applyAlignment="1" applyProtection="1">
      <alignment horizontal="center" vertical="center"/>
    </xf>
    <xf numFmtId="0" fontId="3" fillId="0" borderId="0" xfId="1" applyFont="1" applyBorder="1" applyProtection="1"/>
    <xf numFmtId="0" fontId="4" fillId="2" borderId="0" xfId="1" applyFont="1" applyFill="1" applyBorder="1" applyProtection="1"/>
    <xf numFmtId="0" fontId="3" fillId="0" borderId="0" xfId="1" applyFont="1" applyBorder="1" applyAlignment="1" applyProtection="1">
      <alignment horizontal="center"/>
    </xf>
    <xf numFmtId="0" fontId="6" fillId="0" borderId="0" xfId="1" applyFont="1" applyBorder="1" applyAlignment="1" applyProtection="1">
      <alignment horizontal="center" vertical="center"/>
    </xf>
    <xf numFmtId="164" fontId="7" fillId="0" borderId="0" xfId="1" applyNumberFormat="1" applyFont="1" applyBorder="1" applyAlignment="1" applyProtection="1">
      <alignment horizontal="left" vertical="center"/>
      <protection locked="0"/>
    </xf>
    <xf numFmtId="0" fontId="3" fillId="0" borderId="0" xfId="1" applyFont="1" applyBorder="1" applyAlignment="1" applyProtection="1">
      <alignment horizontal="center" vertical="top" wrapText="1"/>
    </xf>
    <xf numFmtId="0" fontId="4" fillId="2" borderId="0" xfId="1" applyFont="1" applyFill="1" applyBorder="1" applyAlignment="1" applyProtection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2" applyFont="1" applyFill="1" applyBorder="1" applyAlignment="1" applyProtection="1">
      <alignment horizontal="center" vertical="center" wrapText="1"/>
    </xf>
    <xf numFmtId="0" fontId="6" fillId="5" borderId="1" xfId="2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3" fontId="10" fillId="7" borderId="3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3" fontId="10" fillId="7" borderId="1" xfId="2" applyNumberFormat="1" applyFont="1" applyFill="1" applyBorder="1" applyAlignment="1" applyProtection="1">
      <alignment horizontal="center" vertical="center" wrapText="1"/>
    </xf>
    <xf numFmtId="0" fontId="12" fillId="0" borderId="0" xfId="1" applyFont="1" applyBorder="1" applyProtection="1"/>
    <xf numFmtId="3" fontId="10" fillId="0" borderId="1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3" fontId="9" fillId="0" borderId="1" xfId="2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3" fontId="10" fillId="7" borderId="2" xfId="0" applyNumberFormat="1" applyFont="1" applyFill="1" applyBorder="1" applyAlignment="1">
      <alignment horizontal="center" vertical="center" wrapText="1"/>
    </xf>
    <xf numFmtId="3" fontId="13" fillId="2" borderId="3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3" fontId="15" fillId="7" borderId="2" xfId="0" applyNumberFormat="1" applyFont="1" applyFill="1" applyBorder="1" applyAlignment="1">
      <alignment horizontal="center" vertical="center" wrapText="1"/>
    </xf>
    <xf numFmtId="0" fontId="3" fillId="0" borderId="0" xfId="1" applyFont="1" applyBorder="1" applyAlignment="1" applyProtection="1">
      <alignment vertical="center"/>
    </xf>
    <xf numFmtId="49" fontId="0" fillId="0" borderId="0" xfId="1" applyNumberFormat="1" applyFont="1" applyBorder="1" applyAlignment="1" applyProtection="1">
      <alignment wrapText="1"/>
    </xf>
    <xf numFmtId="49" fontId="0" fillId="2" borderId="0" xfId="1" applyNumberFormat="1" applyFont="1" applyFill="1" applyBorder="1" applyAlignment="1" applyProtection="1">
      <alignment wrapText="1"/>
    </xf>
    <xf numFmtId="0" fontId="3" fillId="7" borderId="0" xfId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left" vertical="center" wrapText="1"/>
    </xf>
    <xf numFmtId="0" fontId="20" fillId="7" borderId="7" xfId="0" applyFont="1" applyFill="1" applyBorder="1" applyAlignment="1">
      <alignment horizontal="left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4" fontId="10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1" fillId="7" borderId="6" xfId="0" applyFont="1" applyFill="1" applyBorder="1" applyAlignment="1">
      <alignment horizontal="left" vertical="center" wrapText="1"/>
    </xf>
  </cellXfs>
  <cellStyles count="3">
    <cellStyle name="Normal 2 2 2" xfId="1" xr:uid="{2D3BF9C0-5DC9-47E0-94B4-7E19D015C76A}"/>
    <cellStyle name="Normale" xfId="0" builtinId="0"/>
    <cellStyle name="Normale 3 3 2 2 3" xfId="2" xr:uid="{88EDB4E5-51B0-4BEC-9E53-EF05952EC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8995-8377-480C-9CBD-FF7959B0048A}">
  <dimension ref="A2:AMI34"/>
  <sheetViews>
    <sheetView showGridLines="0" zoomScale="69" zoomScaleNormal="69" workbookViewId="0">
      <pane xSplit="10170" topLeftCell="I1" activePane="topRight"/>
      <selection pane="topRight" activeCell="L33" sqref="L33"/>
      <selection activeCell="E7" sqref="E7"/>
    </sheetView>
  </sheetViews>
  <sheetFormatPr defaultColWidth="9.42578125" defaultRowHeight="15"/>
  <cols>
    <col min="1" max="1" width="3.42578125" style="4" customWidth="1"/>
    <col min="2" max="2" width="16.7109375" style="4" customWidth="1"/>
    <col min="3" max="3" width="15.5703125" style="6" customWidth="1"/>
    <col min="4" max="4" width="41.28515625" style="49" customWidth="1"/>
    <col min="5" max="5" width="59.28515625" style="49" bestFit="1" customWidth="1"/>
    <col min="6" max="6" width="45.5703125" style="3" customWidth="1"/>
    <col min="7" max="7" width="31.28515625" style="4" customWidth="1"/>
    <col min="8" max="12" width="17.140625" style="4" customWidth="1"/>
    <col min="13" max="13" width="17.28515625" style="5" customWidth="1"/>
    <col min="14" max="14" width="13.7109375" style="4" customWidth="1"/>
    <col min="15" max="15" width="15" style="4" customWidth="1"/>
    <col min="16" max="16" width="16.5703125" style="4" customWidth="1"/>
    <col min="17" max="17" width="15.28515625" style="4" customWidth="1"/>
    <col min="18" max="18" width="15.42578125" style="4" customWidth="1"/>
    <col min="19" max="19" width="15.7109375" style="4" customWidth="1"/>
    <col min="20" max="21" width="14.5703125" style="4" customWidth="1"/>
    <col min="22" max="22" width="14.7109375" style="4" customWidth="1"/>
    <col min="23" max="23" width="13.7109375" style="4" customWidth="1"/>
    <col min="24" max="25" width="13.28515625" style="4" customWidth="1"/>
    <col min="26" max="26" width="13.42578125" style="4" customWidth="1"/>
    <col min="27" max="31" width="11.85546875" style="4" customWidth="1"/>
    <col min="32" max="32" width="13" style="4" customWidth="1"/>
    <col min="33" max="36" width="11.85546875" style="4" customWidth="1"/>
    <col min="37" max="37" width="13.140625" style="4" customWidth="1"/>
    <col min="38" max="41" width="11.85546875" style="4" customWidth="1"/>
    <col min="42" max="1022" width="9.42578125" style="4"/>
  </cols>
  <sheetData>
    <row r="2" spans="2:1023" ht="21">
      <c r="B2" s="1" t="s">
        <v>0</v>
      </c>
      <c r="C2" s="2"/>
      <c r="D2" s="3"/>
      <c r="E2" s="3"/>
      <c r="F2" s="4"/>
    </row>
    <row r="3" spans="2:1023" ht="57">
      <c r="D3" s="7"/>
      <c r="E3" s="7"/>
      <c r="F3" s="8"/>
      <c r="H3" s="9" t="s">
        <v>1</v>
      </c>
      <c r="I3" s="9" t="s">
        <v>2</v>
      </c>
      <c r="J3" s="9" t="s">
        <v>3</v>
      </c>
      <c r="K3" s="9" t="s">
        <v>4</v>
      </c>
      <c r="L3" s="9" t="s">
        <v>5</v>
      </c>
      <c r="M3" s="10" t="s">
        <v>6</v>
      </c>
      <c r="N3" s="9" t="s">
        <v>7</v>
      </c>
      <c r="O3" s="9" t="s">
        <v>8</v>
      </c>
      <c r="P3" s="9" t="s">
        <v>9</v>
      </c>
      <c r="Q3" s="9" t="s">
        <v>10</v>
      </c>
      <c r="R3" s="9" t="s">
        <v>11</v>
      </c>
      <c r="S3" s="9" t="s">
        <v>12</v>
      </c>
      <c r="T3" s="9" t="s">
        <v>13</v>
      </c>
      <c r="U3" s="9" t="s">
        <v>14</v>
      </c>
      <c r="V3" s="9" t="s">
        <v>15</v>
      </c>
      <c r="W3" s="9" t="s">
        <v>16</v>
      </c>
      <c r="X3" s="9" t="s">
        <v>17</v>
      </c>
      <c r="Y3" s="9" t="s">
        <v>18</v>
      </c>
      <c r="Z3" s="9" t="s">
        <v>19</v>
      </c>
      <c r="AA3" s="9" t="s">
        <v>20</v>
      </c>
      <c r="AB3" s="9" t="s">
        <v>21</v>
      </c>
      <c r="AC3" s="9" t="s">
        <v>22</v>
      </c>
      <c r="AD3" s="9" t="s">
        <v>23</v>
      </c>
      <c r="AE3" s="9" t="s">
        <v>24</v>
      </c>
      <c r="AF3" s="9" t="s">
        <v>25</v>
      </c>
      <c r="AG3" s="9" t="s">
        <v>26</v>
      </c>
      <c r="AH3" s="9" t="s">
        <v>27</v>
      </c>
      <c r="AI3" s="9" t="s">
        <v>28</v>
      </c>
      <c r="AJ3" s="9" t="s">
        <v>29</v>
      </c>
      <c r="AK3" s="9" t="s">
        <v>30</v>
      </c>
      <c r="AL3" s="9" t="s">
        <v>31</v>
      </c>
      <c r="AM3" s="9" t="s">
        <v>32</v>
      </c>
      <c r="AN3" s="9" t="s">
        <v>33</v>
      </c>
      <c r="AO3" s="6"/>
    </row>
    <row r="4" spans="2:1023" ht="30"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2" t="s">
        <v>46</v>
      </c>
      <c r="O4" s="12" t="s">
        <v>47</v>
      </c>
      <c r="P4" s="12" t="s">
        <v>48</v>
      </c>
      <c r="Q4" s="12" t="s">
        <v>49</v>
      </c>
      <c r="R4" s="12" t="s">
        <v>50</v>
      </c>
      <c r="S4" s="12" t="s">
        <v>51</v>
      </c>
      <c r="T4" s="12" t="s">
        <v>52</v>
      </c>
      <c r="U4" s="12" t="s">
        <v>53</v>
      </c>
      <c r="V4" s="12" t="s">
        <v>54</v>
      </c>
      <c r="W4" s="12" t="s">
        <v>55</v>
      </c>
      <c r="X4" s="12" t="s">
        <v>56</v>
      </c>
      <c r="Y4" s="12" t="s">
        <v>57</v>
      </c>
      <c r="Z4" s="12" t="s">
        <v>58</v>
      </c>
      <c r="AA4" s="12" t="s">
        <v>59</v>
      </c>
      <c r="AB4" s="12" t="s">
        <v>60</v>
      </c>
      <c r="AC4" s="12" t="s">
        <v>61</v>
      </c>
      <c r="AD4" s="12" t="s">
        <v>62</v>
      </c>
      <c r="AE4" s="12" t="s">
        <v>63</v>
      </c>
      <c r="AF4" s="12" t="s">
        <v>64</v>
      </c>
      <c r="AG4" s="12" t="s">
        <v>65</v>
      </c>
      <c r="AH4" s="12" t="s">
        <v>66</v>
      </c>
      <c r="AI4" s="12" t="s">
        <v>67</v>
      </c>
      <c r="AJ4" s="12" t="s">
        <v>68</v>
      </c>
      <c r="AK4" s="12" t="s">
        <v>69</v>
      </c>
      <c r="AL4" s="12" t="s">
        <v>70</v>
      </c>
      <c r="AM4" s="12" t="s">
        <v>71</v>
      </c>
      <c r="AN4" s="12" t="s">
        <v>72</v>
      </c>
      <c r="AO4" s="13" t="s">
        <v>73</v>
      </c>
    </row>
    <row r="5" spans="2:1023" s="25" customFormat="1" ht="38.25">
      <c r="B5" s="14" t="s">
        <v>74</v>
      </c>
      <c r="C5" s="15" t="s">
        <v>75</v>
      </c>
      <c r="D5" s="14" t="s">
        <v>76</v>
      </c>
      <c r="E5" s="14" t="s">
        <v>77</v>
      </c>
      <c r="F5" s="14" t="s">
        <v>78</v>
      </c>
      <c r="G5" s="15" t="s">
        <v>79</v>
      </c>
      <c r="H5" s="16">
        <v>2</v>
      </c>
      <c r="I5" s="17">
        <v>4</v>
      </c>
      <c r="J5" s="18">
        <v>0</v>
      </c>
      <c r="K5" s="18">
        <v>4</v>
      </c>
      <c r="L5" s="19">
        <v>1</v>
      </c>
      <c r="M5" s="16" t="s">
        <v>80</v>
      </c>
      <c r="N5" s="20">
        <v>1</v>
      </c>
      <c r="O5" s="18">
        <v>3</v>
      </c>
      <c r="P5" s="21" t="s">
        <v>80</v>
      </c>
      <c r="Q5" s="22" t="s">
        <v>80</v>
      </c>
      <c r="R5" s="22" t="s">
        <v>80</v>
      </c>
      <c r="S5" s="22" t="s">
        <v>80</v>
      </c>
      <c r="T5" s="22" t="s">
        <v>80</v>
      </c>
      <c r="U5" s="22" t="s">
        <v>80</v>
      </c>
      <c r="V5" s="21" t="s">
        <v>80</v>
      </c>
      <c r="W5" s="21">
        <v>1</v>
      </c>
      <c r="X5" s="22" t="s">
        <v>80</v>
      </c>
      <c r="Y5" s="18">
        <v>0</v>
      </c>
      <c r="Z5" s="21" t="s">
        <v>80</v>
      </c>
      <c r="AA5" s="21" t="s">
        <v>80</v>
      </c>
      <c r="AB5" s="21" t="s">
        <v>81</v>
      </c>
      <c r="AC5" s="23" t="s">
        <v>82</v>
      </c>
      <c r="AD5" s="22" t="s">
        <v>80</v>
      </c>
      <c r="AE5" s="22" t="s">
        <v>80</v>
      </c>
      <c r="AF5" s="22" t="s">
        <v>80</v>
      </c>
      <c r="AG5" s="22" t="s">
        <v>80</v>
      </c>
      <c r="AH5" s="22" t="s">
        <v>80</v>
      </c>
      <c r="AI5" s="22" t="s">
        <v>80</v>
      </c>
      <c r="AJ5" s="22" t="s">
        <v>80</v>
      </c>
      <c r="AK5" s="22" t="s">
        <v>80</v>
      </c>
      <c r="AL5" s="22" t="s">
        <v>80</v>
      </c>
      <c r="AM5" s="22" t="s">
        <v>80</v>
      </c>
      <c r="AN5" s="22" t="s">
        <v>80</v>
      </c>
      <c r="AO5" s="24">
        <f t="shared" ref="AO5:AO32" si="0">SUM(H5:AN5)</f>
        <v>16</v>
      </c>
      <c r="AMI5"/>
    </row>
    <row r="6" spans="2:1023" s="25" customFormat="1" ht="30">
      <c r="B6" s="14" t="s">
        <v>74</v>
      </c>
      <c r="C6" s="15" t="s">
        <v>83</v>
      </c>
      <c r="D6" s="14" t="s">
        <v>76</v>
      </c>
      <c r="E6" s="14" t="s">
        <v>77</v>
      </c>
      <c r="F6" s="14" t="s">
        <v>84</v>
      </c>
      <c r="G6" s="15" t="s">
        <v>79</v>
      </c>
      <c r="H6" s="16" t="s">
        <v>80</v>
      </c>
      <c r="I6" s="26">
        <v>0</v>
      </c>
      <c r="J6" s="21">
        <v>2</v>
      </c>
      <c r="K6" s="18">
        <v>0</v>
      </c>
      <c r="L6" s="19" t="s">
        <v>80</v>
      </c>
      <c r="M6" s="16" t="s">
        <v>80</v>
      </c>
      <c r="N6" s="27" t="s">
        <v>80</v>
      </c>
      <c r="O6" s="21" t="s">
        <v>80</v>
      </c>
      <c r="P6" s="21" t="s">
        <v>80</v>
      </c>
      <c r="Q6" s="22" t="s">
        <v>80</v>
      </c>
      <c r="R6" s="22" t="s">
        <v>80</v>
      </c>
      <c r="S6" s="22" t="s">
        <v>80</v>
      </c>
      <c r="T6" s="22" t="s">
        <v>80</v>
      </c>
      <c r="U6" s="22" t="s">
        <v>80</v>
      </c>
      <c r="V6" s="21" t="s">
        <v>80</v>
      </c>
      <c r="W6" s="21" t="s">
        <v>80</v>
      </c>
      <c r="X6" s="22" t="s">
        <v>80</v>
      </c>
      <c r="Y6" s="21" t="s">
        <v>80</v>
      </c>
      <c r="Z6" s="21" t="s">
        <v>80</v>
      </c>
      <c r="AA6" s="21" t="s">
        <v>80</v>
      </c>
      <c r="AB6" s="21" t="s">
        <v>80</v>
      </c>
      <c r="AC6" s="22" t="s">
        <v>80</v>
      </c>
      <c r="AD6" s="22" t="s">
        <v>80</v>
      </c>
      <c r="AE6" s="22" t="s">
        <v>80</v>
      </c>
      <c r="AF6" s="22" t="s">
        <v>80</v>
      </c>
      <c r="AG6" s="22" t="s">
        <v>80</v>
      </c>
      <c r="AH6" s="22" t="s">
        <v>80</v>
      </c>
      <c r="AI6" s="22" t="s">
        <v>80</v>
      </c>
      <c r="AJ6" s="22" t="s">
        <v>80</v>
      </c>
      <c r="AK6" s="22" t="s">
        <v>80</v>
      </c>
      <c r="AL6" s="22" t="s">
        <v>80</v>
      </c>
      <c r="AM6" s="22" t="s">
        <v>80</v>
      </c>
      <c r="AN6" s="22" t="s">
        <v>80</v>
      </c>
      <c r="AO6" s="24">
        <f t="shared" si="0"/>
        <v>2</v>
      </c>
      <c r="AMI6"/>
    </row>
    <row r="7" spans="2:1023" s="25" customFormat="1" ht="30">
      <c r="B7" s="14" t="s">
        <v>74</v>
      </c>
      <c r="C7" s="15" t="s">
        <v>85</v>
      </c>
      <c r="D7" s="14" t="s">
        <v>86</v>
      </c>
      <c r="E7" s="14" t="s">
        <v>77</v>
      </c>
      <c r="F7" s="14" t="s">
        <v>87</v>
      </c>
      <c r="G7" s="15" t="s">
        <v>88</v>
      </c>
      <c r="H7" s="16">
        <v>1</v>
      </c>
      <c r="I7" s="16">
        <v>2</v>
      </c>
      <c r="J7" s="16">
        <v>1</v>
      </c>
      <c r="K7" s="16">
        <v>1</v>
      </c>
      <c r="L7" s="28" t="s">
        <v>80</v>
      </c>
      <c r="M7" s="16">
        <v>1</v>
      </c>
      <c r="N7" s="29">
        <v>1</v>
      </c>
      <c r="O7" s="16">
        <v>1</v>
      </c>
      <c r="P7" s="16" t="s">
        <v>80</v>
      </c>
      <c r="Q7" s="16" t="s">
        <v>80</v>
      </c>
      <c r="R7" s="21" t="s">
        <v>80</v>
      </c>
      <c r="S7" s="21" t="s">
        <v>80</v>
      </c>
      <c r="T7" s="21" t="s">
        <v>80</v>
      </c>
      <c r="U7" s="22" t="s">
        <v>80</v>
      </c>
      <c r="V7" s="21">
        <v>1</v>
      </c>
      <c r="W7" s="18">
        <v>0</v>
      </c>
      <c r="X7" s="22" t="s">
        <v>80</v>
      </c>
      <c r="Y7" s="21" t="s">
        <v>81</v>
      </c>
      <c r="Z7" s="21" t="s">
        <v>80</v>
      </c>
      <c r="AA7" s="21" t="s">
        <v>80</v>
      </c>
      <c r="AB7" s="21" t="s">
        <v>81</v>
      </c>
      <c r="AC7" s="21">
        <v>1</v>
      </c>
      <c r="AD7" s="22" t="s">
        <v>80</v>
      </c>
      <c r="AE7" s="22" t="s">
        <v>80</v>
      </c>
      <c r="AF7" s="22" t="s">
        <v>80</v>
      </c>
      <c r="AG7" s="22" t="s">
        <v>80</v>
      </c>
      <c r="AH7" s="22" t="s">
        <v>80</v>
      </c>
      <c r="AI7" s="22" t="s">
        <v>80</v>
      </c>
      <c r="AJ7" s="22" t="s">
        <v>80</v>
      </c>
      <c r="AK7" s="22" t="s">
        <v>80</v>
      </c>
      <c r="AL7" s="22" t="s">
        <v>80</v>
      </c>
      <c r="AM7" s="22" t="s">
        <v>80</v>
      </c>
      <c r="AN7" s="22" t="s">
        <v>80</v>
      </c>
      <c r="AO7" s="24">
        <f t="shared" si="0"/>
        <v>10</v>
      </c>
      <c r="AMI7"/>
    </row>
    <row r="8" spans="2:1023" s="25" customFormat="1" ht="30">
      <c r="B8" s="14" t="s">
        <v>74</v>
      </c>
      <c r="C8" s="15" t="s">
        <v>89</v>
      </c>
      <c r="D8" s="14" t="s">
        <v>90</v>
      </c>
      <c r="E8" s="14" t="s">
        <v>77</v>
      </c>
      <c r="F8" s="14" t="s">
        <v>91</v>
      </c>
      <c r="G8" s="15" t="s">
        <v>92</v>
      </c>
      <c r="H8" s="21">
        <v>4075</v>
      </c>
      <c r="I8" s="16">
        <v>2967</v>
      </c>
      <c r="J8" s="16">
        <v>5958</v>
      </c>
      <c r="K8" s="16">
        <v>4088</v>
      </c>
      <c r="L8" s="28">
        <v>523</v>
      </c>
      <c r="M8" s="16">
        <v>4650</v>
      </c>
      <c r="N8" s="29">
        <v>295</v>
      </c>
      <c r="O8" s="16">
        <v>446</v>
      </c>
      <c r="P8" s="16">
        <v>106</v>
      </c>
      <c r="Q8" s="16">
        <v>82</v>
      </c>
      <c r="R8" s="21" t="s">
        <v>80</v>
      </c>
      <c r="S8" s="21">
        <v>1831</v>
      </c>
      <c r="T8" s="21" t="s">
        <v>80</v>
      </c>
      <c r="U8" s="21">
        <v>1095</v>
      </c>
      <c r="V8" s="21">
        <v>564</v>
      </c>
      <c r="W8" s="21">
        <v>311</v>
      </c>
      <c r="X8" s="22" t="s">
        <v>80</v>
      </c>
      <c r="Y8" s="21">
        <v>109</v>
      </c>
      <c r="Z8" s="21">
        <v>641</v>
      </c>
      <c r="AA8" s="21">
        <v>5508</v>
      </c>
      <c r="AB8" s="21">
        <v>184</v>
      </c>
      <c r="AC8" s="21">
        <v>405</v>
      </c>
      <c r="AD8" s="21">
        <v>303</v>
      </c>
      <c r="AE8" s="22" t="s">
        <v>80</v>
      </c>
      <c r="AF8" s="22" t="s">
        <v>80</v>
      </c>
      <c r="AG8" s="22" t="s">
        <v>80</v>
      </c>
      <c r="AH8" s="22" t="s">
        <v>80</v>
      </c>
      <c r="AI8" s="22" t="s">
        <v>80</v>
      </c>
      <c r="AJ8" s="22" t="s">
        <v>80</v>
      </c>
      <c r="AK8" s="22" t="s">
        <v>80</v>
      </c>
      <c r="AL8" s="22" t="s">
        <v>80</v>
      </c>
      <c r="AM8" s="22" t="s">
        <v>80</v>
      </c>
      <c r="AN8" s="22" t="s">
        <v>80</v>
      </c>
      <c r="AO8" s="30">
        <f t="shared" si="0"/>
        <v>34141</v>
      </c>
      <c r="AMI8"/>
    </row>
    <row r="9" spans="2:1023" s="25" customFormat="1" ht="30">
      <c r="B9" s="14" t="s">
        <v>74</v>
      </c>
      <c r="C9" s="15" t="s">
        <v>93</v>
      </c>
      <c r="D9" s="14" t="s">
        <v>94</v>
      </c>
      <c r="E9" s="14" t="s">
        <v>77</v>
      </c>
      <c r="F9" s="14" t="s">
        <v>95</v>
      </c>
      <c r="G9" s="15" t="s">
        <v>96</v>
      </c>
      <c r="H9" s="16" t="s">
        <v>80</v>
      </c>
      <c r="I9" s="16" t="s">
        <v>80</v>
      </c>
      <c r="J9" s="16" t="s">
        <v>80</v>
      </c>
      <c r="K9" s="21">
        <v>10</v>
      </c>
      <c r="L9" s="19" t="s">
        <v>80</v>
      </c>
      <c r="M9" s="16" t="s">
        <v>80</v>
      </c>
      <c r="N9" s="29" t="s">
        <v>80</v>
      </c>
      <c r="O9" s="16" t="s">
        <v>80</v>
      </c>
      <c r="P9" s="16" t="s">
        <v>80</v>
      </c>
      <c r="Q9" s="16" t="s">
        <v>80</v>
      </c>
      <c r="R9" s="21" t="s">
        <v>80</v>
      </c>
      <c r="S9" s="21" t="s">
        <v>80</v>
      </c>
      <c r="T9" s="21" t="s">
        <v>80</v>
      </c>
      <c r="U9" s="22" t="s">
        <v>81</v>
      </c>
      <c r="V9" s="21" t="s">
        <v>81</v>
      </c>
      <c r="W9" s="21" t="s">
        <v>81</v>
      </c>
      <c r="X9" s="22" t="s">
        <v>81</v>
      </c>
      <c r="Y9" s="21" t="s">
        <v>81</v>
      </c>
      <c r="Z9" s="21" t="s">
        <v>81</v>
      </c>
      <c r="AA9" s="21" t="s">
        <v>81</v>
      </c>
      <c r="AB9" s="21" t="s">
        <v>81</v>
      </c>
      <c r="AC9" s="22" t="s">
        <v>81</v>
      </c>
      <c r="AD9" s="22" t="s">
        <v>81</v>
      </c>
      <c r="AE9" s="22" t="s">
        <v>80</v>
      </c>
      <c r="AF9" s="22" t="s">
        <v>80</v>
      </c>
      <c r="AG9" s="22" t="s">
        <v>80</v>
      </c>
      <c r="AH9" s="22" t="s">
        <v>80</v>
      </c>
      <c r="AI9" s="22" t="s">
        <v>80</v>
      </c>
      <c r="AJ9" s="22" t="s">
        <v>80</v>
      </c>
      <c r="AK9" s="22" t="s">
        <v>81</v>
      </c>
      <c r="AL9" s="22" t="s">
        <v>81</v>
      </c>
      <c r="AM9" s="22" t="s">
        <v>81</v>
      </c>
      <c r="AN9" s="22" t="s">
        <v>81</v>
      </c>
      <c r="AO9" s="30">
        <f t="shared" si="0"/>
        <v>10</v>
      </c>
      <c r="AMI9"/>
    </row>
    <row r="10" spans="2:1023" s="25" customFormat="1" ht="30">
      <c r="B10" s="31" t="s">
        <v>74</v>
      </c>
      <c r="C10" s="32" t="s">
        <v>97</v>
      </c>
      <c r="D10" s="31" t="s">
        <v>98</v>
      </c>
      <c r="E10" s="31" t="s">
        <v>77</v>
      </c>
      <c r="F10" s="31" t="s">
        <v>99</v>
      </c>
      <c r="G10" s="32" t="s">
        <v>100</v>
      </c>
      <c r="H10" s="21">
        <v>4</v>
      </c>
      <c r="I10" s="21" t="s">
        <v>80</v>
      </c>
      <c r="J10" s="21">
        <v>11</v>
      </c>
      <c r="K10" s="21">
        <v>5</v>
      </c>
      <c r="L10" s="19">
        <v>6</v>
      </c>
      <c r="M10" s="16"/>
      <c r="N10" s="27" t="s">
        <v>80</v>
      </c>
      <c r="O10" s="33" t="s">
        <v>80</v>
      </c>
      <c r="P10" s="21">
        <v>4</v>
      </c>
      <c r="Q10" s="21">
        <v>2</v>
      </c>
      <c r="R10" s="21" t="s">
        <v>80</v>
      </c>
      <c r="S10" s="21">
        <v>26</v>
      </c>
      <c r="T10" s="21" t="s">
        <v>80</v>
      </c>
      <c r="U10" s="22" t="s">
        <v>80</v>
      </c>
      <c r="V10" s="21" t="s">
        <v>81</v>
      </c>
      <c r="W10" s="21" t="s">
        <v>81</v>
      </c>
      <c r="X10" s="22" t="s">
        <v>80</v>
      </c>
      <c r="Y10" s="21" t="s">
        <v>81</v>
      </c>
      <c r="Z10" s="21" t="s">
        <v>80</v>
      </c>
      <c r="AA10" s="21" t="s">
        <v>81</v>
      </c>
      <c r="AB10" s="21" t="s">
        <v>81</v>
      </c>
      <c r="AC10" s="22" t="s">
        <v>80</v>
      </c>
      <c r="AD10" s="22" t="s">
        <v>80</v>
      </c>
      <c r="AE10" s="22" t="s">
        <v>80</v>
      </c>
      <c r="AF10" s="22" t="s">
        <v>80</v>
      </c>
      <c r="AG10" s="22" t="s">
        <v>80</v>
      </c>
      <c r="AH10" s="22" t="s">
        <v>80</v>
      </c>
      <c r="AI10" s="22" t="s">
        <v>80</v>
      </c>
      <c r="AJ10" s="22" t="s">
        <v>80</v>
      </c>
      <c r="AK10" s="22" t="s">
        <v>80</v>
      </c>
      <c r="AL10" s="22" t="s">
        <v>80</v>
      </c>
      <c r="AM10" s="22" t="s">
        <v>80</v>
      </c>
      <c r="AN10" s="22" t="s">
        <v>80</v>
      </c>
      <c r="AO10" s="30">
        <f t="shared" si="0"/>
        <v>58</v>
      </c>
      <c r="AMI10"/>
    </row>
    <row r="11" spans="2:1023" s="25" customFormat="1" ht="30">
      <c r="B11" s="14" t="s">
        <v>74</v>
      </c>
      <c r="C11" s="15" t="s">
        <v>101</v>
      </c>
      <c r="D11" s="14" t="s">
        <v>102</v>
      </c>
      <c r="E11" s="14" t="s">
        <v>77</v>
      </c>
      <c r="F11" s="14" t="s">
        <v>103</v>
      </c>
      <c r="G11" s="15" t="s">
        <v>104</v>
      </c>
      <c r="H11" s="16">
        <v>1</v>
      </c>
      <c r="I11" s="16">
        <v>2</v>
      </c>
      <c r="J11" s="16">
        <v>1</v>
      </c>
      <c r="K11" s="16">
        <v>3</v>
      </c>
      <c r="L11" s="28" t="s">
        <v>80</v>
      </c>
      <c r="M11" s="16">
        <v>2</v>
      </c>
      <c r="N11" s="29">
        <v>1</v>
      </c>
      <c r="O11" s="16">
        <v>1</v>
      </c>
      <c r="P11" s="16" t="s">
        <v>80</v>
      </c>
      <c r="Q11" s="16" t="s">
        <v>80</v>
      </c>
      <c r="R11" s="21" t="s">
        <v>80</v>
      </c>
      <c r="S11" s="21" t="s">
        <v>80</v>
      </c>
      <c r="T11" s="21" t="s">
        <v>80</v>
      </c>
      <c r="U11" s="22" t="s">
        <v>80</v>
      </c>
      <c r="V11" s="21" t="s">
        <v>81</v>
      </c>
      <c r="W11" s="21" t="s">
        <v>81</v>
      </c>
      <c r="X11" s="22" t="s">
        <v>80</v>
      </c>
      <c r="Y11" s="21" t="s">
        <v>81</v>
      </c>
      <c r="Z11" s="21" t="s">
        <v>80</v>
      </c>
      <c r="AA11" s="21" t="s">
        <v>80</v>
      </c>
      <c r="AB11" s="21" t="s">
        <v>81</v>
      </c>
      <c r="AC11" s="21">
        <v>1</v>
      </c>
      <c r="AD11" s="22" t="s">
        <v>80</v>
      </c>
      <c r="AE11" s="22" t="s">
        <v>80</v>
      </c>
      <c r="AF11" s="22" t="s">
        <v>80</v>
      </c>
      <c r="AG11" s="22" t="s">
        <v>80</v>
      </c>
      <c r="AH11" s="22" t="s">
        <v>80</v>
      </c>
      <c r="AI11" s="22" t="s">
        <v>80</v>
      </c>
      <c r="AJ11" s="22" t="s">
        <v>80</v>
      </c>
      <c r="AK11" s="22" t="s">
        <v>80</v>
      </c>
      <c r="AL11" s="22" t="s">
        <v>80</v>
      </c>
      <c r="AM11" s="22" t="s">
        <v>80</v>
      </c>
      <c r="AN11" s="22" t="s">
        <v>80</v>
      </c>
      <c r="AO11" s="30">
        <f t="shared" si="0"/>
        <v>12</v>
      </c>
      <c r="AMI11"/>
    </row>
    <row r="12" spans="2:1023" s="25" customFormat="1" ht="30">
      <c r="B12" s="14" t="s">
        <v>74</v>
      </c>
      <c r="C12" s="15" t="s">
        <v>105</v>
      </c>
      <c r="D12" s="14" t="s">
        <v>106</v>
      </c>
      <c r="E12" s="14" t="s">
        <v>77</v>
      </c>
      <c r="F12" s="14" t="s">
        <v>107</v>
      </c>
      <c r="G12" s="15" t="s">
        <v>108</v>
      </c>
      <c r="H12" s="21">
        <v>3715</v>
      </c>
      <c r="I12" s="21">
        <v>2412</v>
      </c>
      <c r="J12" s="16">
        <v>2410</v>
      </c>
      <c r="K12" s="16">
        <v>3312</v>
      </c>
      <c r="L12" s="28" t="s">
        <v>80</v>
      </c>
      <c r="M12" s="16">
        <v>4650</v>
      </c>
      <c r="N12" s="29">
        <v>295</v>
      </c>
      <c r="O12" s="16">
        <v>446</v>
      </c>
      <c r="P12" s="16" t="s">
        <v>80</v>
      </c>
      <c r="Q12" s="16" t="s">
        <v>80</v>
      </c>
      <c r="R12" s="21" t="s">
        <v>80</v>
      </c>
      <c r="S12" s="21" t="s">
        <v>80</v>
      </c>
      <c r="T12" s="21" t="s">
        <v>80</v>
      </c>
      <c r="U12" s="22" t="s">
        <v>80</v>
      </c>
      <c r="V12" s="21">
        <v>564</v>
      </c>
      <c r="W12" s="21">
        <v>311</v>
      </c>
      <c r="X12" s="22" t="s">
        <v>80</v>
      </c>
      <c r="Y12" s="21">
        <v>109</v>
      </c>
      <c r="Z12" s="21">
        <v>641</v>
      </c>
      <c r="AA12" s="21" t="s">
        <v>80</v>
      </c>
      <c r="AB12" s="21">
        <v>184</v>
      </c>
      <c r="AC12" s="21">
        <v>405</v>
      </c>
      <c r="AD12" s="21">
        <v>303</v>
      </c>
      <c r="AE12" s="22" t="s">
        <v>80</v>
      </c>
      <c r="AF12" s="22" t="s">
        <v>80</v>
      </c>
      <c r="AG12" s="22" t="s">
        <v>80</v>
      </c>
      <c r="AH12" s="22" t="s">
        <v>80</v>
      </c>
      <c r="AI12" s="22" t="s">
        <v>80</v>
      </c>
      <c r="AJ12" s="22" t="s">
        <v>80</v>
      </c>
      <c r="AK12" s="22" t="s">
        <v>80</v>
      </c>
      <c r="AL12" s="22" t="s">
        <v>80</v>
      </c>
      <c r="AM12" s="22" t="s">
        <v>80</v>
      </c>
      <c r="AN12" s="22" t="s">
        <v>80</v>
      </c>
      <c r="AO12" s="30">
        <f t="shared" si="0"/>
        <v>19757</v>
      </c>
      <c r="AMI12"/>
    </row>
    <row r="13" spans="2:1023" ht="15.75">
      <c r="B13" s="34" t="s">
        <v>74</v>
      </c>
      <c r="C13" s="35" t="s">
        <v>109</v>
      </c>
      <c r="D13" s="34" t="s">
        <v>110</v>
      </c>
      <c r="E13" s="34" t="s">
        <v>111</v>
      </c>
      <c r="F13" s="34" t="s">
        <v>112</v>
      </c>
      <c r="G13" s="35" t="s">
        <v>92</v>
      </c>
      <c r="H13" s="36">
        <v>4075</v>
      </c>
      <c r="I13" s="36">
        <v>2967</v>
      </c>
      <c r="J13" s="36">
        <v>5958</v>
      </c>
      <c r="K13" s="36">
        <v>4088</v>
      </c>
      <c r="L13" s="37">
        <v>523</v>
      </c>
      <c r="M13" s="38">
        <v>4650</v>
      </c>
      <c r="N13" s="39">
        <v>295</v>
      </c>
      <c r="O13" s="36">
        <v>446</v>
      </c>
      <c r="P13" s="36">
        <v>106</v>
      </c>
      <c r="Q13" s="36">
        <v>82</v>
      </c>
      <c r="R13" s="36">
        <v>575</v>
      </c>
      <c r="S13" s="36">
        <v>1831</v>
      </c>
      <c r="T13" s="36">
        <v>4854.6400000000003</v>
      </c>
      <c r="U13" s="22" t="s">
        <v>80</v>
      </c>
      <c r="V13" s="36">
        <v>564</v>
      </c>
      <c r="W13" s="36">
        <v>311</v>
      </c>
      <c r="X13" s="36">
        <v>1154</v>
      </c>
      <c r="Y13" s="36">
        <v>109</v>
      </c>
      <c r="Z13" s="36">
        <v>641</v>
      </c>
      <c r="AA13" s="36">
        <v>5508</v>
      </c>
      <c r="AB13" s="36">
        <v>184</v>
      </c>
      <c r="AC13" s="36">
        <v>405</v>
      </c>
      <c r="AD13" s="36">
        <v>303</v>
      </c>
      <c r="AE13" s="36">
        <v>638</v>
      </c>
      <c r="AF13" s="36">
        <v>861</v>
      </c>
      <c r="AG13" s="36">
        <v>275</v>
      </c>
      <c r="AH13" s="36">
        <v>677</v>
      </c>
      <c r="AI13" s="36">
        <v>276</v>
      </c>
      <c r="AJ13" s="36">
        <v>437</v>
      </c>
      <c r="AK13" s="36">
        <v>601</v>
      </c>
      <c r="AL13" s="36">
        <v>370</v>
      </c>
      <c r="AM13" s="36">
        <v>395</v>
      </c>
      <c r="AN13" s="36">
        <v>1398</v>
      </c>
      <c r="AO13" s="30">
        <f t="shared" si="0"/>
        <v>45557.64</v>
      </c>
    </row>
    <row r="14" spans="2:1023" ht="15.75">
      <c r="B14" s="34" t="s">
        <v>74</v>
      </c>
      <c r="C14" s="35" t="s">
        <v>113</v>
      </c>
      <c r="D14" s="34" t="s">
        <v>114</v>
      </c>
      <c r="E14" s="34" t="s">
        <v>111</v>
      </c>
      <c r="F14" s="34" t="s">
        <v>115</v>
      </c>
      <c r="G14" s="35" t="s">
        <v>116</v>
      </c>
      <c r="H14" s="36" t="s">
        <v>80</v>
      </c>
      <c r="I14" s="36" t="s">
        <v>80</v>
      </c>
      <c r="J14" s="36" t="s">
        <v>80</v>
      </c>
      <c r="K14" s="36">
        <v>1</v>
      </c>
      <c r="L14" s="37" t="s">
        <v>80</v>
      </c>
      <c r="M14" s="38" t="s">
        <v>80</v>
      </c>
      <c r="N14" s="39" t="s">
        <v>80</v>
      </c>
      <c r="O14" s="36" t="s">
        <v>80</v>
      </c>
      <c r="P14" s="36" t="s">
        <v>80</v>
      </c>
      <c r="Q14" s="36" t="s">
        <v>80</v>
      </c>
      <c r="R14" s="36" t="s">
        <v>80</v>
      </c>
      <c r="S14" s="36" t="s">
        <v>81</v>
      </c>
      <c r="T14" s="36" t="s">
        <v>80</v>
      </c>
      <c r="U14" s="22" t="s">
        <v>80</v>
      </c>
      <c r="V14" s="36" t="s">
        <v>80</v>
      </c>
      <c r="W14" s="36" t="s">
        <v>80</v>
      </c>
      <c r="X14" s="36" t="s">
        <v>80</v>
      </c>
      <c r="Y14" s="36" t="s">
        <v>80</v>
      </c>
      <c r="Z14" s="36" t="s">
        <v>80</v>
      </c>
      <c r="AA14" s="36" t="s">
        <v>80</v>
      </c>
      <c r="AB14" s="36" t="s">
        <v>80</v>
      </c>
      <c r="AC14" s="40" t="s">
        <v>80</v>
      </c>
      <c r="AD14" s="40" t="s">
        <v>80</v>
      </c>
      <c r="AE14" s="40" t="s">
        <v>80</v>
      </c>
      <c r="AF14" s="40" t="s">
        <v>80</v>
      </c>
      <c r="AG14" s="36" t="s">
        <v>80</v>
      </c>
      <c r="AH14" s="36" t="s">
        <v>80</v>
      </c>
      <c r="AI14" s="36" t="s">
        <v>80</v>
      </c>
      <c r="AJ14" s="36" t="s">
        <v>80</v>
      </c>
      <c r="AK14" s="36" t="s">
        <v>80</v>
      </c>
      <c r="AL14" s="36" t="s">
        <v>80</v>
      </c>
      <c r="AM14" s="36" t="s">
        <v>80</v>
      </c>
      <c r="AN14" s="36" t="s">
        <v>80</v>
      </c>
      <c r="AO14" s="30">
        <f t="shared" si="0"/>
        <v>1</v>
      </c>
    </row>
    <row r="15" spans="2:1023" ht="15.75">
      <c r="B15" s="34" t="s">
        <v>74</v>
      </c>
      <c r="C15" s="35" t="s">
        <v>117</v>
      </c>
      <c r="D15" s="34" t="s">
        <v>118</v>
      </c>
      <c r="E15" s="34" t="s">
        <v>111</v>
      </c>
      <c r="F15" s="34" t="s">
        <v>119</v>
      </c>
      <c r="G15" s="35" t="s">
        <v>120</v>
      </c>
      <c r="H15" s="36">
        <v>43</v>
      </c>
      <c r="I15" s="36">
        <v>23</v>
      </c>
      <c r="J15" s="36">
        <v>32</v>
      </c>
      <c r="K15" s="36">
        <v>22</v>
      </c>
      <c r="L15" s="37">
        <v>8</v>
      </c>
      <c r="M15" s="38">
        <v>34</v>
      </c>
      <c r="N15" s="39" t="s">
        <v>80</v>
      </c>
      <c r="O15" s="36" t="s">
        <v>80</v>
      </c>
      <c r="P15" s="36">
        <v>2</v>
      </c>
      <c r="Q15" s="36">
        <v>1</v>
      </c>
      <c r="R15" s="36" t="s">
        <v>80</v>
      </c>
      <c r="S15" s="36">
        <v>5</v>
      </c>
      <c r="T15" s="36" t="s">
        <v>80</v>
      </c>
      <c r="U15" s="22" t="s">
        <v>80</v>
      </c>
      <c r="V15" s="36">
        <v>9</v>
      </c>
      <c r="W15" s="36">
        <v>4</v>
      </c>
      <c r="X15" s="36">
        <v>11</v>
      </c>
      <c r="Y15" s="36">
        <v>3</v>
      </c>
      <c r="Z15" s="36">
        <v>4</v>
      </c>
      <c r="AA15" s="36" t="s">
        <v>81</v>
      </c>
      <c r="AB15" s="36" t="s">
        <v>80</v>
      </c>
      <c r="AC15" s="40" t="s">
        <v>80</v>
      </c>
      <c r="AD15" s="40" t="s">
        <v>80</v>
      </c>
      <c r="AE15" s="40" t="s">
        <v>80</v>
      </c>
      <c r="AF15" s="36">
        <v>2</v>
      </c>
      <c r="AG15" s="36" t="s">
        <v>80</v>
      </c>
      <c r="AH15" s="36">
        <v>1</v>
      </c>
      <c r="AI15" s="36" t="s">
        <v>80</v>
      </c>
      <c r="AJ15" s="36" t="s">
        <v>80</v>
      </c>
      <c r="AK15" s="36" t="s">
        <v>80</v>
      </c>
      <c r="AL15" s="36" t="s">
        <v>80</v>
      </c>
      <c r="AM15" s="36" t="s">
        <v>80</v>
      </c>
      <c r="AN15" s="36" t="s">
        <v>80</v>
      </c>
      <c r="AO15" s="30">
        <f t="shared" si="0"/>
        <v>204</v>
      </c>
    </row>
    <row r="16" spans="2:1023" ht="30">
      <c r="B16" s="34" t="s">
        <v>74</v>
      </c>
      <c r="C16" s="35" t="s">
        <v>121</v>
      </c>
      <c r="D16" s="34" t="s">
        <v>118</v>
      </c>
      <c r="E16" s="34" t="s">
        <v>111</v>
      </c>
      <c r="F16" s="34" t="s">
        <v>122</v>
      </c>
      <c r="G16" s="35" t="s">
        <v>92</v>
      </c>
      <c r="H16" s="36">
        <v>4075</v>
      </c>
      <c r="I16" s="36">
        <v>2967</v>
      </c>
      <c r="J16" s="36">
        <v>5958</v>
      </c>
      <c r="K16" s="36">
        <v>4088</v>
      </c>
      <c r="L16" s="37">
        <v>523</v>
      </c>
      <c r="M16" s="38">
        <v>4650</v>
      </c>
      <c r="N16" s="39">
        <v>295</v>
      </c>
      <c r="O16" s="36">
        <v>446</v>
      </c>
      <c r="P16" s="36">
        <v>106</v>
      </c>
      <c r="Q16" s="36">
        <v>82</v>
      </c>
      <c r="R16" s="36" t="s">
        <v>80</v>
      </c>
      <c r="S16" s="36">
        <v>1831</v>
      </c>
      <c r="T16" s="36" t="s">
        <v>80</v>
      </c>
      <c r="U16" s="22" t="s">
        <v>80</v>
      </c>
      <c r="V16" s="36">
        <v>564</v>
      </c>
      <c r="W16" s="36">
        <v>311</v>
      </c>
      <c r="X16" s="36">
        <v>1154</v>
      </c>
      <c r="Y16" s="36">
        <v>109</v>
      </c>
      <c r="Z16" s="36">
        <v>641</v>
      </c>
      <c r="AA16" s="36">
        <v>5508</v>
      </c>
      <c r="AB16" s="36">
        <v>184</v>
      </c>
      <c r="AC16" s="36">
        <v>405</v>
      </c>
      <c r="AD16" s="36">
        <v>303</v>
      </c>
      <c r="AE16" s="36">
        <v>638</v>
      </c>
      <c r="AF16" s="36">
        <v>861</v>
      </c>
      <c r="AG16" s="36">
        <v>275</v>
      </c>
      <c r="AH16" s="36">
        <v>677</v>
      </c>
      <c r="AI16" s="36">
        <v>276</v>
      </c>
      <c r="AJ16" s="36">
        <v>437</v>
      </c>
      <c r="AK16" s="36">
        <v>601</v>
      </c>
      <c r="AL16" s="36">
        <v>370</v>
      </c>
      <c r="AM16" s="36">
        <v>395</v>
      </c>
      <c r="AN16" s="36">
        <v>1398</v>
      </c>
      <c r="AO16" s="30">
        <f t="shared" si="0"/>
        <v>40128</v>
      </c>
    </row>
    <row r="17" spans="2:1023" s="25" customFormat="1" ht="15.75">
      <c r="B17" s="31" t="s">
        <v>74</v>
      </c>
      <c r="C17" s="32" t="s">
        <v>123</v>
      </c>
      <c r="D17" s="31" t="s">
        <v>124</v>
      </c>
      <c r="E17" s="31" t="s">
        <v>125</v>
      </c>
      <c r="F17" s="31" t="s">
        <v>126</v>
      </c>
      <c r="G17" s="32" t="s">
        <v>127</v>
      </c>
      <c r="H17" s="21">
        <v>1</v>
      </c>
      <c r="I17" s="21" t="s">
        <v>80</v>
      </c>
      <c r="J17" s="21">
        <v>1</v>
      </c>
      <c r="K17" s="21">
        <v>1</v>
      </c>
      <c r="L17" s="19" t="s">
        <v>80</v>
      </c>
      <c r="M17" s="16" t="s">
        <v>80</v>
      </c>
      <c r="N17" s="27" t="s">
        <v>80</v>
      </c>
      <c r="O17" s="21" t="s">
        <v>80</v>
      </c>
      <c r="P17" s="21" t="s">
        <v>80</v>
      </c>
      <c r="Q17" s="21" t="s">
        <v>80</v>
      </c>
      <c r="R17" s="21" t="s">
        <v>80</v>
      </c>
      <c r="S17" s="21" t="s">
        <v>80</v>
      </c>
      <c r="T17" s="36" t="s">
        <v>80</v>
      </c>
      <c r="U17" s="22" t="s">
        <v>81</v>
      </c>
      <c r="V17" s="21" t="s">
        <v>80</v>
      </c>
      <c r="W17" s="21" t="s">
        <v>80</v>
      </c>
      <c r="X17" s="21" t="s">
        <v>80</v>
      </c>
      <c r="Y17" s="21" t="s">
        <v>80</v>
      </c>
      <c r="Z17" s="21" t="s">
        <v>80</v>
      </c>
      <c r="AA17" s="21" t="s">
        <v>81</v>
      </c>
      <c r="AB17" s="21" t="s">
        <v>80</v>
      </c>
      <c r="AC17" s="22" t="s">
        <v>80</v>
      </c>
      <c r="AD17" s="22" t="s">
        <v>80</v>
      </c>
      <c r="AE17" s="22" t="s">
        <v>80</v>
      </c>
      <c r="AF17" s="41" t="s">
        <v>80</v>
      </c>
      <c r="AG17" s="21" t="s">
        <v>80</v>
      </c>
      <c r="AH17" s="21" t="s">
        <v>80</v>
      </c>
      <c r="AI17" s="21" t="s">
        <v>80</v>
      </c>
      <c r="AJ17" s="21" t="s">
        <v>80</v>
      </c>
      <c r="AK17" s="21" t="s">
        <v>80</v>
      </c>
      <c r="AL17" s="21" t="s">
        <v>80</v>
      </c>
      <c r="AM17" s="21" t="s">
        <v>80</v>
      </c>
      <c r="AN17" s="21" t="s">
        <v>80</v>
      </c>
      <c r="AO17" s="30">
        <f t="shared" si="0"/>
        <v>3</v>
      </c>
      <c r="AMI17"/>
    </row>
    <row r="18" spans="2:1023" s="25" customFormat="1" ht="15.75">
      <c r="B18" s="31" t="s">
        <v>74</v>
      </c>
      <c r="C18" s="32" t="s">
        <v>128</v>
      </c>
      <c r="D18" s="31" t="s">
        <v>129</v>
      </c>
      <c r="E18" s="31" t="s">
        <v>125</v>
      </c>
      <c r="F18" s="31" t="s">
        <v>130</v>
      </c>
      <c r="G18" s="32" t="s">
        <v>131</v>
      </c>
      <c r="H18" s="21">
        <v>1</v>
      </c>
      <c r="I18" s="18">
        <v>1</v>
      </c>
      <c r="J18" s="18">
        <v>1</v>
      </c>
      <c r="K18" s="18">
        <v>2</v>
      </c>
      <c r="L18" s="19" t="s">
        <v>80</v>
      </c>
      <c r="M18" s="16" t="s">
        <v>80</v>
      </c>
      <c r="N18" s="20">
        <v>1</v>
      </c>
      <c r="O18" s="21" t="s">
        <v>80</v>
      </c>
      <c r="P18" s="21" t="s">
        <v>80</v>
      </c>
      <c r="Q18" s="21" t="s">
        <v>80</v>
      </c>
      <c r="R18" s="21" t="s">
        <v>80</v>
      </c>
      <c r="S18" s="21" t="s">
        <v>80</v>
      </c>
      <c r="T18" s="36" t="s">
        <v>80</v>
      </c>
      <c r="U18" s="22" t="s">
        <v>81</v>
      </c>
      <c r="V18" s="21" t="s">
        <v>81</v>
      </c>
      <c r="W18" s="21" t="s">
        <v>81</v>
      </c>
      <c r="X18" s="21" t="s">
        <v>80</v>
      </c>
      <c r="Y18" s="21" t="s">
        <v>81</v>
      </c>
      <c r="Z18" s="21" t="s">
        <v>81</v>
      </c>
      <c r="AA18" s="21" t="s">
        <v>81</v>
      </c>
      <c r="AB18" s="21" t="s">
        <v>81</v>
      </c>
      <c r="AC18" s="22" t="s">
        <v>80</v>
      </c>
      <c r="AD18" s="22" t="s">
        <v>80</v>
      </c>
      <c r="AE18" s="22" t="s">
        <v>80</v>
      </c>
      <c r="AF18" s="22" t="s">
        <v>80</v>
      </c>
      <c r="AG18" s="21" t="s">
        <v>80</v>
      </c>
      <c r="AH18" s="21" t="s">
        <v>80</v>
      </c>
      <c r="AI18" s="21" t="s">
        <v>80</v>
      </c>
      <c r="AJ18" s="21" t="s">
        <v>80</v>
      </c>
      <c r="AK18" s="21" t="s">
        <v>80</v>
      </c>
      <c r="AL18" s="21" t="s">
        <v>80</v>
      </c>
      <c r="AM18" s="21" t="s">
        <v>80</v>
      </c>
      <c r="AN18" s="21" t="s">
        <v>80</v>
      </c>
      <c r="AO18" s="24">
        <f t="shared" si="0"/>
        <v>6</v>
      </c>
      <c r="AMI18"/>
    </row>
    <row r="19" spans="2:1023" s="25" customFormat="1" ht="15.75">
      <c r="B19" s="31" t="s">
        <v>74</v>
      </c>
      <c r="C19" s="32" t="s">
        <v>132</v>
      </c>
      <c r="D19" s="31" t="s">
        <v>133</v>
      </c>
      <c r="E19" s="31" t="s">
        <v>125</v>
      </c>
      <c r="F19" s="31" t="s">
        <v>134</v>
      </c>
      <c r="G19" s="32" t="s">
        <v>92</v>
      </c>
      <c r="H19" s="21">
        <v>4075</v>
      </c>
      <c r="I19" s="21">
        <v>2967</v>
      </c>
      <c r="J19" s="21">
        <v>5958</v>
      </c>
      <c r="K19" s="21">
        <v>4088</v>
      </c>
      <c r="L19" s="19">
        <v>523</v>
      </c>
      <c r="M19" s="16">
        <v>4650</v>
      </c>
      <c r="N19" s="27">
        <v>295</v>
      </c>
      <c r="O19" s="21">
        <v>446</v>
      </c>
      <c r="P19" s="21">
        <v>106</v>
      </c>
      <c r="Q19" s="21">
        <v>82</v>
      </c>
      <c r="R19" s="21" t="s">
        <v>80</v>
      </c>
      <c r="S19" s="21">
        <v>1831</v>
      </c>
      <c r="T19" s="36" t="s">
        <v>80</v>
      </c>
      <c r="U19" s="21">
        <v>1095</v>
      </c>
      <c r="V19" s="21">
        <v>564</v>
      </c>
      <c r="W19" s="21">
        <v>311</v>
      </c>
      <c r="X19" s="21">
        <v>1154</v>
      </c>
      <c r="Y19" s="21">
        <v>109</v>
      </c>
      <c r="Z19" s="21">
        <v>590</v>
      </c>
      <c r="AA19" s="21">
        <v>5508</v>
      </c>
      <c r="AB19" s="21">
        <v>184</v>
      </c>
      <c r="AC19" s="21">
        <v>405</v>
      </c>
      <c r="AD19" s="21">
        <v>303</v>
      </c>
      <c r="AE19" s="21">
        <v>638</v>
      </c>
      <c r="AF19" s="21">
        <v>861</v>
      </c>
      <c r="AG19" s="21">
        <v>275</v>
      </c>
      <c r="AH19" s="21">
        <v>644</v>
      </c>
      <c r="AI19" s="21">
        <v>276</v>
      </c>
      <c r="AJ19" s="21">
        <v>437</v>
      </c>
      <c r="AK19" s="21">
        <v>601</v>
      </c>
      <c r="AL19" s="21">
        <v>370</v>
      </c>
      <c r="AM19" s="21">
        <v>395</v>
      </c>
      <c r="AN19" s="21">
        <v>1398</v>
      </c>
      <c r="AO19" s="30">
        <f t="shared" si="0"/>
        <v>41139</v>
      </c>
      <c r="AMI19"/>
    </row>
    <row r="20" spans="2:1023" s="25" customFormat="1" ht="30">
      <c r="B20" s="31" t="s">
        <v>74</v>
      </c>
      <c r="C20" s="32" t="s">
        <v>135</v>
      </c>
      <c r="D20" s="31" t="s">
        <v>136</v>
      </c>
      <c r="E20" s="31" t="s">
        <v>125</v>
      </c>
      <c r="F20" s="31" t="s">
        <v>137</v>
      </c>
      <c r="G20" s="32" t="s">
        <v>138</v>
      </c>
      <c r="H20" s="21">
        <v>1</v>
      </c>
      <c r="I20" s="21">
        <v>1</v>
      </c>
      <c r="J20" s="21">
        <v>1</v>
      </c>
      <c r="K20" s="21">
        <v>1</v>
      </c>
      <c r="L20" s="42">
        <v>1</v>
      </c>
      <c r="M20" s="16" t="s">
        <v>80</v>
      </c>
      <c r="N20" s="27" t="s">
        <v>80</v>
      </c>
      <c r="O20" s="21" t="s">
        <v>80</v>
      </c>
      <c r="P20" s="21" t="s">
        <v>80</v>
      </c>
      <c r="Q20" s="21" t="s">
        <v>80</v>
      </c>
      <c r="R20" s="21" t="s">
        <v>80</v>
      </c>
      <c r="S20" s="21" t="s">
        <v>80</v>
      </c>
      <c r="T20" s="36" t="s">
        <v>80</v>
      </c>
      <c r="U20" s="22" t="s">
        <v>81</v>
      </c>
      <c r="V20" s="21" t="s">
        <v>81</v>
      </c>
      <c r="W20" s="21" t="s">
        <v>80</v>
      </c>
      <c r="X20" s="21" t="s">
        <v>81</v>
      </c>
      <c r="Y20" s="21" t="s">
        <v>81</v>
      </c>
      <c r="Z20" s="21" t="s">
        <v>81</v>
      </c>
      <c r="AA20" s="21" t="s">
        <v>80</v>
      </c>
      <c r="AB20" s="21" t="s">
        <v>80</v>
      </c>
      <c r="AC20" s="22" t="s">
        <v>80</v>
      </c>
      <c r="AD20" s="22" t="s">
        <v>80</v>
      </c>
      <c r="AE20" s="22" t="s">
        <v>80</v>
      </c>
      <c r="AF20" s="22" t="s">
        <v>80</v>
      </c>
      <c r="AG20" s="22" t="s">
        <v>80</v>
      </c>
      <c r="AH20" s="22" t="s">
        <v>80</v>
      </c>
      <c r="AI20" s="22" t="s">
        <v>80</v>
      </c>
      <c r="AJ20" s="22" t="s">
        <v>80</v>
      </c>
      <c r="AK20" s="22" t="s">
        <v>80</v>
      </c>
      <c r="AL20" s="22" t="s">
        <v>80</v>
      </c>
      <c r="AM20" s="22" t="s">
        <v>80</v>
      </c>
      <c r="AN20" s="22" t="s">
        <v>80</v>
      </c>
      <c r="AO20" s="24">
        <f t="shared" si="0"/>
        <v>5</v>
      </c>
      <c r="AMI20"/>
    </row>
    <row r="21" spans="2:1023" s="25" customFormat="1" ht="15.75">
      <c r="B21" s="31" t="s">
        <v>74</v>
      </c>
      <c r="C21" s="32" t="s">
        <v>139</v>
      </c>
      <c r="D21" s="31" t="s">
        <v>140</v>
      </c>
      <c r="E21" s="31" t="s">
        <v>125</v>
      </c>
      <c r="F21" s="31" t="s">
        <v>141</v>
      </c>
      <c r="G21" s="32" t="s">
        <v>142</v>
      </c>
      <c r="H21" s="21">
        <v>3</v>
      </c>
      <c r="I21" s="21">
        <v>3</v>
      </c>
      <c r="J21" s="21">
        <v>3</v>
      </c>
      <c r="K21" s="21">
        <v>3</v>
      </c>
      <c r="L21" s="19">
        <v>3</v>
      </c>
      <c r="M21" s="16">
        <v>10</v>
      </c>
      <c r="N21" s="27">
        <v>3</v>
      </c>
      <c r="O21" s="21">
        <v>3</v>
      </c>
      <c r="P21" s="21">
        <v>3</v>
      </c>
      <c r="Q21" s="21">
        <v>3</v>
      </c>
      <c r="R21" s="21" t="s">
        <v>80</v>
      </c>
      <c r="S21" s="21">
        <v>2</v>
      </c>
      <c r="T21" s="21" t="s">
        <v>80</v>
      </c>
      <c r="U21" s="21">
        <v>2</v>
      </c>
      <c r="V21" s="21">
        <v>2</v>
      </c>
      <c r="W21" s="21">
        <v>2</v>
      </c>
      <c r="X21" s="21">
        <v>2</v>
      </c>
      <c r="Y21" s="21">
        <v>2</v>
      </c>
      <c r="Z21" s="21">
        <v>2</v>
      </c>
      <c r="AA21" s="21">
        <v>2</v>
      </c>
      <c r="AB21" s="21">
        <v>2</v>
      </c>
      <c r="AC21" s="21">
        <v>2</v>
      </c>
      <c r="AD21" s="21">
        <v>2</v>
      </c>
      <c r="AE21" s="21">
        <v>2</v>
      </c>
      <c r="AF21" s="21">
        <v>2</v>
      </c>
      <c r="AG21" s="21">
        <v>2</v>
      </c>
      <c r="AH21" s="21">
        <v>2</v>
      </c>
      <c r="AI21" s="21">
        <v>2</v>
      </c>
      <c r="AJ21" s="21">
        <v>2</v>
      </c>
      <c r="AK21" s="21">
        <v>2</v>
      </c>
      <c r="AL21" s="21">
        <v>2</v>
      </c>
      <c r="AM21" s="21">
        <v>2</v>
      </c>
      <c r="AN21" s="21">
        <v>2</v>
      </c>
      <c r="AO21" s="30">
        <f t="shared" si="0"/>
        <v>79</v>
      </c>
      <c r="AMI21"/>
    </row>
    <row r="22" spans="2:1023" ht="15.75">
      <c r="B22" s="34" t="s">
        <v>74</v>
      </c>
      <c r="C22" s="35" t="s">
        <v>143</v>
      </c>
      <c r="D22" s="34" t="s">
        <v>144</v>
      </c>
      <c r="E22" s="34" t="s">
        <v>145</v>
      </c>
      <c r="F22" s="34" t="s">
        <v>146</v>
      </c>
      <c r="G22" s="35" t="s">
        <v>147</v>
      </c>
      <c r="H22" s="36">
        <v>4075</v>
      </c>
      <c r="I22" s="36">
        <v>2967</v>
      </c>
      <c r="J22" s="36">
        <v>5958</v>
      </c>
      <c r="K22" s="36">
        <v>4088</v>
      </c>
      <c r="L22" s="37">
        <v>523</v>
      </c>
      <c r="M22" s="38">
        <v>4650</v>
      </c>
      <c r="N22" s="39">
        <v>295</v>
      </c>
      <c r="O22" s="36">
        <v>446</v>
      </c>
      <c r="P22" s="36" t="s">
        <v>80</v>
      </c>
      <c r="Q22" s="36" t="s">
        <v>80</v>
      </c>
      <c r="R22" s="36" t="s">
        <v>80</v>
      </c>
      <c r="S22" s="36">
        <v>1831</v>
      </c>
      <c r="T22" s="36">
        <v>4854.6400000000003</v>
      </c>
      <c r="U22" s="40" t="s">
        <v>80</v>
      </c>
      <c r="V22" s="36">
        <v>564</v>
      </c>
      <c r="W22" s="36">
        <v>311</v>
      </c>
      <c r="X22" s="36">
        <v>1154</v>
      </c>
      <c r="Y22" s="36">
        <v>109</v>
      </c>
      <c r="Z22" s="36">
        <v>641</v>
      </c>
      <c r="AA22" s="36">
        <v>5508</v>
      </c>
      <c r="AB22" s="36">
        <v>184</v>
      </c>
      <c r="AC22" s="36">
        <v>405</v>
      </c>
      <c r="AD22" s="36">
        <v>303</v>
      </c>
      <c r="AE22" s="40" t="s">
        <v>80</v>
      </c>
      <c r="AF22" s="40" t="s">
        <v>80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s="40" t="s">
        <v>80</v>
      </c>
      <c r="AM22" s="40" t="s">
        <v>80</v>
      </c>
      <c r="AN22" s="40" t="s">
        <v>80</v>
      </c>
      <c r="AO22" s="30">
        <f t="shared" si="0"/>
        <v>38866.639999999999</v>
      </c>
    </row>
    <row r="23" spans="2:1023" ht="33" customHeight="1">
      <c r="B23" s="34" t="s">
        <v>74</v>
      </c>
      <c r="C23" s="35" t="s">
        <v>148</v>
      </c>
      <c r="D23" s="34" t="s">
        <v>149</v>
      </c>
      <c r="E23" s="34" t="s">
        <v>145</v>
      </c>
      <c r="F23" s="34" t="s">
        <v>150</v>
      </c>
      <c r="G23" s="35" t="s">
        <v>147</v>
      </c>
      <c r="H23" s="36">
        <v>4055</v>
      </c>
      <c r="I23" s="36">
        <v>2882</v>
      </c>
      <c r="J23" s="36">
        <v>5580</v>
      </c>
      <c r="K23" s="36">
        <v>4068</v>
      </c>
      <c r="L23" s="37">
        <v>520</v>
      </c>
      <c r="M23" s="38">
        <v>4650</v>
      </c>
      <c r="N23" s="39">
        <v>295</v>
      </c>
      <c r="O23" s="36">
        <v>446</v>
      </c>
      <c r="P23" s="36">
        <v>106</v>
      </c>
      <c r="Q23" s="36">
        <v>82</v>
      </c>
      <c r="R23" s="36" t="s">
        <v>80</v>
      </c>
      <c r="S23" s="36">
        <v>1831</v>
      </c>
      <c r="T23" s="36">
        <v>4854.6400000000003</v>
      </c>
      <c r="U23" s="40" t="s">
        <v>80</v>
      </c>
      <c r="V23" s="36">
        <v>564</v>
      </c>
      <c r="W23" s="36">
        <v>311</v>
      </c>
      <c r="X23" s="36">
        <v>1154</v>
      </c>
      <c r="Y23" s="36">
        <v>109</v>
      </c>
      <c r="Z23" s="36">
        <v>641</v>
      </c>
      <c r="AA23" s="36">
        <v>5508</v>
      </c>
      <c r="AB23" s="36">
        <v>184</v>
      </c>
      <c r="AC23" s="36">
        <v>405</v>
      </c>
      <c r="AD23" s="36">
        <v>303</v>
      </c>
      <c r="AE23" s="40" t="s">
        <v>80</v>
      </c>
      <c r="AF23" s="40" t="s">
        <v>80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s="40" t="s">
        <v>80</v>
      </c>
      <c r="AM23" s="40" t="s">
        <v>80</v>
      </c>
      <c r="AN23" s="40" t="s">
        <v>80</v>
      </c>
      <c r="AO23" s="30">
        <f t="shared" si="0"/>
        <v>38548.639999999999</v>
      </c>
    </row>
    <row r="24" spans="2:1023" ht="34.5" customHeight="1">
      <c r="B24" s="34" t="s">
        <v>74</v>
      </c>
      <c r="C24" s="35" t="s">
        <v>151</v>
      </c>
      <c r="D24" s="34" t="s">
        <v>152</v>
      </c>
      <c r="E24" s="34" t="s">
        <v>145</v>
      </c>
      <c r="F24" s="34" t="s">
        <v>153</v>
      </c>
      <c r="G24" s="35" t="s">
        <v>92</v>
      </c>
      <c r="H24" s="36">
        <v>1374</v>
      </c>
      <c r="I24" s="36">
        <v>1133</v>
      </c>
      <c r="J24" s="36">
        <v>1399</v>
      </c>
      <c r="K24" s="36">
        <v>1470</v>
      </c>
      <c r="L24" s="37">
        <v>158</v>
      </c>
      <c r="M24" s="38">
        <v>4650</v>
      </c>
      <c r="N24" s="43">
        <v>295</v>
      </c>
      <c r="O24" s="44">
        <v>446</v>
      </c>
      <c r="P24" s="36">
        <v>106</v>
      </c>
      <c r="Q24" s="36">
        <v>82</v>
      </c>
      <c r="R24" s="36" t="s">
        <v>80</v>
      </c>
      <c r="S24" s="36">
        <v>1831</v>
      </c>
      <c r="T24" s="36">
        <v>4854.6400000000003</v>
      </c>
      <c r="U24" s="40" t="s">
        <v>80</v>
      </c>
      <c r="V24" s="36">
        <v>564</v>
      </c>
      <c r="W24" s="36">
        <v>311</v>
      </c>
      <c r="X24" s="36">
        <v>1154</v>
      </c>
      <c r="Y24" s="36">
        <v>109</v>
      </c>
      <c r="Z24" s="36">
        <v>641</v>
      </c>
      <c r="AA24" s="36">
        <v>5508</v>
      </c>
      <c r="AB24" s="36">
        <v>184</v>
      </c>
      <c r="AC24" s="36">
        <v>405</v>
      </c>
      <c r="AD24" s="36">
        <v>303</v>
      </c>
      <c r="AE24" s="40" t="s">
        <v>80</v>
      </c>
      <c r="AF24" s="40" t="s">
        <v>80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s="40" t="s">
        <v>80</v>
      </c>
      <c r="AM24" s="40" t="s">
        <v>80</v>
      </c>
      <c r="AN24" s="40" t="s">
        <v>80</v>
      </c>
      <c r="AO24" s="30">
        <f t="shared" si="0"/>
        <v>26977.64</v>
      </c>
    </row>
    <row r="25" spans="2:1023" ht="15.75">
      <c r="B25" s="34" t="s">
        <v>74</v>
      </c>
      <c r="C25" s="35" t="s">
        <v>154</v>
      </c>
      <c r="D25" s="34" t="s">
        <v>155</v>
      </c>
      <c r="E25" s="34" t="s">
        <v>145</v>
      </c>
      <c r="F25" s="34" t="s">
        <v>156</v>
      </c>
      <c r="G25" s="35" t="s">
        <v>157</v>
      </c>
      <c r="H25" s="18">
        <v>54</v>
      </c>
      <c r="I25" s="18">
        <v>35</v>
      </c>
      <c r="J25" s="18">
        <v>65</v>
      </c>
      <c r="K25" s="18">
        <v>58</v>
      </c>
      <c r="L25" s="42">
        <v>7</v>
      </c>
      <c r="M25" s="45">
        <v>40</v>
      </c>
      <c r="N25" s="20">
        <v>3</v>
      </c>
      <c r="O25" s="18">
        <v>11</v>
      </c>
      <c r="P25" s="18">
        <v>2</v>
      </c>
      <c r="Q25" s="36">
        <v>1</v>
      </c>
      <c r="R25" s="36">
        <v>6</v>
      </c>
      <c r="S25" s="18">
        <v>6</v>
      </c>
      <c r="T25" s="18">
        <v>21</v>
      </c>
      <c r="U25" s="40" t="s">
        <v>80</v>
      </c>
      <c r="V25" s="18">
        <v>7</v>
      </c>
      <c r="W25" s="18">
        <v>4</v>
      </c>
      <c r="X25" s="18">
        <v>9</v>
      </c>
      <c r="Y25" s="36">
        <v>2</v>
      </c>
      <c r="Z25" s="18">
        <v>7</v>
      </c>
      <c r="AA25" s="36" t="s">
        <v>81</v>
      </c>
      <c r="AB25" s="36">
        <v>4</v>
      </c>
      <c r="AC25" s="36">
        <v>6</v>
      </c>
      <c r="AD25" s="36">
        <v>1</v>
      </c>
      <c r="AE25" s="40" t="s">
        <v>81</v>
      </c>
      <c r="AF25" s="40" t="s">
        <v>80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18">
        <v>12</v>
      </c>
      <c r="AL25" s="40" t="s">
        <v>80</v>
      </c>
      <c r="AM25" s="40" t="s">
        <v>80</v>
      </c>
      <c r="AN25" s="40" t="s">
        <v>80</v>
      </c>
      <c r="AO25" s="24">
        <f t="shared" si="0"/>
        <v>361</v>
      </c>
    </row>
    <row r="26" spans="2:1023" ht="15.75">
      <c r="B26" s="46" t="s">
        <v>74</v>
      </c>
      <c r="C26" s="47" t="s">
        <v>158</v>
      </c>
      <c r="D26" s="34" t="s">
        <v>159</v>
      </c>
      <c r="E26" s="46" t="s">
        <v>145</v>
      </c>
      <c r="F26" s="34" t="s">
        <v>160</v>
      </c>
      <c r="G26" s="35" t="s">
        <v>161</v>
      </c>
      <c r="H26" s="36" t="s">
        <v>80</v>
      </c>
      <c r="I26" s="36" t="s">
        <v>80</v>
      </c>
      <c r="J26" s="36" t="s">
        <v>80</v>
      </c>
      <c r="K26" s="36">
        <v>1</v>
      </c>
      <c r="L26" s="37" t="s">
        <v>80</v>
      </c>
      <c r="M26" s="38">
        <v>1</v>
      </c>
      <c r="N26" s="39" t="s">
        <v>80</v>
      </c>
      <c r="O26" s="36" t="s">
        <v>80</v>
      </c>
      <c r="P26" s="36" t="s">
        <v>80</v>
      </c>
      <c r="Q26" s="36" t="s">
        <v>80</v>
      </c>
      <c r="R26" s="36" t="s">
        <v>80</v>
      </c>
      <c r="S26" s="36" t="s">
        <v>80</v>
      </c>
      <c r="T26" s="36" t="s">
        <v>80</v>
      </c>
      <c r="U26" s="40" t="s">
        <v>80</v>
      </c>
      <c r="V26" s="36" t="s">
        <v>80</v>
      </c>
      <c r="W26" s="36" t="s">
        <v>80</v>
      </c>
      <c r="X26" s="40" t="s">
        <v>81</v>
      </c>
      <c r="Y26" s="36" t="s">
        <v>80</v>
      </c>
      <c r="Z26" s="36" t="s">
        <v>81</v>
      </c>
      <c r="AA26" s="36" t="s">
        <v>81</v>
      </c>
      <c r="AB26" s="36" t="s">
        <v>80</v>
      </c>
      <c r="AC26" s="40" t="s">
        <v>81</v>
      </c>
      <c r="AD26" s="40" t="s">
        <v>80</v>
      </c>
      <c r="AE26" s="40" t="s">
        <v>80</v>
      </c>
      <c r="AF26" s="40" t="s">
        <v>80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s="40" t="s">
        <v>80</v>
      </c>
      <c r="AM26" s="40" t="s">
        <v>80</v>
      </c>
      <c r="AN26" s="40" t="s">
        <v>80</v>
      </c>
      <c r="AO26" s="30">
        <f t="shared" si="0"/>
        <v>2</v>
      </c>
    </row>
    <row r="27" spans="2:1023" ht="15.75">
      <c r="B27" s="46" t="s">
        <v>74</v>
      </c>
      <c r="C27" s="47" t="s">
        <v>162</v>
      </c>
      <c r="D27" s="34" t="s">
        <v>163</v>
      </c>
      <c r="E27" s="46" t="s">
        <v>145</v>
      </c>
      <c r="F27" s="34" t="s">
        <v>164</v>
      </c>
      <c r="G27" s="35" t="s">
        <v>165</v>
      </c>
      <c r="H27" s="18">
        <v>21</v>
      </c>
      <c r="I27" s="18">
        <v>22</v>
      </c>
      <c r="J27" s="18">
        <v>18</v>
      </c>
      <c r="K27" s="18">
        <v>26</v>
      </c>
      <c r="L27" s="37">
        <v>0</v>
      </c>
      <c r="M27" s="45">
        <v>21</v>
      </c>
      <c r="N27" s="39" t="s">
        <v>80</v>
      </c>
      <c r="O27" s="36">
        <v>2</v>
      </c>
      <c r="P27" s="36" t="s">
        <v>80</v>
      </c>
      <c r="Q27" s="36" t="s">
        <v>80</v>
      </c>
      <c r="R27" s="36" t="s">
        <v>80</v>
      </c>
      <c r="S27" s="18">
        <v>1</v>
      </c>
      <c r="T27" s="36" t="s">
        <v>80</v>
      </c>
      <c r="U27" s="36" t="s">
        <v>80</v>
      </c>
      <c r="V27" s="36" t="s">
        <v>81</v>
      </c>
      <c r="W27" s="36" t="s">
        <v>80</v>
      </c>
      <c r="X27" s="18">
        <v>2</v>
      </c>
      <c r="Y27" s="36" t="s">
        <v>81</v>
      </c>
      <c r="Z27" s="36" t="s">
        <v>81</v>
      </c>
      <c r="AA27" s="36" t="s">
        <v>81</v>
      </c>
      <c r="AB27" s="36" t="s">
        <v>80</v>
      </c>
      <c r="AC27" s="18">
        <v>0</v>
      </c>
      <c r="AD27" s="36">
        <v>1</v>
      </c>
      <c r="AE27" s="40" t="s">
        <v>80</v>
      </c>
      <c r="AF27" s="40" t="s">
        <v>80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18">
        <v>3</v>
      </c>
      <c r="AL27" s="40" t="s">
        <v>80</v>
      </c>
      <c r="AM27" s="40" t="s">
        <v>80</v>
      </c>
      <c r="AN27" s="40" t="s">
        <v>80</v>
      </c>
      <c r="AO27" s="24">
        <f t="shared" si="0"/>
        <v>117</v>
      </c>
    </row>
    <row r="28" spans="2:1023" s="25" customFormat="1" ht="15.75">
      <c r="B28" s="14" t="s">
        <v>74</v>
      </c>
      <c r="C28" s="15" t="s">
        <v>166</v>
      </c>
      <c r="D28" s="31" t="s">
        <v>167</v>
      </c>
      <c r="E28" s="14" t="s">
        <v>168</v>
      </c>
      <c r="F28" s="31" t="s">
        <v>169</v>
      </c>
      <c r="G28" s="32" t="s">
        <v>170</v>
      </c>
      <c r="H28" s="21">
        <v>1</v>
      </c>
      <c r="I28" s="21">
        <v>2</v>
      </c>
      <c r="J28" s="21">
        <v>3</v>
      </c>
      <c r="K28" s="21" t="s">
        <v>80</v>
      </c>
      <c r="L28" s="19">
        <v>2</v>
      </c>
      <c r="M28" s="16"/>
      <c r="N28" s="27" t="s">
        <v>80</v>
      </c>
      <c r="O28" s="21" t="s">
        <v>80</v>
      </c>
      <c r="P28" s="21" t="s">
        <v>80</v>
      </c>
      <c r="Q28" s="21" t="s">
        <v>80</v>
      </c>
      <c r="R28" s="21" t="s">
        <v>80</v>
      </c>
      <c r="S28" s="21" t="s">
        <v>80</v>
      </c>
      <c r="T28" s="36" t="s">
        <v>80</v>
      </c>
      <c r="U28" s="36" t="s">
        <v>80</v>
      </c>
      <c r="V28" s="21" t="s">
        <v>80</v>
      </c>
      <c r="W28" s="21" t="s">
        <v>80</v>
      </c>
      <c r="X28" s="22" t="s">
        <v>80</v>
      </c>
      <c r="Y28" s="22" t="s">
        <v>80</v>
      </c>
      <c r="Z28" s="22" t="s">
        <v>80</v>
      </c>
      <c r="AA28" s="21" t="s">
        <v>80</v>
      </c>
      <c r="AB28" s="22" t="s">
        <v>80</v>
      </c>
      <c r="AC28" s="22" t="s">
        <v>80</v>
      </c>
      <c r="AD28" s="22" t="s">
        <v>80</v>
      </c>
      <c r="AE28" s="22" t="s">
        <v>80</v>
      </c>
      <c r="AF28" s="40" t="s">
        <v>80</v>
      </c>
      <c r="AG28" s="40" t="s">
        <v>80</v>
      </c>
      <c r="AH28" s="40" t="s">
        <v>80</v>
      </c>
      <c r="AI28" s="40" t="s">
        <v>80</v>
      </c>
      <c r="AJ28" s="22" t="s">
        <v>80</v>
      </c>
      <c r="AK28" s="40" t="s">
        <v>80</v>
      </c>
      <c r="AL28" s="40" t="s">
        <v>80</v>
      </c>
      <c r="AM28" s="40" t="s">
        <v>80</v>
      </c>
      <c r="AN28" s="40" t="s">
        <v>80</v>
      </c>
      <c r="AO28" s="30">
        <f t="shared" si="0"/>
        <v>8</v>
      </c>
      <c r="AMI28"/>
    </row>
    <row r="29" spans="2:1023" s="25" customFormat="1" ht="15.75">
      <c r="B29" s="14" t="s">
        <v>74</v>
      </c>
      <c r="C29" s="15" t="s">
        <v>171</v>
      </c>
      <c r="D29" s="31" t="s">
        <v>167</v>
      </c>
      <c r="E29" s="14" t="s">
        <v>168</v>
      </c>
      <c r="F29" s="31" t="s">
        <v>172</v>
      </c>
      <c r="G29" s="32" t="s">
        <v>170</v>
      </c>
      <c r="H29" s="21">
        <v>3</v>
      </c>
      <c r="I29" s="21" t="s">
        <v>80</v>
      </c>
      <c r="J29" s="21">
        <v>1</v>
      </c>
      <c r="K29" s="21">
        <v>2</v>
      </c>
      <c r="L29" s="19" t="s">
        <v>80</v>
      </c>
      <c r="M29" s="16">
        <v>3</v>
      </c>
      <c r="N29" s="27" t="s">
        <v>80</v>
      </c>
      <c r="O29" s="21" t="s">
        <v>80</v>
      </c>
      <c r="P29" s="21" t="s">
        <v>80</v>
      </c>
      <c r="Q29" s="21" t="s">
        <v>80</v>
      </c>
      <c r="R29" s="21" t="s">
        <v>80</v>
      </c>
      <c r="S29" s="21" t="s">
        <v>80</v>
      </c>
      <c r="T29" s="36" t="s">
        <v>80</v>
      </c>
      <c r="U29" s="36" t="s">
        <v>80</v>
      </c>
      <c r="V29" s="21" t="s">
        <v>80</v>
      </c>
      <c r="W29" s="21" t="s">
        <v>80</v>
      </c>
      <c r="X29" s="22" t="s">
        <v>80</v>
      </c>
      <c r="Y29" s="22" t="s">
        <v>80</v>
      </c>
      <c r="Z29" s="22" t="s">
        <v>80</v>
      </c>
      <c r="AA29" s="22" t="s">
        <v>80</v>
      </c>
      <c r="AB29" s="22" t="s">
        <v>80</v>
      </c>
      <c r="AC29" s="22" t="s">
        <v>80</v>
      </c>
      <c r="AD29" s="22" t="s">
        <v>80</v>
      </c>
      <c r="AE29" s="22" t="s">
        <v>80</v>
      </c>
      <c r="AF29" s="40" t="s">
        <v>80</v>
      </c>
      <c r="AG29" s="40" t="s">
        <v>80</v>
      </c>
      <c r="AH29" s="40" t="s">
        <v>80</v>
      </c>
      <c r="AI29" s="40" t="s">
        <v>80</v>
      </c>
      <c r="AJ29" s="22" t="s">
        <v>80</v>
      </c>
      <c r="AK29" s="40" t="s">
        <v>80</v>
      </c>
      <c r="AL29" s="40" t="s">
        <v>80</v>
      </c>
      <c r="AM29" s="40" t="s">
        <v>80</v>
      </c>
      <c r="AN29" s="40" t="s">
        <v>80</v>
      </c>
      <c r="AO29" s="30">
        <f t="shared" si="0"/>
        <v>9</v>
      </c>
      <c r="AMI29"/>
    </row>
    <row r="30" spans="2:1023" s="25" customFormat="1" ht="15.75">
      <c r="B30" s="14" t="s">
        <v>74</v>
      </c>
      <c r="C30" s="15" t="s">
        <v>173</v>
      </c>
      <c r="D30" s="31" t="s">
        <v>174</v>
      </c>
      <c r="E30" s="14" t="s">
        <v>168</v>
      </c>
      <c r="F30" s="31" t="s">
        <v>175</v>
      </c>
      <c r="G30" s="32" t="s">
        <v>176</v>
      </c>
      <c r="H30" s="21" t="s">
        <v>80</v>
      </c>
      <c r="I30" s="21">
        <v>1</v>
      </c>
      <c r="J30" s="21" t="s">
        <v>80</v>
      </c>
      <c r="K30" s="21" t="s">
        <v>80</v>
      </c>
      <c r="L30" s="19" t="s">
        <v>80</v>
      </c>
      <c r="M30" s="16" t="s">
        <v>80</v>
      </c>
      <c r="N30" s="27" t="s">
        <v>80</v>
      </c>
      <c r="O30" s="21" t="s">
        <v>80</v>
      </c>
      <c r="P30" s="21" t="s">
        <v>80</v>
      </c>
      <c r="Q30" s="21" t="s">
        <v>80</v>
      </c>
      <c r="R30" s="21" t="s">
        <v>80</v>
      </c>
      <c r="S30" s="21" t="s">
        <v>80</v>
      </c>
      <c r="T30" s="36" t="s">
        <v>80</v>
      </c>
      <c r="U30" s="36" t="s">
        <v>80</v>
      </c>
      <c r="V30" s="21" t="s">
        <v>80</v>
      </c>
      <c r="W30" s="21" t="s">
        <v>80</v>
      </c>
      <c r="X30" s="22" t="s">
        <v>80</v>
      </c>
      <c r="Y30" s="22" t="s">
        <v>80</v>
      </c>
      <c r="Z30" s="22" t="s">
        <v>80</v>
      </c>
      <c r="AA30" s="22" t="s">
        <v>80</v>
      </c>
      <c r="AB30" s="22" t="s">
        <v>80</v>
      </c>
      <c r="AC30" s="22" t="s">
        <v>80</v>
      </c>
      <c r="AD30" s="22" t="s">
        <v>80</v>
      </c>
      <c r="AE30" s="22" t="s">
        <v>80</v>
      </c>
      <c r="AF30" s="40" t="s">
        <v>80</v>
      </c>
      <c r="AG30" s="40" t="s">
        <v>80</v>
      </c>
      <c r="AH30" s="40" t="s">
        <v>80</v>
      </c>
      <c r="AI30" s="40" t="s">
        <v>80</v>
      </c>
      <c r="AJ30" s="22" t="s">
        <v>80</v>
      </c>
      <c r="AK30" s="40" t="s">
        <v>80</v>
      </c>
      <c r="AL30" s="40" t="s">
        <v>80</v>
      </c>
      <c r="AM30" s="40" t="s">
        <v>80</v>
      </c>
      <c r="AN30" s="40" t="s">
        <v>80</v>
      </c>
      <c r="AO30" s="30">
        <f t="shared" si="0"/>
        <v>1</v>
      </c>
      <c r="AMI30"/>
    </row>
    <row r="31" spans="2:1023" ht="38.25" customHeight="1">
      <c r="B31" s="46" t="s">
        <v>74</v>
      </c>
      <c r="C31" s="47" t="s">
        <v>177</v>
      </c>
      <c r="D31" s="34" t="s">
        <v>178</v>
      </c>
      <c r="E31" s="46" t="s">
        <v>179</v>
      </c>
      <c r="F31" s="34" t="s">
        <v>180</v>
      </c>
      <c r="G31" s="35" t="s">
        <v>181</v>
      </c>
      <c r="H31" s="36">
        <v>1</v>
      </c>
      <c r="I31" s="36">
        <v>1</v>
      </c>
      <c r="J31" s="36" t="s">
        <v>80</v>
      </c>
      <c r="K31" s="36">
        <v>2</v>
      </c>
      <c r="L31" s="48">
        <v>1</v>
      </c>
      <c r="M31" s="38">
        <v>2</v>
      </c>
      <c r="N31" s="39" t="s">
        <v>80</v>
      </c>
      <c r="O31" s="36">
        <v>1</v>
      </c>
      <c r="P31" s="36" t="s">
        <v>80</v>
      </c>
      <c r="Q31" s="36" t="s">
        <v>80</v>
      </c>
      <c r="R31" s="36" t="s">
        <v>80</v>
      </c>
      <c r="S31" s="36" t="s">
        <v>80</v>
      </c>
      <c r="T31" s="36" t="s">
        <v>80</v>
      </c>
      <c r="U31" s="36" t="s">
        <v>80</v>
      </c>
      <c r="V31" s="36" t="s">
        <v>81</v>
      </c>
      <c r="W31" s="36" t="s">
        <v>80</v>
      </c>
      <c r="X31" s="40" t="s">
        <v>80</v>
      </c>
      <c r="Y31" s="40" t="s">
        <v>80</v>
      </c>
      <c r="Z31" s="40" t="s">
        <v>80</v>
      </c>
      <c r="AA31" s="40" t="s">
        <v>81</v>
      </c>
      <c r="AB31" s="40" t="s">
        <v>80</v>
      </c>
      <c r="AC31" s="40" t="s">
        <v>81</v>
      </c>
      <c r="AD31" s="40" t="s">
        <v>80</v>
      </c>
      <c r="AE31" s="40" t="s">
        <v>80</v>
      </c>
      <c r="AF31" s="40" t="s">
        <v>80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s="40" t="s">
        <v>80</v>
      </c>
      <c r="AM31" s="40" t="s">
        <v>80</v>
      </c>
      <c r="AN31" s="40" t="s">
        <v>80</v>
      </c>
      <c r="AO31" s="24">
        <f t="shared" si="0"/>
        <v>8</v>
      </c>
    </row>
    <row r="32" spans="2:1023" ht="15.75">
      <c r="B32" s="46" t="s">
        <v>74</v>
      </c>
      <c r="C32" s="47" t="s">
        <v>182</v>
      </c>
      <c r="D32" s="34" t="s">
        <v>183</v>
      </c>
      <c r="E32" s="46" t="s">
        <v>179</v>
      </c>
      <c r="F32" s="34" t="s">
        <v>184</v>
      </c>
      <c r="G32" s="35" t="s">
        <v>185</v>
      </c>
      <c r="H32" s="36">
        <v>1</v>
      </c>
      <c r="I32" s="18">
        <v>2</v>
      </c>
      <c r="J32" s="36">
        <v>1</v>
      </c>
      <c r="K32" s="36">
        <v>1</v>
      </c>
      <c r="L32" s="37">
        <v>1</v>
      </c>
      <c r="M32" s="38">
        <v>1</v>
      </c>
      <c r="N32" s="39">
        <v>1</v>
      </c>
      <c r="O32" s="36" t="s">
        <v>80</v>
      </c>
      <c r="P32" s="36" t="s">
        <v>80</v>
      </c>
      <c r="Q32" s="36" t="s">
        <v>80</v>
      </c>
      <c r="R32" s="36" t="s">
        <v>80</v>
      </c>
      <c r="S32" s="36" t="s">
        <v>80</v>
      </c>
      <c r="T32" s="36" t="s">
        <v>80</v>
      </c>
      <c r="U32" s="36" t="s">
        <v>80</v>
      </c>
      <c r="V32" s="36" t="s">
        <v>80</v>
      </c>
      <c r="W32" s="36" t="s">
        <v>80</v>
      </c>
      <c r="X32" s="40" t="s">
        <v>80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81</v>
      </c>
      <c r="AD32" s="40" t="s">
        <v>80</v>
      </c>
      <c r="AE32" s="40" t="s">
        <v>80</v>
      </c>
      <c r="AF32" s="40" t="s">
        <v>80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s="40" t="s">
        <v>80</v>
      </c>
      <c r="AM32" s="40" t="s">
        <v>80</v>
      </c>
      <c r="AN32" s="40" t="s">
        <v>80</v>
      </c>
      <c r="AO32" s="30">
        <f t="shared" si="0"/>
        <v>8</v>
      </c>
    </row>
    <row r="33" spans="3:29" s="4" customFormat="1" ht="105">
      <c r="C33" s="6"/>
      <c r="D33" s="49"/>
      <c r="E33" s="49"/>
      <c r="F33" s="3"/>
      <c r="J33" s="50"/>
      <c r="M33" s="51" t="s">
        <v>186</v>
      </c>
      <c r="R33" s="51" t="s">
        <v>187</v>
      </c>
      <c r="S33" s="51" t="s">
        <v>188</v>
      </c>
      <c r="T33" s="52" t="s">
        <v>189</v>
      </c>
      <c r="U33" s="51" t="s">
        <v>190</v>
      </c>
      <c r="AC33" s="51" t="s">
        <v>191</v>
      </c>
    </row>
    <row r="34" spans="3:29" s="4" customFormat="1" ht="165">
      <c r="C34" s="6"/>
      <c r="D34" s="49"/>
      <c r="E34" s="49"/>
      <c r="F34" s="3"/>
      <c r="M34" s="51"/>
      <c r="U34" s="51" t="s">
        <v>192</v>
      </c>
    </row>
  </sheetData>
  <pageMargins left="0.70833333333333304" right="0.70833333333333304" top="1.1416666666666699" bottom="1.1416666666666699" header="0.511811023622047" footer="0.511811023622047"/>
  <pageSetup paperSize="9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084F-F402-4EF2-AFBB-E6DDA2AF0866}">
  <sheetPr>
    <tabColor theme="7" tint="0.59999389629810485"/>
  </sheetPr>
  <dimension ref="A2:AMI37"/>
  <sheetViews>
    <sheetView showGridLines="0" tabSelected="1" zoomScale="70" zoomScaleNormal="70" workbookViewId="0">
      <pane xSplit="6" topLeftCell="L16" activePane="topRight" state="frozen"/>
      <selection pane="topRight" activeCell="L7" sqref="L7"/>
    </sheetView>
  </sheetViews>
  <sheetFormatPr defaultColWidth="9.42578125" defaultRowHeight="15" outlineLevelCol="2"/>
  <cols>
    <col min="1" max="1" width="3.42578125" style="4" customWidth="1"/>
    <col min="2" max="2" width="16" style="4" bestFit="1" customWidth="1"/>
    <col min="3" max="3" width="15.5703125" style="6" customWidth="1"/>
    <col min="4" max="4" width="41.28515625" style="49" customWidth="1"/>
    <col min="5" max="5" width="59.28515625" style="49" hidden="1" customWidth="1" outlineLevel="2"/>
    <col min="6" max="6" width="45.5703125" style="3" customWidth="1" outlineLevel="1" collapsed="1"/>
    <col min="7" max="7" width="33.7109375" style="4" customWidth="1" outlineLevel="1"/>
    <col min="8" max="12" width="17.140625" style="4" customWidth="1"/>
    <col min="13" max="13" width="17.28515625" style="5" customWidth="1"/>
    <col min="14" max="14" width="13.7109375" style="4" customWidth="1"/>
    <col min="15" max="15" width="15" style="4" customWidth="1"/>
    <col min="16" max="16" width="16.5703125" style="4" customWidth="1"/>
    <col min="17" max="17" width="15.28515625" style="4" customWidth="1"/>
    <col min="18" max="18" width="15.42578125" style="4" customWidth="1"/>
    <col min="19" max="19" width="15.7109375" style="4" customWidth="1"/>
    <col min="20" max="21" width="14.5703125" style="4" customWidth="1"/>
    <col min="22" max="22" width="14.7109375" style="4" customWidth="1"/>
    <col min="23" max="23" width="13.7109375" style="4" customWidth="1"/>
    <col min="24" max="25" width="13.28515625" style="4" customWidth="1"/>
    <col min="26" max="26" width="13.42578125" style="4" customWidth="1"/>
    <col min="27" max="31" width="11.85546875" style="4" customWidth="1"/>
    <col min="32" max="32" width="13" style="4" customWidth="1"/>
    <col min="33" max="36" width="11.85546875" style="4" customWidth="1"/>
    <col min="37" max="37" width="13.140625" style="4" customWidth="1"/>
    <col min="38" max="41" width="11.85546875" style="4" customWidth="1"/>
    <col min="42" max="1022" width="9.42578125" style="4"/>
  </cols>
  <sheetData>
    <row r="2" spans="2:1023" ht="21">
      <c r="B2" s="1" t="s">
        <v>0</v>
      </c>
      <c r="C2" s="2"/>
      <c r="D2" s="3"/>
      <c r="E2" s="3"/>
      <c r="F2" s="4"/>
    </row>
    <row r="3" spans="2:1023" ht="65.25" customHeight="1">
      <c r="D3" s="7"/>
      <c r="E3" s="7"/>
      <c r="F3" s="8"/>
      <c r="H3" s="9" t="s">
        <v>1</v>
      </c>
      <c r="I3" s="9" t="s">
        <v>2</v>
      </c>
      <c r="J3" s="9" t="s">
        <v>3</v>
      </c>
      <c r="K3" s="9" t="s">
        <v>4</v>
      </c>
      <c r="L3" s="9" t="s">
        <v>193</v>
      </c>
      <c r="M3" s="10" t="s">
        <v>6</v>
      </c>
      <c r="N3" s="9" t="s">
        <v>7</v>
      </c>
      <c r="O3" s="9" t="s">
        <v>8</v>
      </c>
      <c r="P3" s="9" t="s">
        <v>9</v>
      </c>
      <c r="Q3" s="9" t="s">
        <v>10</v>
      </c>
      <c r="R3" s="9" t="s">
        <v>11</v>
      </c>
      <c r="S3" s="9" t="s">
        <v>12</v>
      </c>
      <c r="T3" s="9" t="s">
        <v>13</v>
      </c>
      <c r="U3" s="9" t="s">
        <v>14</v>
      </c>
      <c r="V3" s="9" t="s">
        <v>15</v>
      </c>
      <c r="W3" s="9" t="s">
        <v>16</v>
      </c>
      <c r="X3" s="9" t="s">
        <v>17</v>
      </c>
      <c r="Y3" s="9" t="s">
        <v>18</v>
      </c>
      <c r="Z3" s="9" t="s">
        <v>19</v>
      </c>
      <c r="AA3" s="9" t="s">
        <v>20</v>
      </c>
      <c r="AB3" s="9" t="s">
        <v>21</v>
      </c>
      <c r="AC3" s="9" t="s">
        <v>22</v>
      </c>
      <c r="AD3" s="9" t="s">
        <v>23</v>
      </c>
      <c r="AE3" s="9" t="s">
        <v>24</v>
      </c>
      <c r="AF3" s="9" t="s">
        <v>25</v>
      </c>
      <c r="AG3" s="9" t="s">
        <v>26</v>
      </c>
      <c r="AH3" s="9" t="s">
        <v>27</v>
      </c>
      <c r="AI3" s="9" t="s">
        <v>28</v>
      </c>
      <c r="AJ3" s="9" t="s">
        <v>29</v>
      </c>
      <c r="AK3" s="9" t="s">
        <v>30</v>
      </c>
      <c r="AL3" s="9" t="s">
        <v>31</v>
      </c>
      <c r="AM3" s="9" t="s">
        <v>32</v>
      </c>
      <c r="AN3" s="9" t="s">
        <v>33</v>
      </c>
      <c r="AO3" s="6"/>
    </row>
    <row r="4" spans="2:1023" ht="30.75"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2" t="s">
        <v>46</v>
      </c>
      <c r="O4" s="12" t="s">
        <v>47</v>
      </c>
      <c r="P4" s="12" t="s">
        <v>48</v>
      </c>
      <c r="Q4" s="12" t="s">
        <v>49</v>
      </c>
      <c r="R4" s="12" t="s">
        <v>50</v>
      </c>
      <c r="S4" s="12" t="s">
        <v>51</v>
      </c>
      <c r="T4" s="12" t="s">
        <v>52</v>
      </c>
      <c r="U4" s="12" t="s">
        <v>53</v>
      </c>
      <c r="V4" s="12" t="s">
        <v>54</v>
      </c>
      <c r="W4" s="12" t="s">
        <v>55</v>
      </c>
      <c r="X4" s="12" t="s">
        <v>56</v>
      </c>
      <c r="Y4" s="12" t="s">
        <v>57</v>
      </c>
      <c r="Z4" s="12" t="s">
        <v>58</v>
      </c>
      <c r="AA4" s="12" t="s">
        <v>59</v>
      </c>
      <c r="AB4" s="12" t="s">
        <v>60</v>
      </c>
      <c r="AC4" s="12" t="s">
        <v>61</v>
      </c>
      <c r="AD4" s="12" t="s">
        <v>62</v>
      </c>
      <c r="AE4" s="12" t="s">
        <v>63</v>
      </c>
      <c r="AF4" s="12" t="s">
        <v>64</v>
      </c>
      <c r="AG4" s="12" t="s">
        <v>65</v>
      </c>
      <c r="AH4" s="12" t="s">
        <v>66</v>
      </c>
      <c r="AI4" s="12" t="s">
        <v>67</v>
      </c>
      <c r="AJ4" s="12" t="s">
        <v>68</v>
      </c>
      <c r="AK4" s="12" t="s">
        <v>69</v>
      </c>
      <c r="AL4" s="12" t="s">
        <v>70</v>
      </c>
      <c r="AM4" s="12" t="s">
        <v>71</v>
      </c>
      <c r="AN4" s="12" t="s">
        <v>72</v>
      </c>
      <c r="AO4" s="13" t="s">
        <v>73</v>
      </c>
    </row>
    <row r="5" spans="2:1023" s="25" customFormat="1" ht="40.5">
      <c r="B5" s="14" t="s">
        <v>74</v>
      </c>
      <c r="C5" s="15" t="s">
        <v>75</v>
      </c>
      <c r="D5" s="14" t="s">
        <v>194</v>
      </c>
      <c r="E5" s="14" t="s">
        <v>77</v>
      </c>
      <c r="F5" s="14" t="s">
        <v>78</v>
      </c>
      <c r="G5" s="15" t="s">
        <v>79</v>
      </c>
      <c r="H5" s="16">
        <v>2</v>
      </c>
      <c r="I5" s="17">
        <v>4</v>
      </c>
      <c r="J5" s="18">
        <v>0</v>
      </c>
      <c r="K5" s="18">
        <v>4</v>
      </c>
      <c r="L5" s="19">
        <v>1</v>
      </c>
      <c r="M5" s="16" t="s">
        <v>80</v>
      </c>
      <c r="N5" s="20">
        <v>1</v>
      </c>
      <c r="O5" s="18">
        <v>3</v>
      </c>
      <c r="P5" s="21" t="s">
        <v>80</v>
      </c>
      <c r="Q5" s="22" t="s">
        <v>80</v>
      </c>
      <c r="R5" s="22" t="s">
        <v>80</v>
      </c>
      <c r="S5" s="22" t="s">
        <v>80</v>
      </c>
      <c r="T5" s="22" t="s">
        <v>80</v>
      </c>
      <c r="U5" s="22" t="s">
        <v>80</v>
      </c>
      <c r="V5" s="21" t="s">
        <v>80</v>
      </c>
      <c r="W5" s="21">
        <v>1</v>
      </c>
      <c r="X5" s="22" t="s">
        <v>80</v>
      </c>
      <c r="Y5" s="18">
        <v>0</v>
      </c>
      <c r="Z5" s="21" t="s">
        <v>80</v>
      </c>
      <c r="AA5" s="21" t="s">
        <v>80</v>
      </c>
      <c r="AB5" s="21" t="s">
        <v>81</v>
      </c>
      <c r="AC5" s="23" t="s">
        <v>82</v>
      </c>
      <c r="AD5" s="22" t="s">
        <v>80</v>
      </c>
      <c r="AE5" s="22" t="s">
        <v>80</v>
      </c>
      <c r="AF5" s="22" t="s">
        <v>80</v>
      </c>
      <c r="AG5" s="22" t="s">
        <v>80</v>
      </c>
      <c r="AH5" s="22" t="s">
        <v>80</v>
      </c>
      <c r="AI5" s="22" t="s">
        <v>80</v>
      </c>
      <c r="AJ5" s="22" t="s">
        <v>80</v>
      </c>
      <c r="AK5" s="22" t="s">
        <v>80</v>
      </c>
      <c r="AL5" s="22" t="s">
        <v>80</v>
      </c>
      <c r="AM5" s="22" t="s">
        <v>80</v>
      </c>
      <c r="AN5" s="22" t="s">
        <v>80</v>
      </c>
      <c r="AO5" s="24">
        <f t="shared" ref="AO5:AO35" si="0">SUM(H5:AN5)</f>
        <v>16</v>
      </c>
      <c r="AMI5"/>
    </row>
    <row r="6" spans="2:1023" s="25" customFormat="1" ht="16.5">
      <c r="B6" s="14" t="s">
        <v>74</v>
      </c>
      <c r="C6" s="15" t="s">
        <v>83</v>
      </c>
      <c r="D6" s="14" t="s">
        <v>194</v>
      </c>
      <c r="E6" s="14" t="s">
        <v>77</v>
      </c>
      <c r="F6" s="14" t="s">
        <v>84</v>
      </c>
      <c r="G6" s="15" t="s">
        <v>79</v>
      </c>
      <c r="H6" s="16" t="s">
        <v>80</v>
      </c>
      <c r="I6" s="18">
        <v>0</v>
      </c>
      <c r="J6" s="18">
        <v>2</v>
      </c>
      <c r="K6" s="18">
        <v>0</v>
      </c>
      <c r="L6" s="19" t="s">
        <v>80</v>
      </c>
      <c r="M6" s="16" t="s">
        <v>80</v>
      </c>
      <c r="N6" s="27" t="s">
        <v>80</v>
      </c>
      <c r="O6" s="21" t="s">
        <v>80</v>
      </c>
      <c r="P6" s="21" t="s">
        <v>80</v>
      </c>
      <c r="Q6" s="22" t="s">
        <v>80</v>
      </c>
      <c r="R6" s="22" t="s">
        <v>80</v>
      </c>
      <c r="S6" s="22" t="s">
        <v>80</v>
      </c>
      <c r="T6" s="22" t="s">
        <v>80</v>
      </c>
      <c r="U6" s="22" t="s">
        <v>80</v>
      </c>
      <c r="V6" s="21" t="s">
        <v>80</v>
      </c>
      <c r="W6" s="21" t="s">
        <v>80</v>
      </c>
      <c r="X6" s="22" t="s">
        <v>80</v>
      </c>
      <c r="Y6" s="21" t="s">
        <v>80</v>
      </c>
      <c r="Z6" s="21" t="s">
        <v>80</v>
      </c>
      <c r="AA6" s="21" t="s">
        <v>80</v>
      </c>
      <c r="AB6" s="21" t="s">
        <v>80</v>
      </c>
      <c r="AC6" s="22" t="s">
        <v>80</v>
      </c>
      <c r="AD6" s="22" t="s">
        <v>80</v>
      </c>
      <c r="AE6" s="22" t="s">
        <v>80</v>
      </c>
      <c r="AF6" s="22" t="s">
        <v>80</v>
      </c>
      <c r="AG6" s="22" t="s">
        <v>80</v>
      </c>
      <c r="AH6" s="22" t="s">
        <v>80</v>
      </c>
      <c r="AI6" s="22" t="s">
        <v>80</v>
      </c>
      <c r="AJ6" s="22" t="s">
        <v>80</v>
      </c>
      <c r="AK6" s="22" t="s">
        <v>80</v>
      </c>
      <c r="AL6" s="22" t="s">
        <v>80</v>
      </c>
      <c r="AM6" s="22" t="s">
        <v>80</v>
      </c>
      <c r="AN6" s="22" t="s">
        <v>80</v>
      </c>
      <c r="AO6" s="24">
        <f t="shared" si="0"/>
        <v>2</v>
      </c>
      <c r="AMI6"/>
    </row>
    <row r="7" spans="2:1023" s="25" customFormat="1" ht="16.5">
      <c r="B7" s="14" t="s">
        <v>74</v>
      </c>
      <c r="C7" s="15" t="s">
        <v>85</v>
      </c>
      <c r="D7" s="14" t="s">
        <v>195</v>
      </c>
      <c r="E7" s="14" t="s">
        <v>77</v>
      </c>
      <c r="F7" s="14" t="s">
        <v>87</v>
      </c>
      <c r="G7" s="15" t="s">
        <v>88</v>
      </c>
      <c r="H7" s="16">
        <v>1</v>
      </c>
      <c r="I7" s="16">
        <v>2</v>
      </c>
      <c r="J7" s="16">
        <v>1</v>
      </c>
      <c r="K7" s="16">
        <v>1</v>
      </c>
      <c r="L7" s="28" t="s">
        <v>80</v>
      </c>
      <c r="M7" s="16">
        <v>1</v>
      </c>
      <c r="N7" s="29">
        <v>1</v>
      </c>
      <c r="O7" s="16">
        <v>1</v>
      </c>
      <c r="P7" s="16" t="s">
        <v>80</v>
      </c>
      <c r="Q7" s="16" t="s">
        <v>80</v>
      </c>
      <c r="R7" s="21" t="s">
        <v>80</v>
      </c>
      <c r="S7" s="21" t="s">
        <v>80</v>
      </c>
      <c r="T7" s="21" t="s">
        <v>80</v>
      </c>
      <c r="U7" s="18">
        <v>1</v>
      </c>
      <c r="V7" s="21">
        <v>1</v>
      </c>
      <c r="W7" s="18">
        <v>0</v>
      </c>
      <c r="X7" s="22" t="s">
        <v>80</v>
      </c>
      <c r="Y7" s="21" t="s">
        <v>81</v>
      </c>
      <c r="Z7" s="21" t="s">
        <v>80</v>
      </c>
      <c r="AA7" s="21" t="s">
        <v>80</v>
      </c>
      <c r="AB7" s="21" t="s">
        <v>81</v>
      </c>
      <c r="AC7" s="21">
        <v>1</v>
      </c>
      <c r="AD7" s="22" t="s">
        <v>80</v>
      </c>
      <c r="AE7" s="22" t="s">
        <v>80</v>
      </c>
      <c r="AF7" s="22" t="s">
        <v>80</v>
      </c>
      <c r="AG7" s="22" t="s">
        <v>80</v>
      </c>
      <c r="AH7" s="22" t="s">
        <v>80</v>
      </c>
      <c r="AI7" s="22" t="s">
        <v>80</v>
      </c>
      <c r="AJ7" s="22" t="s">
        <v>80</v>
      </c>
      <c r="AK7" s="22" t="s">
        <v>80</v>
      </c>
      <c r="AL7" s="22" t="s">
        <v>80</v>
      </c>
      <c r="AM7" s="22" t="s">
        <v>80</v>
      </c>
      <c r="AN7" s="22" t="s">
        <v>80</v>
      </c>
      <c r="AO7" s="24">
        <f t="shared" si="0"/>
        <v>11</v>
      </c>
      <c r="AMI7"/>
    </row>
    <row r="8" spans="2:1023" s="25" customFormat="1" ht="30.75">
      <c r="B8" s="14" t="s">
        <v>74</v>
      </c>
      <c r="C8" s="15" t="s">
        <v>89</v>
      </c>
      <c r="D8" s="14" t="s">
        <v>196</v>
      </c>
      <c r="E8" s="14" t="s">
        <v>77</v>
      </c>
      <c r="F8" s="14" t="s">
        <v>91</v>
      </c>
      <c r="G8" s="15" t="s">
        <v>92</v>
      </c>
      <c r="H8" s="21">
        <v>4075</v>
      </c>
      <c r="I8" s="16">
        <v>2967</v>
      </c>
      <c r="J8" s="16">
        <v>5958</v>
      </c>
      <c r="K8" s="16">
        <v>4088</v>
      </c>
      <c r="L8" s="28">
        <v>523</v>
      </c>
      <c r="M8" s="16">
        <v>4650</v>
      </c>
      <c r="N8" s="29">
        <v>295</v>
      </c>
      <c r="O8" s="16">
        <v>446</v>
      </c>
      <c r="P8" s="16">
        <v>106</v>
      </c>
      <c r="Q8" s="16">
        <v>82</v>
      </c>
      <c r="R8" s="21" t="s">
        <v>80</v>
      </c>
      <c r="S8" s="21">
        <v>1831</v>
      </c>
      <c r="T8" s="21" t="s">
        <v>80</v>
      </c>
      <c r="U8" s="18">
        <v>1095</v>
      </c>
      <c r="V8" s="21">
        <v>564</v>
      </c>
      <c r="W8" s="21">
        <v>311</v>
      </c>
      <c r="X8" s="22" t="s">
        <v>80</v>
      </c>
      <c r="Y8" s="21">
        <v>109</v>
      </c>
      <c r="Z8" s="21">
        <v>641</v>
      </c>
      <c r="AA8" s="21">
        <v>5508</v>
      </c>
      <c r="AB8" s="21">
        <v>184</v>
      </c>
      <c r="AC8" s="21">
        <v>405</v>
      </c>
      <c r="AD8" s="21">
        <v>303</v>
      </c>
      <c r="AE8" s="22" t="s">
        <v>80</v>
      </c>
      <c r="AF8" s="22" t="s">
        <v>80</v>
      </c>
      <c r="AG8" s="22" t="s">
        <v>80</v>
      </c>
      <c r="AH8" s="22" t="s">
        <v>80</v>
      </c>
      <c r="AI8" s="22" t="s">
        <v>80</v>
      </c>
      <c r="AJ8" s="22" t="s">
        <v>80</v>
      </c>
      <c r="AK8" s="22" t="s">
        <v>80</v>
      </c>
      <c r="AL8" s="22" t="s">
        <v>80</v>
      </c>
      <c r="AM8" s="22" t="s">
        <v>80</v>
      </c>
      <c r="AN8" s="22" t="s">
        <v>80</v>
      </c>
      <c r="AO8" s="24">
        <f t="shared" si="0"/>
        <v>34141</v>
      </c>
      <c r="AMI8"/>
    </row>
    <row r="9" spans="2:1023" s="25" customFormat="1" ht="16.5">
      <c r="B9" s="14" t="s">
        <v>74</v>
      </c>
      <c r="C9" s="15" t="s">
        <v>93</v>
      </c>
      <c r="D9" s="14" t="s">
        <v>197</v>
      </c>
      <c r="E9" s="14" t="s">
        <v>77</v>
      </c>
      <c r="F9" s="14" t="s">
        <v>95</v>
      </c>
      <c r="G9" s="15" t="s">
        <v>96</v>
      </c>
      <c r="H9" s="16" t="s">
        <v>80</v>
      </c>
      <c r="I9" s="16" t="s">
        <v>80</v>
      </c>
      <c r="J9" s="16" t="s">
        <v>80</v>
      </c>
      <c r="K9" s="21">
        <v>10</v>
      </c>
      <c r="L9" s="19" t="s">
        <v>80</v>
      </c>
      <c r="M9" s="16" t="s">
        <v>80</v>
      </c>
      <c r="N9" s="29" t="s">
        <v>80</v>
      </c>
      <c r="O9" s="16" t="s">
        <v>80</v>
      </c>
      <c r="P9" s="16" t="s">
        <v>80</v>
      </c>
      <c r="Q9" s="16" t="s">
        <v>80</v>
      </c>
      <c r="R9" s="21" t="s">
        <v>80</v>
      </c>
      <c r="S9" s="21" t="s">
        <v>80</v>
      </c>
      <c r="T9" s="21" t="s">
        <v>80</v>
      </c>
      <c r="U9" s="18">
        <v>53</v>
      </c>
      <c r="V9" s="21" t="s">
        <v>81</v>
      </c>
      <c r="W9" s="21" t="s">
        <v>81</v>
      </c>
      <c r="X9" s="22" t="s">
        <v>81</v>
      </c>
      <c r="Y9" s="21" t="s">
        <v>81</v>
      </c>
      <c r="Z9" s="21" t="s">
        <v>81</v>
      </c>
      <c r="AA9" s="21" t="s">
        <v>81</v>
      </c>
      <c r="AB9" s="21" t="s">
        <v>81</v>
      </c>
      <c r="AC9" s="22" t="s">
        <v>81</v>
      </c>
      <c r="AD9" s="22" t="s">
        <v>81</v>
      </c>
      <c r="AE9" s="22" t="s">
        <v>80</v>
      </c>
      <c r="AF9" s="22" t="s">
        <v>80</v>
      </c>
      <c r="AG9" s="22" t="s">
        <v>80</v>
      </c>
      <c r="AH9" s="22" t="s">
        <v>80</v>
      </c>
      <c r="AI9" s="22" t="s">
        <v>80</v>
      </c>
      <c r="AJ9" s="22" t="s">
        <v>80</v>
      </c>
      <c r="AK9" s="22" t="s">
        <v>81</v>
      </c>
      <c r="AL9" s="22" t="s">
        <v>81</v>
      </c>
      <c r="AM9" s="22" t="s">
        <v>81</v>
      </c>
      <c r="AN9" s="22" t="s">
        <v>81</v>
      </c>
      <c r="AO9" s="24">
        <f t="shared" si="0"/>
        <v>63</v>
      </c>
      <c r="AMI9"/>
    </row>
    <row r="10" spans="2:1023" s="25" customFormat="1" ht="16.5">
      <c r="B10" s="31" t="s">
        <v>74</v>
      </c>
      <c r="C10" s="32" t="s">
        <v>97</v>
      </c>
      <c r="D10" s="31" t="s">
        <v>198</v>
      </c>
      <c r="E10" s="31" t="s">
        <v>77</v>
      </c>
      <c r="F10" s="31" t="s">
        <v>99</v>
      </c>
      <c r="G10" s="32" t="s">
        <v>100</v>
      </c>
      <c r="H10" s="21">
        <v>4</v>
      </c>
      <c r="I10" s="21" t="s">
        <v>80</v>
      </c>
      <c r="J10" s="21">
        <v>11</v>
      </c>
      <c r="K10" s="21">
        <v>5</v>
      </c>
      <c r="L10" s="19">
        <v>6</v>
      </c>
      <c r="M10" s="16"/>
      <c r="N10" s="27" t="s">
        <v>80</v>
      </c>
      <c r="O10" s="18">
        <v>1</v>
      </c>
      <c r="P10" s="21">
        <v>4</v>
      </c>
      <c r="Q10" s="21">
        <v>2</v>
      </c>
      <c r="R10" s="21" t="s">
        <v>80</v>
      </c>
      <c r="S10" s="21">
        <v>26</v>
      </c>
      <c r="T10" s="21" t="s">
        <v>80</v>
      </c>
      <c r="U10" s="22" t="s">
        <v>80</v>
      </c>
      <c r="V10" s="21" t="s">
        <v>81</v>
      </c>
      <c r="W10" s="21" t="s">
        <v>81</v>
      </c>
      <c r="X10" s="22" t="s">
        <v>80</v>
      </c>
      <c r="Y10" s="21" t="s">
        <v>81</v>
      </c>
      <c r="Z10" s="21" t="s">
        <v>80</v>
      </c>
      <c r="AA10" s="21" t="s">
        <v>81</v>
      </c>
      <c r="AB10" s="21" t="s">
        <v>81</v>
      </c>
      <c r="AC10" s="22" t="s">
        <v>80</v>
      </c>
      <c r="AD10" s="22" t="s">
        <v>80</v>
      </c>
      <c r="AE10" s="22" t="s">
        <v>80</v>
      </c>
      <c r="AF10" s="22" t="s">
        <v>80</v>
      </c>
      <c r="AG10" s="22" t="s">
        <v>80</v>
      </c>
      <c r="AH10" s="22" t="s">
        <v>80</v>
      </c>
      <c r="AI10" s="22" t="s">
        <v>80</v>
      </c>
      <c r="AJ10" s="22" t="s">
        <v>80</v>
      </c>
      <c r="AK10" s="22" t="s">
        <v>80</v>
      </c>
      <c r="AL10" s="22" t="s">
        <v>80</v>
      </c>
      <c r="AM10" s="22" t="s">
        <v>80</v>
      </c>
      <c r="AN10" s="22" t="s">
        <v>80</v>
      </c>
      <c r="AO10" s="24">
        <f t="shared" si="0"/>
        <v>59</v>
      </c>
      <c r="AMI10"/>
    </row>
    <row r="11" spans="2:1023" s="25" customFormat="1" ht="16.5">
      <c r="B11" s="14" t="s">
        <v>74</v>
      </c>
      <c r="C11" s="15" t="s">
        <v>101</v>
      </c>
      <c r="D11" s="14" t="s">
        <v>199</v>
      </c>
      <c r="E11" s="14" t="s">
        <v>77</v>
      </c>
      <c r="F11" s="14" t="s">
        <v>103</v>
      </c>
      <c r="G11" s="15" t="s">
        <v>104</v>
      </c>
      <c r="H11" s="16">
        <v>1</v>
      </c>
      <c r="I11" s="16">
        <v>2</v>
      </c>
      <c r="J11" s="16">
        <v>1</v>
      </c>
      <c r="K11" s="16">
        <v>3</v>
      </c>
      <c r="L11" s="28" t="s">
        <v>80</v>
      </c>
      <c r="M11" s="16">
        <v>2</v>
      </c>
      <c r="N11" s="29">
        <v>1</v>
      </c>
      <c r="O11" s="16">
        <v>1</v>
      </c>
      <c r="P11" s="16" t="s">
        <v>80</v>
      </c>
      <c r="Q11" s="16" t="s">
        <v>80</v>
      </c>
      <c r="R11" s="21" t="s">
        <v>80</v>
      </c>
      <c r="S11" s="21" t="s">
        <v>80</v>
      </c>
      <c r="T11" s="21" t="s">
        <v>80</v>
      </c>
      <c r="U11" s="18">
        <v>1</v>
      </c>
      <c r="V11" s="21" t="s">
        <v>81</v>
      </c>
      <c r="W11" s="21" t="s">
        <v>81</v>
      </c>
      <c r="X11" s="22" t="s">
        <v>80</v>
      </c>
      <c r="Y11" s="21" t="s">
        <v>81</v>
      </c>
      <c r="Z11" s="21" t="s">
        <v>80</v>
      </c>
      <c r="AA11" s="21" t="s">
        <v>80</v>
      </c>
      <c r="AB11" s="21" t="s">
        <v>81</v>
      </c>
      <c r="AC11" s="21">
        <v>1</v>
      </c>
      <c r="AD11" s="22" t="s">
        <v>80</v>
      </c>
      <c r="AE11" s="22" t="s">
        <v>80</v>
      </c>
      <c r="AF11" s="22" t="s">
        <v>80</v>
      </c>
      <c r="AG11" s="22" t="s">
        <v>80</v>
      </c>
      <c r="AH11" s="22" t="s">
        <v>80</v>
      </c>
      <c r="AI11" s="22" t="s">
        <v>80</v>
      </c>
      <c r="AJ11" s="22" t="s">
        <v>80</v>
      </c>
      <c r="AK11" s="22" t="s">
        <v>80</v>
      </c>
      <c r="AL11" s="22" t="s">
        <v>80</v>
      </c>
      <c r="AM11" s="22" t="s">
        <v>80</v>
      </c>
      <c r="AN11" s="22" t="s">
        <v>80</v>
      </c>
      <c r="AO11" s="24">
        <f t="shared" si="0"/>
        <v>13</v>
      </c>
      <c r="AMI11"/>
    </row>
    <row r="12" spans="2:1023" s="25" customFormat="1" ht="30.75">
      <c r="B12" s="14" t="s">
        <v>74</v>
      </c>
      <c r="C12" s="15" t="s">
        <v>105</v>
      </c>
      <c r="D12" s="14" t="s">
        <v>200</v>
      </c>
      <c r="E12" s="14" t="s">
        <v>77</v>
      </c>
      <c r="F12" s="14" t="s">
        <v>107</v>
      </c>
      <c r="G12" s="15" t="s">
        <v>108</v>
      </c>
      <c r="H12" s="21">
        <v>3715</v>
      </c>
      <c r="I12" s="21">
        <v>2412</v>
      </c>
      <c r="J12" s="16">
        <v>2410</v>
      </c>
      <c r="K12" s="16">
        <v>3312</v>
      </c>
      <c r="L12" s="28" t="s">
        <v>80</v>
      </c>
      <c r="M12" s="16">
        <v>4650</v>
      </c>
      <c r="N12" s="29">
        <v>295</v>
      </c>
      <c r="O12" s="16">
        <v>446</v>
      </c>
      <c r="P12" s="16" t="s">
        <v>80</v>
      </c>
      <c r="Q12" s="16" t="s">
        <v>80</v>
      </c>
      <c r="R12" s="21" t="s">
        <v>80</v>
      </c>
      <c r="S12" s="21" t="s">
        <v>80</v>
      </c>
      <c r="T12" s="21" t="s">
        <v>80</v>
      </c>
      <c r="U12" s="22" t="s">
        <v>80</v>
      </c>
      <c r="V12" s="21">
        <v>564</v>
      </c>
      <c r="W12" s="21">
        <v>311</v>
      </c>
      <c r="X12" s="22" t="s">
        <v>80</v>
      </c>
      <c r="Y12" s="21">
        <v>109</v>
      </c>
      <c r="Z12" s="21">
        <v>641</v>
      </c>
      <c r="AA12" s="21" t="s">
        <v>80</v>
      </c>
      <c r="AB12" s="21">
        <v>184</v>
      </c>
      <c r="AC12" s="21">
        <v>405</v>
      </c>
      <c r="AD12" s="21">
        <v>303</v>
      </c>
      <c r="AE12" s="22" t="s">
        <v>80</v>
      </c>
      <c r="AF12" s="22" t="s">
        <v>80</v>
      </c>
      <c r="AG12" s="22" t="s">
        <v>80</v>
      </c>
      <c r="AH12" s="22" t="s">
        <v>80</v>
      </c>
      <c r="AI12" s="22" t="s">
        <v>80</v>
      </c>
      <c r="AJ12" s="22" t="s">
        <v>80</v>
      </c>
      <c r="AK12" s="22" t="s">
        <v>80</v>
      </c>
      <c r="AL12" s="22" t="s">
        <v>80</v>
      </c>
      <c r="AM12" s="22" t="s">
        <v>80</v>
      </c>
      <c r="AN12" s="22" t="s">
        <v>80</v>
      </c>
      <c r="AO12" s="30">
        <f t="shared" si="0"/>
        <v>19757</v>
      </c>
      <c r="AMI12"/>
    </row>
    <row r="13" spans="2:1023" ht="15.75">
      <c r="B13" s="34" t="s">
        <v>74</v>
      </c>
      <c r="C13" s="35" t="s">
        <v>109</v>
      </c>
      <c r="D13" s="34" t="s">
        <v>110</v>
      </c>
      <c r="E13" s="34" t="s">
        <v>111</v>
      </c>
      <c r="F13" s="34" t="s">
        <v>112</v>
      </c>
      <c r="G13" s="35" t="s">
        <v>92</v>
      </c>
      <c r="H13" s="36">
        <v>4075</v>
      </c>
      <c r="I13" s="36">
        <v>2967</v>
      </c>
      <c r="J13" s="36">
        <v>5958</v>
      </c>
      <c r="K13" s="36">
        <v>4088</v>
      </c>
      <c r="L13" s="37">
        <v>523</v>
      </c>
      <c r="M13" s="38">
        <v>4650</v>
      </c>
      <c r="N13" s="39">
        <v>295</v>
      </c>
      <c r="O13" s="36">
        <v>446</v>
      </c>
      <c r="P13" s="36">
        <v>106</v>
      </c>
      <c r="Q13" s="36">
        <v>82</v>
      </c>
      <c r="R13" s="36">
        <v>575</v>
      </c>
      <c r="S13" s="36">
        <v>1831</v>
      </c>
      <c r="T13" s="36">
        <v>4854.6400000000003</v>
      </c>
      <c r="U13" s="63">
        <v>1095</v>
      </c>
      <c r="V13" s="36">
        <v>564</v>
      </c>
      <c r="W13" s="36">
        <v>311</v>
      </c>
      <c r="X13" s="36">
        <v>1154</v>
      </c>
      <c r="Y13" s="36">
        <v>109</v>
      </c>
      <c r="Z13" s="36">
        <v>641</v>
      </c>
      <c r="AA13" s="36">
        <v>5508</v>
      </c>
      <c r="AB13" s="36">
        <v>184</v>
      </c>
      <c r="AC13" s="36">
        <v>405</v>
      </c>
      <c r="AD13" s="36">
        <v>303</v>
      </c>
      <c r="AE13" s="36">
        <v>638</v>
      </c>
      <c r="AF13" s="36">
        <v>861</v>
      </c>
      <c r="AG13" s="36">
        <v>275</v>
      </c>
      <c r="AH13" s="36">
        <v>677</v>
      </c>
      <c r="AI13" s="36">
        <v>276</v>
      </c>
      <c r="AJ13" s="36">
        <v>437</v>
      </c>
      <c r="AK13" s="36">
        <v>601</v>
      </c>
      <c r="AL13" s="36">
        <v>370</v>
      </c>
      <c r="AM13" s="36">
        <v>395</v>
      </c>
      <c r="AN13" s="36">
        <v>1398</v>
      </c>
      <c r="AO13" s="24">
        <f t="shared" si="0"/>
        <v>46652.639999999999</v>
      </c>
    </row>
    <row r="14" spans="2:1023" ht="16.5">
      <c r="B14" s="34" t="s">
        <v>74</v>
      </c>
      <c r="C14" s="35" t="s">
        <v>113</v>
      </c>
      <c r="D14" s="34" t="s">
        <v>114</v>
      </c>
      <c r="E14" s="34" t="s">
        <v>111</v>
      </c>
      <c r="F14" s="34" t="s">
        <v>115</v>
      </c>
      <c r="G14" s="35" t="s">
        <v>116</v>
      </c>
      <c r="H14" s="36" t="s">
        <v>80</v>
      </c>
      <c r="I14" s="36" t="s">
        <v>80</v>
      </c>
      <c r="J14" s="36" t="s">
        <v>80</v>
      </c>
      <c r="K14" s="36">
        <v>1</v>
      </c>
      <c r="L14" s="37" t="s">
        <v>80</v>
      </c>
      <c r="M14" s="38" t="s">
        <v>80</v>
      </c>
      <c r="N14" s="39" t="s">
        <v>80</v>
      </c>
      <c r="O14" s="36" t="s">
        <v>80</v>
      </c>
      <c r="P14" s="36" t="s">
        <v>80</v>
      </c>
      <c r="Q14" s="36" t="s">
        <v>80</v>
      </c>
      <c r="R14" s="36" t="s">
        <v>80</v>
      </c>
      <c r="S14" s="36" t="s">
        <v>81</v>
      </c>
      <c r="T14" s="36" t="s">
        <v>80</v>
      </c>
      <c r="U14" s="22" t="s">
        <v>80</v>
      </c>
      <c r="V14" s="36" t="s">
        <v>80</v>
      </c>
      <c r="W14" s="36" t="s">
        <v>80</v>
      </c>
      <c r="X14" s="36" t="s">
        <v>80</v>
      </c>
      <c r="Y14" s="36" t="s">
        <v>80</v>
      </c>
      <c r="Z14" s="36" t="s">
        <v>80</v>
      </c>
      <c r="AA14" s="36" t="s">
        <v>80</v>
      </c>
      <c r="AB14" s="36" t="s">
        <v>80</v>
      </c>
      <c r="AC14" s="40" t="s">
        <v>80</v>
      </c>
      <c r="AD14" s="40" t="s">
        <v>80</v>
      </c>
      <c r="AE14" s="40" t="s">
        <v>80</v>
      </c>
      <c r="AF14" s="40" t="s">
        <v>80</v>
      </c>
      <c r="AG14" s="36" t="s">
        <v>80</v>
      </c>
      <c r="AH14" s="36" t="s">
        <v>80</v>
      </c>
      <c r="AI14" s="36" t="s">
        <v>80</v>
      </c>
      <c r="AJ14" s="36" t="s">
        <v>80</v>
      </c>
      <c r="AK14" s="36" t="s">
        <v>80</v>
      </c>
      <c r="AL14" s="36" t="s">
        <v>80</v>
      </c>
      <c r="AM14" s="36" t="s">
        <v>80</v>
      </c>
      <c r="AN14" s="36" t="s">
        <v>80</v>
      </c>
      <c r="AO14" s="30">
        <f t="shared" si="0"/>
        <v>1</v>
      </c>
    </row>
    <row r="15" spans="2:1023" ht="16.5">
      <c r="B15" s="54" t="s">
        <v>74</v>
      </c>
      <c r="C15" s="62" t="s">
        <v>201</v>
      </c>
      <c r="D15" s="64" t="s">
        <v>202</v>
      </c>
      <c r="E15" s="64" t="s">
        <v>203</v>
      </c>
      <c r="F15" s="64" t="s">
        <v>204</v>
      </c>
      <c r="G15" s="65" t="s">
        <v>205</v>
      </c>
      <c r="H15" s="36" t="s">
        <v>80</v>
      </c>
      <c r="I15" s="36" t="s">
        <v>80</v>
      </c>
      <c r="J15" s="36" t="s">
        <v>80</v>
      </c>
      <c r="K15" s="36" t="s">
        <v>80</v>
      </c>
      <c r="L15" s="36" t="s">
        <v>80</v>
      </c>
      <c r="M15" s="17">
        <v>1</v>
      </c>
      <c r="N15" s="36" t="s">
        <v>80</v>
      </c>
      <c r="O15" s="36" t="s">
        <v>80</v>
      </c>
      <c r="P15" s="36" t="s">
        <v>80</v>
      </c>
      <c r="Q15" s="36" t="s">
        <v>80</v>
      </c>
      <c r="R15" s="36" t="s">
        <v>80</v>
      </c>
      <c r="S15" s="36" t="s">
        <v>80</v>
      </c>
      <c r="T15" s="36" t="s">
        <v>80</v>
      </c>
      <c r="U15" s="36" t="s">
        <v>80</v>
      </c>
      <c r="V15" s="36" t="s">
        <v>80</v>
      </c>
      <c r="W15" s="36" t="s">
        <v>80</v>
      </c>
      <c r="X15" s="36" t="s">
        <v>80</v>
      </c>
      <c r="Y15" s="36" t="s">
        <v>80</v>
      </c>
      <c r="Z15" s="36" t="s">
        <v>80</v>
      </c>
      <c r="AA15" s="36" t="s">
        <v>80</v>
      </c>
      <c r="AB15" s="36" t="s">
        <v>80</v>
      </c>
      <c r="AC15" s="36" t="s">
        <v>80</v>
      </c>
      <c r="AD15" s="36" t="s">
        <v>80</v>
      </c>
      <c r="AE15" s="36" t="s">
        <v>80</v>
      </c>
      <c r="AF15" s="36" t="s">
        <v>80</v>
      </c>
      <c r="AG15" s="36" t="s">
        <v>80</v>
      </c>
      <c r="AH15" s="36" t="s">
        <v>80</v>
      </c>
      <c r="AI15" s="36" t="s">
        <v>80</v>
      </c>
      <c r="AJ15" s="36" t="s">
        <v>80</v>
      </c>
      <c r="AK15" s="36" t="s">
        <v>80</v>
      </c>
      <c r="AL15" s="36" t="s">
        <v>80</v>
      </c>
      <c r="AM15" s="36" t="s">
        <v>80</v>
      </c>
      <c r="AN15" s="36" t="s">
        <v>80</v>
      </c>
      <c r="AO15" s="24">
        <f t="shared" si="0"/>
        <v>1</v>
      </c>
    </row>
    <row r="16" spans="2:1023" ht="16.5">
      <c r="B16" s="34" t="s">
        <v>74</v>
      </c>
      <c r="C16" s="35" t="s">
        <v>117</v>
      </c>
      <c r="D16" s="34" t="s">
        <v>206</v>
      </c>
      <c r="E16" s="34" t="s">
        <v>111</v>
      </c>
      <c r="F16" s="34" t="s">
        <v>119</v>
      </c>
      <c r="G16" s="35" t="s">
        <v>120</v>
      </c>
      <c r="H16" s="36">
        <v>43</v>
      </c>
      <c r="I16" s="36">
        <v>23</v>
      </c>
      <c r="J16" s="36">
        <v>32</v>
      </c>
      <c r="K16" s="36">
        <v>22</v>
      </c>
      <c r="L16" s="37">
        <v>8</v>
      </c>
      <c r="M16" s="38">
        <v>34</v>
      </c>
      <c r="N16" s="39" t="s">
        <v>80</v>
      </c>
      <c r="O16" s="36" t="s">
        <v>80</v>
      </c>
      <c r="P16" s="36">
        <v>2</v>
      </c>
      <c r="Q16" s="36">
        <v>1</v>
      </c>
      <c r="R16" s="36" t="s">
        <v>80</v>
      </c>
      <c r="S16" s="36">
        <v>5</v>
      </c>
      <c r="T16" s="36" t="s">
        <v>80</v>
      </c>
      <c r="U16" s="18">
        <v>10</v>
      </c>
      <c r="V16" s="36">
        <v>9</v>
      </c>
      <c r="W16" s="36">
        <v>4</v>
      </c>
      <c r="X16" s="36">
        <v>11</v>
      </c>
      <c r="Y16" s="36">
        <v>3</v>
      </c>
      <c r="Z16" s="36">
        <v>4</v>
      </c>
      <c r="AA16" s="36" t="s">
        <v>81</v>
      </c>
      <c r="AB16" s="36" t="s">
        <v>80</v>
      </c>
      <c r="AC16" s="40" t="s">
        <v>80</v>
      </c>
      <c r="AD16" s="40" t="s">
        <v>80</v>
      </c>
      <c r="AE16" s="40" t="s">
        <v>80</v>
      </c>
      <c r="AF16" s="36">
        <v>2</v>
      </c>
      <c r="AG16" s="36" t="s">
        <v>80</v>
      </c>
      <c r="AH16" s="36">
        <v>1</v>
      </c>
      <c r="AI16" s="36" t="s">
        <v>80</v>
      </c>
      <c r="AJ16" s="36" t="s">
        <v>80</v>
      </c>
      <c r="AK16" s="36" t="s">
        <v>80</v>
      </c>
      <c r="AL16" s="36" t="s">
        <v>80</v>
      </c>
      <c r="AM16" s="36" t="s">
        <v>80</v>
      </c>
      <c r="AN16" s="36" t="s">
        <v>80</v>
      </c>
      <c r="AO16" s="24">
        <f t="shared" si="0"/>
        <v>214</v>
      </c>
    </row>
    <row r="17" spans="2:1023" ht="30.75">
      <c r="B17" s="34" t="s">
        <v>74</v>
      </c>
      <c r="C17" s="35" t="s">
        <v>121</v>
      </c>
      <c r="D17" s="34" t="s">
        <v>207</v>
      </c>
      <c r="E17" s="34" t="s">
        <v>111</v>
      </c>
      <c r="F17" s="34" t="s">
        <v>122</v>
      </c>
      <c r="G17" s="35" t="s">
        <v>92</v>
      </c>
      <c r="H17" s="36">
        <v>4075</v>
      </c>
      <c r="I17" s="36">
        <v>2967</v>
      </c>
      <c r="J17" s="36">
        <v>5958</v>
      </c>
      <c r="K17" s="36">
        <v>4088</v>
      </c>
      <c r="L17" s="37">
        <v>523</v>
      </c>
      <c r="M17" s="38">
        <v>4650</v>
      </c>
      <c r="N17" s="39">
        <v>295</v>
      </c>
      <c r="O17" s="36">
        <v>446</v>
      </c>
      <c r="P17" s="36">
        <v>106</v>
      </c>
      <c r="Q17" s="36">
        <v>82</v>
      </c>
      <c r="R17" s="36" t="s">
        <v>80</v>
      </c>
      <c r="S17" s="36">
        <v>1831</v>
      </c>
      <c r="T17" s="36" t="s">
        <v>80</v>
      </c>
      <c r="U17" s="63">
        <v>1095</v>
      </c>
      <c r="V17" s="36">
        <v>564</v>
      </c>
      <c r="W17" s="36">
        <v>311</v>
      </c>
      <c r="X17" s="36">
        <v>1154</v>
      </c>
      <c r="Y17" s="36">
        <v>109</v>
      </c>
      <c r="Z17" s="36">
        <v>641</v>
      </c>
      <c r="AA17" s="36">
        <v>5508</v>
      </c>
      <c r="AB17" s="36">
        <v>184</v>
      </c>
      <c r="AC17" s="36">
        <v>405</v>
      </c>
      <c r="AD17" s="36">
        <v>303</v>
      </c>
      <c r="AE17" s="36">
        <v>638</v>
      </c>
      <c r="AF17" s="36">
        <v>861</v>
      </c>
      <c r="AG17" s="36">
        <v>275</v>
      </c>
      <c r="AH17" s="36">
        <v>677</v>
      </c>
      <c r="AI17" s="36">
        <v>276</v>
      </c>
      <c r="AJ17" s="36">
        <v>437</v>
      </c>
      <c r="AK17" s="36">
        <v>601</v>
      </c>
      <c r="AL17" s="36">
        <v>370</v>
      </c>
      <c r="AM17" s="36">
        <v>395</v>
      </c>
      <c r="AN17" s="36">
        <v>1398</v>
      </c>
      <c r="AO17" s="30">
        <f t="shared" si="0"/>
        <v>41223</v>
      </c>
    </row>
    <row r="18" spans="2:1023" s="25" customFormat="1" ht="16.5">
      <c r="B18" s="31" t="s">
        <v>74</v>
      </c>
      <c r="C18" s="32" t="s">
        <v>123</v>
      </c>
      <c r="D18" s="31" t="s">
        <v>124</v>
      </c>
      <c r="E18" s="31" t="s">
        <v>125</v>
      </c>
      <c r="F18" s="31" t="s">
        <v>126</v>
      </c>
      <c r="G18" s="32" t="s">
        <v>127</v>
      </c>
      <c r="H18" s="21">
        <v>1</v>
      </c>
      <c r="I18" s="21" t="s">
        <v>80</v>
      </c>
      <c r="J18" s="21">
        <v>1</v>
      </c>
      <c r="K18" s="21">
        <v>1</v>
      </c>
      <c r="L18" s="19" t="s">
        <v>80</v>
      </c>
      <c r="M18" s="16" t="s">
        <v>80</v>
      </c>
      <c r="N18" s="27" t="s">
        <v>80</v>
      </c>
      <c r="O18" s="21" t="s">
        <v>80</v>
      </c>
      <c r="P18" s="21" t="s">
        <v>80</v>
      </c>
      <c r="Q18" s="21" t="s">
        <v>80</v>
      </c>
      <c r="R18" s="21" t="s">
        <v>80</v>
      </c>
      <c r="S18" s="21" t="s">
        <v>80</v>
      </c>
      <c r="T18" s="36" t="s">
        <v>80</v>
      </c>
      <c r="U18" s="22" t="s">
        <v>81</v>
      </c>
      <c r="V18" s="21" t="s">
        <v>80</v>
      </c>
      <c r="W18" s="21" t="s">
        <v>80</v>
      </c>
      <c r="X18" s="21" t="s">
        <v>80</v>
      </c>
      <c r="Y18" s="21" t="s">
        <v>80</v>
      </c>
      <c r="Z18" s="21" t="s">
        <v>80</v>
      </c>
      <c r="AA18" s="21" t="s">
        <v>81</v>
      </c>
      <c r="AB18" s="21" t="s">
        <v>80</v>
      </c>
      <c r="AC18" s="22" t="s">
        <v>80</v>
      </c>
      <c r="AD18" s="22" t="s">
        <v>80</v>
      </c>
      <c r="AE18" s="22" t="s">
        <v>80</v>
      </c>
      <c r="AF18" s="41" t="s">
        <v>80</v>
      </c>
      <c r="AG18" s="21" t="s">
        <v>80</v>
      </c>
      <c r="AH18" s="21" t="s">
        <v>80</v>
      </c>
      <c r="AI18" s="21" t="s">
        <v>80</v>
      </c>
      <c r="AJ18" s="21" t="s">
        <v>80</v>
      </c>
      <c r="AK18" s="21" t="s">
        <v>80</v>
      </c>
      <c r="AL18" s="21" t="s">
        <v>80</v>
      </c>
      <c r="AM18" s="21" t="s">
        <v>80</v>
      </c>
      <c r="AN18" s="21" t="s">
        <v>80</v>
      </c>
      <c r="AO18" s="30">
        <f t="shared" si="0"/>
        <v>3</v>
      </c>
      <c r="AMI18"/>
    </row>
    <row r="19" spans="2:1023" s="25" customFormat="1" ht="16.5">
      <c r="B19" s="31" t="s">
        <v>74</v>
      </c>
      <c r="C19" s="32" t="s">
        <v>128</v>
      </c>
      <c r="D19" s="31" t="s">
        <v>129</v>
      </c>
      <c r="E19" s="31" t="s">
        <v>125</v>
      </c>
      <c r="F19" s="31" t="s">
        <v>130</v>
      </c>
      <c r="G19" s="32" t="s">
        <v>131</v>
      </c>
      <c r="H19" s="21">
        <v>1</v>
      </c>
      <c r="I19" s="18">
        <v>1</v>
      </c>
      <c r="J19" s="18">
        <v>1</v>
      </c>
      <c r="K19" s="18">
        <v>2</v>
      </c>
      <c r="L19" s="19" t="s">
        <v>80</v>
      </c>
      <c r="M19" s="16" t="s">
        <v>80</v>
      </c>
      <c r="N19" s="20">
        <v>1</v>
      </c>
      <c r="O19" s="21" t="s">
        <v>80</v>
      </c>
      <c r="P19" s="21" t="s">
        <v>80</v>
      </c>
      <c r="Q19" s="21" t="s">
        <v>80</v>
      </c>
      <c r="R19" s="21" t="s">
        <v>80</v>
      </c>
      <c r="S19" s="21" t="s">
        <v>80</v>
      </c>
      <c r="T19" s="36" t="s">
        <v>80</v>
      </c>
      <c r="U19" s="18">
        <v>1</v>
      </c>
      <c r="V19" s="21" t="s">
        <v>81</v>
      </c>
      <c r="W19" s="21" t="s">
        <v>81</v>
      </c>
      <c r="X19" s="21" t="s">
        <v>80</v>
      </c>
      <c r="Y19" s="21" t="s">
        <v>81</v>
      </c>
      <c r="Z19" s="21" t="s">
        <v>81</v>
      </c>
      <c r="AA19" s="21" t="s">
        <v>81</v>
      </c>
      <c r="AB19" s="21" t="s">
        <v>81</v>
      </c>
      <c r="AC19" s="22" t="s">
        <v>80</v>
      </c>
      <c r="AD19" s="22" t="s">
        <v>80</v>
      </c>
      <c r="AE19" s="22" t="s">
        <v>80</v>
      </c>
      <c r="AF19" s="22" t="s">
        <v>80</v>
      </c>
      <c r="AG19" s="21" t="s">
        <v>80</v>
      </c>
      <c r="AH19" s="21" t="s">
        <v>80</v>
      </c>
      <c r="AI19" s="21" t="s">
        <v>80</v>
      </c>
      <c r="AJ19" s="21" t="s">
        <v>80</v>
      </c>
      <c r="AK19" s="21" t="s">
        <v>80</v>
      </c>
      <c r="AL19" s="21" t="s">
        <v>80</v>
      </c>
      <c r="AM19" s="21" t="s">
        <v>80</v>
      </c>
      <c r="AN19" s="21" t="s">
        <v>80</v>
      </c>
      <c r="AO19" s="24">
        <f t="shared" si="0"/>
        <v>7</v>
      </c>
      <c r="AMI19"/>
    </row>
    <row r="20" spans="2:1023" s="25" customFormat="1" ht="16.5">
      <c r="B20" s="31" t="s">
        <v>74</v>
      </c>
      <c r="C20" s="32" t="s">
        <v>132</v>
      </c>
      <c r="D20" s="31" t="s">
        <v>133</v>
      </c>
      <c r="E20" s="31" t="s">
        <v>125</v>
      </c>
      <c r="F20" s="31" t="s">
        <v>134</v>
      </c>
      <c r="G20" s="32" t="s">
        <v>92</v>
      </c>
      <c r="H20" s="21">
        <v>4075</v>
      </c>
      <c r="I20" s="21">
        <v>2967</v>
      </c>
      <c r="J20" s="21">
        <v>5958</v>
      </c>
      <c r="K20" s="21">
        <v>4088</v>
      </c>
      <c r="L20" s="19">
        <v>523</v>
      </c>
      <c r="M20" s="16">
        <v>4650</v>
      </c>
      <c r="N20" s="27">
        <v>295</v>
      </c>
      <c r="O20" s="21">
        <v>446</v>
      </c>
      <c r="P20" s="21">
        <v>106</v>
      </c>
      <c r="Q20" s="21">
        <v>82</v>
      </c>
      <c r="R20" s="21" t="s">
        <v>80</v>
      </c>
      <c r="S20" s="21">
        <v>1831</v>
      </c>
      <c r="T20" s="36" t="s">
        <v>80</v>
      </c>
      <c r="U20" s="18">
        <v>1095</v>
      </c>
      <c r="V20" s="21">
        <v>564</v>
      </c>
      <c r="W20" s="21">
        <v>311</v>
      </c>
      <c r="X20" s="21">
        <v>1154</v>
      </c>
      <c r="Y20" s="21">
        <v>109</v>
      </c>
      <c r="Z20" s="21">
        <v>590</v>
      </c>
      <c r="AA20" s="21">
        <v>5508</v>
      </c>
      <c r="AB20" s="21">
        <v>184</v>
      </c>
      <c r="AC20" s="21">
        <v>405</v>
      </c>
      <c r="AD20" s="21">
        <v>303</v>
      </c>
      <c r="AE20" s="21">
        <v>638</v>
      </c>
      <c r="AF20" s="21">
        <v>861</v>
      </c>
      <c r="AG20" s="21">
        <v>275</v>
      </c>
      <c r="AH20" s="21">
        <v>644</v>
      </c>
      <c r="AI20" s="21">
        <v>276</v>
      </c>
      <c r="AJ20" s="21">
        <v>437</v>
      </c>
      <c r="AK20" s="21">
        <v>601</v>
      </c>
      <c r="AL20" s="21">
        <v>370</v>
      </c>
      <c r="AM20" s="21">
        <v>395</v>
      </c>
      <c r="AN20" s="21">
        <v>1398</v>
      </c>
      <c r="AO20" s="24">
        <f t="shared" si="0"/>
        <v>41139</v>
      </c>
      <c r="AMI20"/>
    </row>
    <row r="21" spans="2:1023" s="25" customFormat="1" ht="30.75">
      <c r="B21" s="31" t="s">
        <v>74</v>
      </c>
      <c r="C21" s="32" t="s">
        <v>135</v>
      </c>
      <c r="D21" s="31" t="s">
        <v>136</v>
      </c>
      <c r="E21" s="31" t="s">
        <v>125</v>
      </c>
      <c r="F21" s="31" t="s">
        <v>137</v>
      </c>
      <c r="G21" s="32" t="s">
        <v>138</v>
      </c>
      <c r="H21" s="21">
        <v>1</v>
      </c>
      <c r="I21" s="21">
        <v>1</v>
      </c>
      <c r="J21" s="21">
        <v>1</v>
      </c>
      <c r="K21" s="21">
        <v>1</v>
      </c>
      <c r="L21" s="42">
        <v>1</v>
      </c>
      <c r="M21" s="16" t="s">
        <v>80</v>
      </c>
      <c r="N21" s="27" t="s">
        <v>80</v>
      </c>
      <c r="O21" s="21" t="s">
        <v>80</v>
      </c>
      <c r="P21" s="21" t="s">
        <v>80</v>
      </c>
      <c r="Q21" s="21" t="s">
        <v>80</v>
      </c>
      <c r="R21" s="21" t="s">
        <v>80</v>
      </c>
      <c r="S21" s="21" t="s">
        <v>80</v>
      </c>
      <c r="T21" s="36" t="s">
        <v>80</v>
      </c>
      <c r="U21" s="18">
        <v>1</v>
      </c>
      <c r="V21" s="21" t="s">
        <v>81</v>
      </c>
      <c r="W21" s="21" t="s">
        <v>80</v>
      </c>
      <c r="X21" s="21" t="s">
        <v>81</v>
      </c>
      <c r="Y21" s="21" t="s">
        <v>81</v>
      </c>
      <c r="Z21" s="21" t="s">
        <v>81</v>
      </c>
      <c r="AA21" s="21" t="s">
        <v>80</v>
      </c>
      <c r="AB21" s="21" t="s">
        <v>80</v>
      </c>
      <c r="AC21" s="22" t="s">
        <v>80</v>
      </c>
      <c r="AD21" s="22" t="s">
        <v>80</v>
      </c>
      <c r="AE21" s="22" t="s">
        <v>80</v>
      </c>
      <c r="AF21" s="22" t="s">
        <v>80</v>
      </c>
      <c r="AG21" s="22" t="s">
        <v>80</v>
      </c>
      <c r="AH21" s="22" t="s">
        <v>80</v>
      </c>
      <c r="AI21" s="22" t="s">
        <v>80</v>
      </c>
      <c r="AJ21" s="22" t="s">
        <v>80</v>
      </c>
      <c r="AK21" s="22" t="s">
        <v>80</v>
      </c>
      <c r="AL21" s="22" t="s">
        <v>80</v>
      </c>
      <c r="AM21" s="22" t="s">
        <v>80</v>
      </c>
      <c r="AN21" s="22" t="s">
        <v>80</v>
      </c>
      <c r="AO21" s="24">
        <f t="shared" si="0"/>
        <v>6</v>
      </c>
      <c r="AMI21"/>
    </row>
    <row r="22" spans="2:1023" s="25" customFormat="1" ht="16.5">
      <c r="B22" s="31" t="s">
        <v>74</v>
      </c>
      <c r="C22" s="32" t="s">
        <v>139</v>
      </c>
      <c r="D22" s="31" t="s">
        <v>140</v>
      </c>
      <c r="E22" s="31" t="s">
        <v>125</v>
      </c>
      <c r="F22" s="31" t="s">
        <v>141</v>
      </c>
      <c r="G22" s="32" t="s">
        <v>142</v>
      </c>
      <c r="H22" s="21">
        <v>3</v>
      </c>
      <c r="I22" s="21">
        <v>3</v>
      </c>
      <c r="J22" s="21">
        <v>3</v>
      </c>
      <c r="K22" s="21">
        <v>3</v>
      </c>
      <c r="L22" s="19">
        <v>3</v>
      </c>
      <c r="M22" s="16">
        <v>10</v>
      </c>
      <c r="N22" s="27">
        <v>3</v>
      </c>
      <c r="O22" s="21">
        <v>3</v>
      </c>
      <c r="P22" s="21">
        <v>3</v>
      </c>
      <c r="Q22" s="21">
        <v>3</v>
      </c>
      <c r="R22" s="21" t="s">
        <v>80</v>
      </c>
      <c r="S22" s="21">
        <v>2</v>
      </c>
      <c r="T22" s="21" t="s">
        <v>80</v>
      </c>
      <c r="U22" s="21">
        <v>2</v>
      </c>
      <c r="V22" s="21">
        <v>2</v>
      </c>
      <c r="W22" s="21">
        <v>2</v>
      </c>
      <c r="X22" s="21">
        <v>2</v>
      </c>
      <c r="Y22" s="21">
        <v>2</v>
      </c>
      <c r="Z22" s="21">
        <v>2</v>
      </c>
      <c r="AA22" s="21">
        <v>2</v>
      </c>
      <c r="AB22" s="21">
        <v>2</v>
      </c>
      <c r="AC22" s="21">
        <v>2</v>
      </c>
      <c r="AD22" s="21">
        <v>2</v>
      </c>
      <c r="AE22" s="21">
        <v>2</v>
      </c>
      <c r="AF22" s="21">
        <v>2</v>
      </c>
      <c r="AG22" s="21">
        <v>2</v>
      </c>
      <c r="AH22" s="21">
        <v>2</v>
      </c>
      <c r="AI22" s="21">
        <v>2</v>
      </c>
      <c r="AJ22" s="21">
        <v>2</v>
      </c>
      <c r="AK22" s="21">
        <v>2</v>
      </c>
      <c r="AL22" s="21">
        <v>2</v>
      </c>
      <c r="AM22" s="21">
        <v>2</v>
      </c>
      <c r="AN22" s="21">
        <v>2</v>
      </c>
      <c r="AO22" s="30">
        <f t="shared" si="0"/>
        <v>79</v>
      </c>
      <c r="AMI22"/>
    </row>
    <row r="23" spans="2:1023" ht="16.5">
      <c r="B23" s="34" t="s">
        <v>74</v>
      </c>
      <c r="C23" s="35" t="s">
        <v>143</v>
      </c>
      <c r="D23" s="34" t="s">
        <v>144</v>
      </c>
      <c r="E23" s="34" t="s">
        <v>145</v>
      </c>
      <c r="F23" s="34" t="s">
        <v>146</v>
      </c>
      <c r="G23" s="35" t="s">
        <v>147</v>
      </c>
      <c r="H23" s="36">
        <v>4075</v>
      </c>
      <c r="I23" s="36">
        <v>2967</v>
      </c>
      <c r="J23" s="36">
        <v>5958</v>
      </c>
      <c r="K23" s="36">
        <v>4088</v>
      </c>
      <c r="L23" s="37">
        <v>523</v>
      </c>
      <c r="M23" s="38">
        <v>4650</v>
      </c>
      <c r="N23" s="39">
        <v>295</v>
      </c>
      <c r="O23" s="36">
        <v>446</v>
      </c>
      <c r="P23" s="36" t="s">
        <v>80</v>
      </c>
      <c r="Q23" s="36" t="s">
        <v>80</v>
      </c>
      <c r="R23" s="36" t="s">
        <v>80</v>
      </c>
      <c r="S23" s="36">
        <v>1831</v>
      </c>
      <c r="T23" s="36">
        <v>4854.6400000000003</v>
      </c>
      <c r="U23" s="40" t="s">
        <v>80</v>
      </c>
      <c r="V23" s="36">
        <v>564</v>
      </c>
      <c r="W23" s="36">
        <v>311</v>
      </c>
      <c r="X23" s="36">
        <v>1154</v>
      </c>
      <c r="Y23" s="36">
        <v>109</v>
      </c>
      <c r="Z23" s="36">
        <v>641</v>
      </c>
      <c r="AA23" s="36">
        <v>5508</v>
      </c>
      <c r="AB23" s="36">
        <v>184</v>
      </c>
      <c r="AC23" s="36">
        <v>405</v>
      </c>
      <c r="AD23" s="36">
        <v>303</v>
      </c>
      <c r="AE23" s="40" t="s">
        <v>80</v>
      </c>
      <c r="AF23" s="40" t="s">
        <v>80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s="40" t="s">
        <v>80</v>
      </c>
      <c r="AM23" s="40" t="s">
        <v>80</v>
      </c>
      <c r="AN23" s="40" t="s">
        <v>80</v>
      </c>
      <c r="AO23" s="30">
        <f t="shared" si="0"/>
        <v>38866.639999999999</v>
      </c>
    </row>
    <row r="24" spans="2:1023" ht="33" customHeight="1">
      <c r="B24" s="34" t="s">
        <v>74</v>
      </c>
      <c r="C24" s="35" t="s">
        <v>148</v>
      </c>
      <c r="D24" s="34" t="s">
        <v>149</v>
      </c>
      <c r="E24" s="34" t="s">
        <v>145</v>
      </c>
      <c r="F24" s="34" t="s">
        <v>150</v>
      </c>
      <c r="G24" s="35" t="s">
        <v>147</v>
      </c>
      <c r="H24" s="36">
        <v>4055</v>
      </c>
      <c r="I24" s="36">
        <v>2882</v>
      </c>
      <c r="J24" s="36">
        <v>5580</v>
      </c>
      <c r="K24" s="36">
        <v>4068</v>
      </c>
      <c r="L24" s="37">
        <v>520</v>
      </c>
      <c r="M24" s="38">
        <v>4650</v>
      </c>
      <c r="N24" s="39">
        <v>295</v>
      </c>
      <c r="O24" s="36">
        <v>446</v>
      </c>
      <c r="P24" s="36">
        <v>106</v>
      </c>
      <c r="Q24" s="36">
        <v>82</v>
      </c>
      <c r="R24" s="36" t="s">
        <v>80</v>
      </c>
      <c r="S24" s="36">
        <v>1831</v>
      </c>
      <c r="T24" s="36">
        <v>4854.6400000000003</v>
      </c>
      <c r="U24" s="18">
        <v>1095</v>
      </c>
      <c r="V24" s="36">
        <v>564</v>
      </c>
      <c r="W24" s="36">
        <v>311</v>
      </c>
      <c r="X24" s="36">
        <v>1154</v>
      </c>
      <c r="Y24" s="36">
        <v>109</v>
      </c>
      <c r="Z24" s="36">
        <v>641</v>
      </c>
      <c r="AA24" s="36">
        <v>5508</v>
      </c>
      <c r="AB24" s="36">
        <v>184</v>
      </c>
      <c r="AC24" s="36">
        <v>405</v>
      </c>
      <c r="AD24" s="36">
        <v>303</v>
      </c>
      <c r="AE24" s="40" t="s">
        <v>80</v>
      </c>
      <c r="AF24" s="40" t="s">
        <v>80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s="40" t="s">
        <v>80</v>
      </c>
      <c r="AM24" s="40" t="s">
        <v>80</v>
      </c>
      <c r="AN24" s="40" t="s">
        <v>80</v>
      </c>
      <c r="AO24" s="24">
        <f t="shared" si="0"/>
        <v>39643.64</v>
      </c>
    </row>
    <row r="25" spans="2:1023" ht="30.75">
      <c r="B25" s="34" t="s">
        <v>74</v>
      </c>
      <c r="C25" s="35" t="s">
        <v>151</v>
      </c>
      <c r="D25" s="53" t="s">
        <v>152</v>
      </c>
      <c r="E25" s="53" t="s">
        <v>145</v>
      </c>
      <c r="F25" s="53" t="s">
        <v>153</v>
      </c>
      <c r="G25" s="35" t="s">
        <v>92</v>
      </c>
      <c r="H25" s="36">
        <v>1374</v>
      </c>
      <c r="I25" s="36">
        <v>1133</v>
      </c>
      <c r="J25" s="36">
        <v>1399</v>
      </c>
      <c r="K25" s="36">
        <v>1470</v>
      </c>
      <c r="L25" s="37">
        <v>158</v>
      </c>
      <c r="M25" s="38">
        <v>4650</v>
      </c>
      <c r="N25" s="43">
        <v>295</v>
      </c>
      <c r="O25" s="44">
        <v>446</v>
      </c>
      <c r="P25" s="36">
        <v>106</v>
      </c>
      <c r="Q25" s="36">
        <v>82</v>
      </c>
      <c r="R25" s="36" t="s">
        <v>80</v>
      </c>
      <c r="S25" s="36">
        <v>1831</v>
      </c>
      <c r="T25" s="36">
        <v>4854.6400000000003</v>
      </c>
      <c r="U25" s="18">
        <v>1095</v>
      </c>
      <c r="V25" s="36">
        <v>564</v>
      </c>
      <c r="W25" s="36">
        <v>311</v>
      </c>
      <c r="X25" s="36">
        <v>1154</v>
      </c>
      <c r="Y25" s="36">
        <v>109</v>
      </c>
      <c r="Z25" s="36">
        <v>641</v>
      </c>
      <c r="AA25" s="36">
        <v>5508</v>
      </c>
      <c r="AB25" s="36">
        <v>184</v>
      </c>
      <c r="AC25" s="36">
        <v>405</v>
      </c>
      <c r="AD25" s="36">
        <v>303</v>
      </c>
      <c r="AE25" s="40" t="s">
        <v>80</v>
      </c>
      <c r="AF25" s="40" t="s">
        <v>80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s="40" t="s">
        <v>80</v>
      </c>
      <c r="AM25" s="40" t="s">
        <v>80</v>
      </c>
      <c r="AN25" s="40" t="s">
        <v>80</v>
      </c>
      <c r="AO25" s="24">
        <f t="shared" si="0"/>
        <v>28072.639999999999</v>
      </c>
    </row>
    <row r="26" spans="2:1023" ht="16.5">
      <c r="B26" s="54" t="s">
        <v>74</v>
      </c>
      <c r="C26" s="55" t="s">
        <v>208</v>
      </c>
      <c r="D26" s="66" t="s">
        <v>209</v>
      </c>
      <c r="E26" s="56" t="s">
        <v>145</v>
      </c>
      <c r="F26" s="57" t="s">
        <v>210</v>
      </c>
      <c r="G26" s="58" t="s">
        <v>211</v>
      </c>
      <c r="H26" s="18">
        <v>90</v>
      </c>
      <c r="I26" s="18">
        <v>36</v>
      </c>
      <c r="J26" s="18">
        <v>59</v>
      </c>
      <c r="K26" s="18">
        <v>43</v>
      </c>
      <c r="L26" s="42">
        <v>2</v>
      </c>
      <c r="M26" s="18">
        <v>81</v>
      </c>
      <c r="N26" s="20">
        <v>4</v>
      </c>
      <c r="O26" s="40" t="s">
        <v>80</v>
      </c>
      <c r="P26" s="18">
        <v>7</v>
      </c>
      <c r="Q26" s="18">
        <v>3</v>
      </c>
      <c r="R26" s="40" t="s">
        <v>80</v>
      </c>
      <c r="S26" s="18">
        <v>6</v>
      </c>
      <c r="T26" s="40" t="s">
        <v>80</v>
      </c>
      <c r="U26" s="40" t="s">
        <v>80</v>
      </c>
      <c r="V26" s="18">
        <v>8</v>
      </c>
      <c r="W26" s="18">
        <v>3</v>
      </c>
      <c r="X26" s="18">
        <v>11</v>
      </c>
      <c r="Y26" s="18">
        <v>2</v>
      </c>
      <c r="Z26" s="18">
        <v>8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80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18">
        <v>4</v>
      </c>
      <c r="AL26" s="40" t="s">
        <v>80</v>
      </c>
      <c r="AM26" s="40" t="s">
        <v>80</v>
      </c>
      <c r="AN26" s="40" t="s">
        <v>80</v>
      </c>
      <c r="AO26" s="24">
        <f t="shared" si="0"/>
        <v>367</v>
      </c>
    </row>
    <row r="27" spans="2:1023" ht="16.5">
      <c r="B27" s="34" t="s">
        <v>74</v>
      </c>
      <c r="C27" s="35" t="s">
        <v>154</v>
      </c>
      <c r="D27" s="59" t="s">
        <v>155</v>
      </c>
      <c r="E27" s="59" t="s">
        <v>145</v>
      </c>
      <c r="F27" s="59" t="s">
        <v>156</v>
      </c>
      <c r="G27" s="35" t="s">
        <v>157</v>
      </c>
      <c r="H27" s="18">
        <v>54</v>
      </c>
      <c r="I27" s="18">
        <v>35</v>
      </c>
      <c r="J27" s="18">
        <v>65</v>
      </c>
      <c r="K27" s="18">
        <v>58</v>
      </c>
      <c r="L27" s="42">
        <v>7</v>
      </c>
      <c r="M27" s="45">
        <v>40</v>
      </c>
      <c r="N27" s="20">
        <v>3</v>
      </c>
      <c r="O27" s="18">
        <v>11</v>
      </c>
      <c r="P27" s="18">
        <v>2</v>
      </c>
      <c r="Q27" s="36">
        <v>1</v>
      </c>
      <c r="R27" s="36">
        <v>6</v>
      </c>
      <c r="S27" s="18">
        <v>6</v>
      </c>
      <c r="T27" s="18">
        <v>21</v>
      </c>
      <c r="U27" s="18">
        <v>23</v>
      </c>
      <c r="V27" s="18">
        <v>7</v>
      </c>
      <c r="W27" s="18">
        <v>4</v>
      </c>
      <c r="X27" s="18">
        <v>9</v>
      </c>
      <c r="Y27" s="36">
        <v>2</v>
      </c>
      <c r="Z27" s="18">
        <v>7</v>
      </c>
      <c r="AA27" s="36" t="s">
        <v>81</v>
      </c>
      <c r="AB27" s="36">
        <v>4</v>
      </c>
      <c r="AC27" s="36">
        <v>6</v>
      </c>
      <c r="AD27" s="36">
        <v>1</v>
      </c>
      <c r="AE27" s="40" t="s">
        <v>81</v>
      </c>
      <c r="AF27" s="40" t="s">
        <v>80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18">
        <v>12</v>
      </c>
      <c r="AL27" s="40" t="s">
        <v>80</v>
      </c>
      <c r="AM27" s="40" t="s">
        <v>80</v>
      </c>
      <c r="AN27" s="40" t="s">
        <v>80</v>
      </c>
      <c r="AO27" s="24">
        <f t="shared" si="0"/>
        <v>384</v>
      </c>
    </row>
    <row r="28" spans="2:1023" ht="16.5">
      <c r="B28" s="46" t="s">
        <v>74</v>
      </c>
      <c r="C28" s="47" t="s">
        <v>158</v>
      </c>
      <c r="D28" s="34" t="s">
        <v>159</v>
      </c>
      <c r="E28" s="46" t="s">
        <v>145</v>
      </c>
      <c r="F28" s="34" t="s">
        <v>160</v>
      </c>
      <c r="G28" s="35" t="s">
        <v>161</v>
      </c>
      <c r="H28" s="36" t="s">
        <v>80</v>
      </c>
      <c r="I28" s="36" t="s">
        <v>80</v>
      </c>
      <c r="J28" s="36" t="s">
        <v>80</v>
      </c>
      <c r="K28" s="36">
        <v>1</v>
      </c>
      <c r="L28" s="37" t="s">
        <v>80</v>
      </c>
      <c r="M28" s="38">
        <v>1</v>
      </c>
      <c r="N28" s="39" t="s">
        <v>80</v>
      </c>
      <c r="O28" s="36" t="s">
        <v>80</v>
      </c>
      <c r="P28" s="36" t="s">
        <v>80</v>
      </c>
      <c r="Q28" s="36" t="s">
        <v>80</v>
      </c>
      <c r="R28" s="36" t="s">
        <v>80</v>
      </c>
      <c r="S28" s="36" t="s">
        <v>80</v>
      </c>
      <c r="T28" s="36" t="s">
        <v>80</v>
      </c>
      <c r="U28" s="36" t="s">
        <v>81</v>
      </c>
      <c r="V28" s="36" t="s">
        <v>80</v>
      </c>
      <c r="W28" s="36" t="s">
        <v>80</v>
      </c>
      <c r="X28" s="40" t="s">
        <v>81</v>
      </c>
      <c r="Y28" s="36" t="s">
        <v>80</v>
      </c>
      <c r="Z28" s="36" t="s">
        <v>81</v>
      </c>
      <c r="AA28" s="36" t="s">
        <v>81</v>
      </c>
      <c r="AB28" s="36" t="s">
        <v>80</v>
      </c>
      <c r="AC28" s="40" t="s">
        <v>81</v>
      </c>
      <c r="AD28" s="40" t="s">
        <v>80</v>
      </c>
      <c r="AE28" s="40" t="s">
        <v>80</v>
      </c>
      <c r="AF28" s="40" t="s">
        <v>80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s="40" t="s">
        <v>80</v>
      </c>
      <c r="AM28" s="40" t="s">
        <v>80</v>
      </c>
      <c r="AN28" s="40" t="s">
        <v>80</v>
      </c>
      <c r="AO28" s="30">
        <f t="shared" si="0"/>
        <v>2</v>
      </c>
    </row>
    <row r="29" spans="2:1023" ht="16.5">
      <c r="B29" s="46" t="s">
        <v>74</v>
      </c>
      <c r="C29" s="47" t="s">
        <v>162</v>
      </c>
      <c r="D29" s="34" t="s">
        <v>163</v>
      </c>
      <c r="E29" s="46" t="s">
        <v>145</v>
      </c>
      <c r="F29" s="34" t="s">
        <v>164</v>
      </c>
      <c r="G29" s="35" t="s">
        <v>165</v>
      </c>
      <c r="H29" s="18">
        <v>21</v>
      </c>
      <c r="I29" s="18">
        <v>22</v>
      </c>
      <c r="J29" s="18">
        <v>18</v>
      </c>
      <c r="K29" s="18">
        <v>26</v>
      </c>
      <c r="L29" s="37">
        <v>0</v>
      </c>
      <c r="M29" s="45">
        <v>21</v>
      </c>
      <c r="N29" s="39" t="s">
        <v>80</v>
      </c>
      <c r="O29" s="36">
        <v>2</v>
      </c>
      <c r="P29" s="36" t="s">
        <v>80</v>
      </c>
      <c r="Q29" s="36" t="s">
        <v>80</v>
      </c>
      <c r="R29" s="36" t="s">
        <v>80</v>
      </c>
      <c r="S29" s="18">
        <v>1</v>
      </c>
      <c r="T29" s="36" t="s">
        <v>80</v>
      </c>
      <c r="U29" s="36" t="s">
        <v>81</v>
      </c>
      <c r="V29" s="36" t="s">
        <v>81</v>
      </c>
      <c r="W29" s="36" t="s">
        <v>80</v>
      </c>
      <c r="X29" s="18">
        <v>2</v>
      </c>
      <c r="Y29" s="36" t="s">
        <v>81</v>
      </c>
      <c r="Z29" s="36" t="s">
        <v>81</v>
      </c>
      <c r="AA29" s="36" t="s">
        <v>81</v>
      </c>
      <c r="AB29" s="36" t="s">
        <v>80</v>
      </c>
      <c r="AC29" s="18">
        <v>0</v>
      </c>
      <c r="AD29" s="36">
        <v>1</v>
      </c>
      <c r="AE29" s="40" t="s">
        <v>80</v>
      </c>
      <c r="AF29" s="40" t="s">
        <v>80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18">
        <v>3</v>
      </c>
      <c r="AL29" s="40" t="s">
        <v>80</v>
      </c>
      <c r="AM29" s="40" t="s">
        <v>80</v>
      </c>
      <c r="AN29" s="40" t="s">
        <v>80</v>
      </c>
      <c r="AO29" s="24">
        <f t="shared" si="0"/>
        <v>117</v>
      </c>
    </row>
    <row r="30" spans="2:1023" s="25" customFormat="1" ht="16.5">
      <c r="B30" s="14" t="s">
        <v>74</v>
      </c>
      <c r="C30" s="15" t="s">
        <v>166</v>
      </c>
      <c r="D30" s="31" t="s">
        <v>167</v>
      </c>
      <c r="E30" s="14" t="s">
        <v>168</v>
      </c>
      <c r="F30" s="31" t="s">
        <v>169</v>
      </c>
      <c r="G30" s="32" t="s">
        <v>170</v>
      </c>
      <c r="H30" s="21">
        <v>1</v>
      </c>
      <c r="I30" s="21">
        <v>2</v>
      </c>
      <c r="J30" s="21">
        <v>3</v>
      </c>
      <c r="K30" s="21" t="s">
        <v>80</v>
      </c>
      <c r="L30" s="19">
        <v>2</v>
      </c>
      <c r="M30" s="16"/>
      <c r="N30" s="27" t="s">
        <v>80</v>
      </c>
      <c r="O30" s="21" t="s">
        <v>80</v>
      </c>
      <c r="P30" s="21" t="s">
        <v>80</v>
      </c>
      <c r="Q30" s="21" t="s">
        <v>80</v>
      </c>
      <c r="R30" s="21" t="s">
        <v>80</v>
      </c>
      <c r="S30" s="21" t="s">
        <v>80</v>
      </c>
      <c r="T30" s="36" t="s">
        <v>80</v>
      </c>
      <c r="U30" s="18">
        <v>1</v>
      </c>
      <c r="V30" s="21" t="s">
        <v>80</v>
      </c>
      <c r="W30" s="21" t="s">
        <v>80</v>
      </c>
      <c r="X30" s="22" t="s">
        <v>80</v>
      </c>
      <c r="Y30" s="22" t="s">
        <v>80</v>
      </c>
      <c r="Z30" s="22" t="s">
        <v>80</v>
      </c>
      <c r="AA30" s="21" t="s">
        <v>80</v>
      </c>
      <c r="AB30" s="22" t="s">
        <v>80</v>
      </c>
      <c r="AC30" s="22" t="s">
        <v>80</v>
      </c>
      <c r="AD30" s="22" t="s">
        <v>80</v>
      </c>
      <c r="AE30" s="22" t="s">
        <v>80</v>
      </c>
      <c r="AF30" s="40" t="s">
        <v>80</v>
      </c>
      <c r="AG30" s="40" t="s">
        <v>80</v>
      </c>
      <c r="AH30" s="40" t="s">
        <v>80</v>
      </c>
      <c r="AI30" s="40" t="s">
        <v>80</v>
      </c>
      <c r="AJ30" s="22" t="s">
        <v>80</v>
      </c>
      <c r="AK30" s="40" t="s">
        <v>80</v>
      </c>
      <c r="AL30" s="40" t="s">
        <v>80</v>
      </c>
      <c r="AM30" s="40" t="s">
        <v>80</v>
      </c>
      <c r="AN30" s="40" t="s">
        <v>80</v>
      </c>
      <c r="AO30" s="30">
        <f t="shared" si="0"/>
        <v>9</v>
      </c>
      <c r="AMI30"/>
    </row>
    <row r="31" spans="2:1023" s="25" customFormat="1" ht="16.5">
      <c r="B31" s="14" t="s">
        <v>74</v>
      </c>
      <c r="C31" s="15" t="s">
        <v>171</v>
      </c>
      <c r="D31" s="31" t="s">
        <v>167</v>
      </c>
      <c r="E31" s="14" t="s">
        <v>168</v>
      </c>
      <c r="F31" s="31" t="s">
        <v>172</v>
      </c>
      <c r="G31" s="32" t="s">
        <v>170</v>
      </c>
      <c r="H31" s="21">
        <v>3</v>
      </c>
      <c r="I31" s="21" t="s">
        <v>80</v>
      </c>
      <c r="J31" s="21">
        <v>1</v>
      </c>
      <c r="K31" s="21">
        <v>2</v>
      </c>
      <c r="L31" s="19" t="s">
        <v>80</v>
      </c>
      <c r="M31" s="16">
        <v>3</v>
      </c>
      <c r="N31" s="27" t="s">
        <v>80</v>
      </c>
      <c r="O31" s="21" t="s">
        <v>80</v>
      </c>
      <c r="P31" s="21" t="s">
        <v>80</v>
      </c>
      <c r="Q31" s="21" t="s">
        <v>80</v>
      </c>
      <c r="R31" s="21" t="s">
        <v>80</v>
      </c>
      <c r="S31" s="21" t="s">
        <v>80</v>
      </c>
      <c r="T31" s="36" t="s">
        <v>80</v>
      </c>
      <c r="U31" s="36" t="s">
        <v>80</v>
      </c>
      <c r="V31" s="21" t="s">
        <v>80</v>
      </c>
      <c r="W31" s="21" t="s">
        <v>80</v>
      </c>
      <c r="X31" s="22" t="s">
        <v>80</v>
      </c>
      <c r="Y31" s="22" t="s">
        <v>80</v>
      </c>
      <c r="Z31" s="22" t="s">
        <v>80</v>
      </c>
      <c r="AA31" s="22" t="s">
        <v>80</v>
      </c>
      <c r="AB31" s="22" t="s">
        <v>80</v>
      </c>
      <c r="AC31" s="22" t="s">
        <v>80</v>
      </c>
      <c r="AD31" s="22" t="s">
        <v>80</v>
      </c>
      <c r="AE31" s="22" t="s">
        <v>80</v>
      </c>
      <c r="AF31" s="40" t="s">
        <v>80</v>
      </c>
      <c r="AG31" s="40" t="s">
        <v>80</v>
      </c>
      <c r="AH31" s="40" t="s">
        <v>80</v>
      </c>
      <c r="AI31" s="40" t="s">
        <v>80</v>
      </c>
      <c r="AJ31" s="22" t="s">
        <v>80</v>
      </c>
      <c r="AK31" s="40" t="s">
        <v>80</v>
      </c>
      <c r="AL31" s="40" t="s">
        <v>80</v>
      </c>
      <c r="AM31" s="40" t="s">
        <v>80</v>
      </c>
      <c r="AN31" s="40" t="s">
        <v>80</v>
      </c>
      <c r="AO31" s="30">
        <f t="shared" si="0"/>
        <v>9</v>
      </c>
      <c r="AMI31"/>
    </row>
    <row r="32" spans="2:1023" s="25" customFormat="1" ht="16.5">
      <c r="B32" s="14" t="s">
        <v>74</v>
      </c>
      <c r="C32" s="15" t="s">
        <v>173</v>
      </c>
      <c r="D32" s="31" t="s">
        <v>174</v>
      </c>
      <c r="E32" s="14" t="s">
        <v>168</v>
      </c>
      <c r="F32" s="31" t="s">
        <v>175</v>
      </c>
      <c r="G32" s="32" t="s">
        <v>176</v>
      </c>
      <c r="H32" s="21" t="s">
        <v>80</v>
      </c>
      <c r="I32" s="21">
        <v>1</v>
      </c>
      <c r="J32" s="21" t="s">
        <v>80</v>
      </c>
      <c r="K32" s="21" t="s">
        <v>80</v>
      </c>
      <c r="L32" s="19" t="s">
        <v>80</v>
      </c>
      <c r="M32" s="16" t="s">
        <v>80</v>
      </c>
      <c r="N32" s="27" t="s">
        <v>80</v>
      </c>
      <c r="O32" s="21" t="s">
        <v>80</v>
      </c>
      <c r="P32" s="21" t="s">
        <v>80</v>
      </c>
      <c r="Q32" s="21" t="s">
        <v>80</v>
      </c>
      <c r="R32" s="21" t="s">
        <v>80</v>
      </c>
      <c r="S32" s="21" t="s">
        <v>80</v>
      </c>
      <c r="T32" s="36" t="s">
        <v>80</v>
      </c>
      <c r="U32" s="36" t="s">
        <v>80</v>
      </c>
      <c r="V32" s="21" t="s">
        <v>80</v>
      </c>
      <c r="W32" s="21" t="s">
        <v>80</v>
      </c>
      <c r="X32" s="22" t="s">
        <v>80</v>
      </c>
      <c r="Y32" s="22" t="s">
        <v>80</v>
      </c>
      <c r="Z32" s="22" t="s">
        <v>80</v>
      </c>
      <c r="AA32" s="22" t="s">
        <v>80</v>
      </c>
      <c r="AB32" s="22" t="s">
        <v>80</v>
      </c>
      <c r="AC32" s="22" t="s">
        <v>80</v>
      </c>
      <c r="AD32" s="22" t="s">
        <v>80</v>
      </c>
      <c r="AE32" s="22" t="s">
        <v>80</v>
      </c>
      <c r="AF32" s="40" t="s">
        <v>80</v>
      </c>
      <c r="AG32" s="40" t="s">
        <v>80</v>
      </c>
      <c r="AH32" s="40" t="s">
        <v>80</v>
      </c>
      <c r="AI32" s="40" t="s">
        <v>80</v>
      </c>
      <c r="AJ32" s="22" t="s">
        <v>80</v>
      </c>
      <c r="AK32" s="40" t="s">
        <v>80</v>
      </c>
      <c r="AL32" s="40" t="s">
        <v>80</v>
      </c>
      <c r="AM32" s="40" t="s">
        <v>80</v>
      </c>
      <c r="AN32" s="40" t="s">
        <v>80</v>
      </c>
      <c r="AO32" s="30">
        <f t="shared" si="0"/>
        <v>1</v>
      </c>
      <c r="AMI32"/>
    </row>
    <row r="33" spans="2:41" ht="38.25" customHeight="1">
      <c r="B33" s="46" t="s">
        <v>74</v>
      </c>
      <c r="C33" s="47" t="s">
        <v>177</v>
      </c>
      <c r="D33" s="34" t="s">
        <v>212</v>
      </c>
      <c r="E33" s="46" t="s">
        <v>179</v>
      </c>
      <c r="F33" s="34" t="s">
        <v>180</v>
      </c>
      <c r="G33" s="35" t="s">
        <v>181</v>
      </c>
      <c r="H33" s="36">
        <v>1</v>
      </c>
      <c r="I33" s="36">
        <v>1</v>
      </c>
      <c r="J33" s="36" t="s">
        <v>80</v>
      </c>
      <c r="K33" s="36">
        <v>2</v>
      </c>
      <c r="L33" s="48">
        <v>1</v>
      </c>
      <c r="M33" s="38">
        <v>2</v>
      </c>
      <c r="N33" s="39" t="s">
        <v>80</v>
      </c>
      <c r="O33" s="36">
        <v>1</v>
      </c>
      <c r="P33" s="36" t="s">
        <v>80</v>
      </c>
      <c r="Q33" s="36" t="s">
        <v>80</v>
      </c>
      <c r="R33" s="36" t="s">
        <v>80</v>
      </c>
      <c r="S33" s="36" t="s">
        <v>80</v>
      </c>
      <c r="T33" s="36" t="s">
        <v>80</v>
      </c>
      <c r="U33" s="36" t="s">
        <v>80</v>
      </c>
      <c r="V33" s="36" t="s">
        <v>81</v>
      </c>
      <c r="W33" s="36" t="s">
        <v>80</v>
      </c>
      <c r="X33" s="40" t="s">
        <v>80</v>
      </c>
      <c r="Y33" s="40" t="s">
        <v>80</v>
      </c>
      <c r="Z33" s="40" t="s">
        <v>80</v>
      </c>
      <c r="AA33" s="40" t="s">
        <v>81</v>
      </c>
      <c r="AB33" s="40" t="s">
        <v>80</v>
      </c>
      <c r="AC33" s="40" t="s">
        <v>81</v>
      </c>
      <c r="AD33" s="40" t="s">
        <v>80</v>
      </c>
      <c r="AE33" s="40" t="s">
        <v>80</v>
      </c>
      <c r="AF33" s="40" t="s">
        <v>80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s="40" t="s">
        <v>80</v>
      </c>
      <c r="AM33" s="40" t="s">
        <v>80</v>
      </c>
      <c r="AN33" s="40" t="s">
        <v>80</v>
      </c>
      <c r="AO33" s="24">
        <f t="shared" si="0"/>
        <v>8</v>
      </c>
    </row>
    <row r="34" spans="2:41" ht="29.25" customHeight="1">
      <c r="B34" s="46" t="s">
        <v>74</v>
      </c>
      <c r="C34" s="47" t="s">
        <v>182</v>
      </c>
      <c r="D34" s="34" t="s">
        <v>183</v>
      </c>
      <c r="E34" s="46" t="s">
        <v>179</v>
      </c>
      <c r="F34" s="34" t="s">
        <v>184</v>
      </c>
      <c r="G34" s="35" t="s">
        <v>185</v>
      </c>
      <c r="H34" s="36">
        <v>1</v>
      </c>
      <c r="I34" s="36" t="s">
        <v>80</v>
      </c>
      <c r="J34" s="36">
        <v>1</v>
      </c>
      <c r="K34" s="36">
        <v>1</v>
      </c>
      <c r="L34" s="37">
        <v>1</v>
      </c>
      <c r="M34" s="38">
        <v>1</v>
      </c>
      <c r="N34" s="39">
        <v>1</v>
      </c>
      <c r="O34" s="36" t="s">
        <v>80</v>
      </c>
      <c r="P34" s="36" t="s">
        <v>80</v>
      </c>
      <c r="Q34" s="36" t="s">
        <v>80</v>
      </c>
      <c r="R34" s="36" t="s">
        <v>80</v>
      </c>
      <c r="S34" s="36" t="s">
        <v>80</v>
      </c>
      <c r="T34" s="36" t="s">
        <v>80</v>
      </c>
      <c r="U34" s="36" t="s">
        <v>80</v>
      </c>
      <c r="V34" s="36" t="s">
        <v>80</v>
      </c>
      <c r="W34" s="36" t="s">
        <v>80</v>
      </c>
      <c r="X34" s="40" t="s">
        <v>80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81</v>
      </c>
      <c r="AD34" s="40" t="s">
        <v>80</v>
      </c>
      <c r="AE34" s="40" t="s">
        <v>80</v>
      </c>
      <c r="AF34" s="40" t="s">
        <v>80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s="40" t="s">
        <v>80</v>
      </c>
      <c r="AM34" s="40" t="s">
        <v>80</v>
      </c>
      <c r="AN34" s="40" t="s">
        <v>80</v>
      </c>
      <c r="AO34" s="30">
        <f t="shared" si="0"/>
        <v>6</v>
      </c>
    </row>
    <row r="35" spans="2:41" ht="24" customHeight="1">
      <c r="B35" s="60" t="s">
        <v>74</v>
      </c>
      <c r="C35" s="61" t="s">
        <v>213</v>
      </c>
      <c r="D35" s="54" t="s">
        <v>214</v>
      </c>
      <c r="E35" s="60" t="s">
        <v>179</v>
      </c>
      <c r="F35" s="54" t="s">
        <v>215</v>
      </c>
      <c r="G35" s="62" t="s">
        <v>216</v>
      </c>
      <c r="H35" s="36"/>
      <c r="I35" s="18">
        <v>2</v>
      </c>
      <c r="J35" s="18">
        <v>1</v>
      </c>
      <c r="K35" s="36"/>
      <c r="L35" s="36"/>
      <c r="M35" s="17">
        <v>1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30">
        <f t="shared" si="0"/>
        <v>4</v>
      </c>
    </row>
    <row r="36" spans="2:41" s="4" customFormat="1" ht="106.5">
      <c r="C36" s="6"/>
      <c r="D36" s="49"/>
      <c r="E36" s="49"/>
      <c r="F36" s="3"/>
      <c r="J36" s="50"/>
      <c r="M36" s="51" t="s">
        <v>186</v>
      </c>
      <c r="R36" s="51" t="s">
        <v>187</v>
      </c>
      <c r="S36" s="51" t="s">
        <v>188</v>
      </c>
      <c r="T36" s="52" t="s">
        <v>189</v>
      </c>
      <c r="U36" s="51" t="s">
        <v>190</v>
      </c>
      <c r="AC36" s="51" t="s">
        <v>191</v>
      </c>
    </row>
    <row r="37" spans="2:41" s="4" customFormat="1" ht="167.25">
      <c r="C37" s="6"/>
      <c r="D37" s="49"/>
      <c r="E37" s="49"/>
      <c r="F37" s="3"/>
      <c r="M37" s="51"/>
      <c r="U37" s="51" t="s">
        <v>192</v>
      </c>
    </row>
  </sheetData>
  <pageMargins left="0.70833333333333304" right="0.70833333333333304" top="1.1416666666666699" bottom="1.1416666666666699" header="0.511811023622047" footer="0.511811023622047"/>
  <pageSetup paperSize="9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Rekeep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Campagnoli Ivan Luca</dc:creator>
  <cp:keywords/>
  <dc:description/>
  <cp:lastModifiedBy>Campagnoli Ivan Luca</cp:lastModifiedBy>
  <cp:revision/>
  <dcterms:created xsi:type="dcterms:W3CDTF">2026-03-04T08:30:36Z</dcterms:created>
  <dcterms:modified xsi:type="dcterms:W3CDTF">2026-04-22T22:09:54Z</dcterms:modified>
  <cp:category/>
  <cp:contentStatus/>
</cp:coreProperties>
</file>